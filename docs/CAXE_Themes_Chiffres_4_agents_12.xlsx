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Lisez-moi" sheetId="1" state="visible" r:id="rId1"/>
    <sheet name="Modifications 20 oct." sheetId="2" state="visible" r:id="rId2"/>
    <sheet name="Modifications 28 oct." sheetId="3" state="visible" r:id="rId3"/>
    <sheet name="Synthèse" sheetId="4" state="visible" r:id="rId4"/>
    <sheet name="Thèmes" sheetId="5" state="visible" r:id="rId5"/>
    <sheet name="Acquisition — données" sheetId="6" state="visible" r:id="rId6"/>
    <sheet name="Finance — données" sheetId="7" state="visible" r:id="rId7"/>
    <sheet name="RH — données" sheetId="8" state="visible" r:id="rId8"/>
    <sheet name="Comm — données" sheetId="9" state="visible" r:id="rId9"/>
    <sheet name="Croisements" sheetId="10" state="visible" r:id="rId10"/>
    <sheet name="Croisements RH" sheetId="11" state="visible" r:id="rId11"/>
    <sheet name="Scénarios" sheetId="12" state="visible" r:id="rId12"/>
    <sheet name="Diagnostic Comm" sheetId="13" state="visible" r:id="rId13"/>
    <sheet name="Déclencheurs" sheetId="14" state="visible" r:id="rId14"/>
    <sheet name="Lexique" sheetId="15" state="visible" r:id="rId15"/>
  </sheets>
  <definedNames>
    <definedName name="_xlnm._FilterDatabase" localSheetId="1" hidden="1">'Modifications 20 oct.'!$A$38:$E$476</definedName>
    <definedName name="_xlnm._FilterDatabase" localSheetId="4" hidden="1">'Thèmes'!$A$1:$M$190</definedName>
    <definedName name="_xlnm._FilterDatabase" localSheetId="5" hidden="1">'Acquisition — données'!$A$1:$X$324</definedName>
    <definedName name="_xlnm._FilterDatabase" localSheetId="6" hidden="1">'Finance — données'!$A$1:$W$240</definedName>
    <definedName name="_xlnm._FilterDatabase" localSheetId="7" hidden="1">'RH — données'!$A$1:$R$173</definedName>
    <definedName name="_xlnm._FilterDatabase" localSheetId="8" hidden="1">'Comm — données'!$A$1:$W$204</definedName>
    <definedName name="_xlnm._FilterDatabase" localSheetId="9" hidden="1">'Croisements'!$A$1:$N$127</definedName>
    <definedName name="_xlnm._FilterDatabase" localSheetId="10" hidden="1">'Croisements RH'!$A$1:$J$32</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07111B"/>
      <sz val="14"/>
    </font>
    <font>
      <name val="Arial"/>
      <charset val="1"/>
      <family val="0"/>
      <i val="1"/>
      <color rgb="FF666666"/>
      <sz val="10"/>
    </font>
    <font>
      <name val="Arial"/>
      <charset val="1"/>
      <family val="0"/>
      <b val="1"/>
      <color rgb="FFF4ECD8"/>
      <sz val="10"/>
    </font>
    <font>
      <name val="Arial"/>
      <charset val="1"/>
      <family val="0"/>
      <b val="1"/>
      <sz val="10"/>
    </font>
    <font>
      <name val="Arial"/>
      <charset val="1"/>
      <family val="0"/>
      <sz val="10"/>
    </font>
    <font>
      <name val="Arial"/>
      <charset val="1"/>
      <family val="0"/>
      <b val="1"/>
      <color rgb="FFF4ECD8"/>
      <sz val="11"/>
    </font>
    <font>
      <name val="Arial"/>
      <charset val="1"/>
      <family val="0"/>
      <i val="1"/>
      <color rgb="FF666666"/>
      <sz val="9"/>
    </font>
    <font>
      <name val="Arial"/>
      <charset val="1"/>
      <family val="0"/>
      <b val="1"/>
      <color rgb="FF1E4E96"/>
      <sz val="10"/>
    </font>
    <font>
      <name val="Arial"/>
      <charset val="1"/>
      <family val="0"/>
      <color rgb="FF5B3FB8"/>
      <sz val="9"/>
    </font>
    <font>
      <name val="Arial"/>
      <family val="2"/>
      <sz val="10"/>
    </font>
    <font>
      <name val="Arial"/>
      <charset val="1"/>
      <family val="0"/>
      <color rgb="FF008000"/>
      <sz val="10"/>
    </font>
    <font>
      <name val="Arial"/>
      <charset val="1"/>
      <family val="0"/>
      <b val="1"/>
      <color rgb="FF07111B"/>
      <sz val="11"/>
    </font>
  </fonts>
  <fills count="12">
    <fill>
      <patternFill/>
    </fill>
    <fill>
      <patternFill patternType="gray125"/>
    </fill>
    <fill>
      <patternFill patternType="solid">
        <fgColor rgb="FF07111B"/>
        <bgColor rgb="FF000000"/>
      </patternFill>
    </fill>
    <fill>
      <patternFill patternType="solid">
        <fgColor rgb="FFDCE8F7"/>
        <bgColor rgb="FFE8EEF6"/>
      </patternFill>
    </fill>
    <fill>
      <patternFill patternType="solid">
        <fgColor rgb="FFE3F1E1"/>
        <bgColor rgb="FFDDF2E3"/>
      </patternFill>
    </fill>
    <fill>
      <patternFill patternType="solid">
        <fgColor rgb="FFFFF1CC"/>
        <bgColor rgb="FFF4ECD8"/>
      </patternFill>
    </fill>
    <fill>
      <patternFill patternType="solid">
        <fgColor rgb="FFECECEC"/>
        <bgColor rgb="FFEFEFEF"/>
      </patternFill>
    </fill>
    <fill>
      <patternFill patternType="solid">
        <fgColor rgb="FFE8EEF6"/>
        <bgColor rgb="FFECECEC"/>
      </patternFill>
    </fill>
    <fill>
      <patternFill patternType="solid">
        <fgColor rgb="FFDDF2E3"/>
        <bgColor rgb="FFE3F1E1"/>
      </patternFill>
    </fill>
    <fill>
      <patternFill patternType="solid">
        <fgColor rgb="FFE9E2FF"/>
        <bgColor rgb="FFDCE8F7"/>
      </patternFill>
    </fill>
    <fill>
      <patternFill patternType="solid">
        <fgColor rgb="FFEFEFEF"/>
        <bgColor rgb="FFECECEC"/>
      </patternFill>
    </fill>
    <fill>
      <patternFill patternType="solid">
        <fgColor rgb="FFFBE3CF"/>
        <bgColor rgb="FFF4ECD8"/>
      </patternFill>
    </fill>
  </fills>
  <borders count="7">
    <border>
      <left/>
      <right/>
      <top/>
      <bottom/>
      <diagonal/>
    </border>
    <border>
      <left style="thin">
        <color rgb="FFD5D9DE"/>
      </left>
      <right style="thin">
        <color rgb="FFD5D9DE"/>
      </right>
      <top style="thin">
        <color rgb="FFD5D9DE"/>
      </top>
      <bottom style="thin">
        <color rgb="FFD5D9DE"/>
      </bottom>
      <diagonal/>
    </border>
    <border>
      <left style="thin">
        <color rgb="FFD5D9DE"/>
      </left>
      <right style="thin">
        <color rgb="FFD5D9DE"/>
      </right>
      <top style="medium">
        <color rgb="FF1E4E96"/>
      </top>
      <bottom style="thin">
        <color rgb="FFD5D9DE"/>
      </bottom>
      <diagonal/>
    </border>
    <border>
      <left/>
      <right/>
      <top style="thin">
        <color rgb="FFD5D9DE"/>
      </top>
      <bottom/>
      <diagonal/>
    </border>
    <border>
      <left/>
      <right style="thin">
        <color rgb="FFD5D9DE"/>
      </right>
      <top style="thin">
        <color rgb="FFD5D9DE"/>
      </top>
      <bottom/>
      <diagonal/>
    </border>
    <border>
      <left/>
      <right/>
      <top style="thin">
        <color rgb="FFD5D9DE"/>
      </top>
      <bottom style="thin">
        <color rgb="FFD5D9DE"/>
      </bottom>
      <diagonal/>
    </border>
    <border>
      <left/>
      <right style="thin">
        <color rgb="FFD5D9DE"/>
      </right>
      <top style="thin">
        <color rgb="FFD5D9DE"/>
      </top>
      <bottom style="thin">
        <color rgb="FFD5D9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3"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9" fillId="2" borderId="0" applyAlignment="1" pivotButton="0" quotePrefix="0" xfId="0">
      <alignment horizontal="general" vertical="bottom"/>
    </xf>
    <xf numFmtId="0" fontId="7" fillId="7" borderId="1" applyAlignment="1" pivotButton="0" quotePrefix="0" xfId="0">
      <alignment horizontal="general" vertical="bottom"/>
    </xf>
    <xf numFmtId="0" fontId="7" fillId="0" borderId="1" applyAlignment="1" pivotButton="0" quotePrefix="0" xfId="0">
      <alignment horizontal="general" vertical="top" wrapText="1"/>
    </xf>
    <xf numFmtId="0" fontId="8" fillId="5" borderId="1" applyAlignment="1" pivotButton="0" quotePrefix="0" xfId="0">
      <alignment horizontal="center" vertical="top" wrapText="1"/>
    </xf>
    <xf numFmtId="0" fontId="8" fillId="0" borderId="1" applyAlignment="1" pivotButton="0" quotePrefix="0" xfId="0">
      <alignment horizontal="center" vertical="top" wrapText="1"/>
    </xf>
    <xf numFmtId="0" fontId="8" fillId="0" borderId="1" applyAlignment="1" pivotButton="0" quotePrefix="0" xfId="0">
      <alignment horizontal="general" vertical="top" wrapText="1"/>
    </xf>
    <xf numFmtId="0" fontId="8" fillId="6" borderId="1" applyAlignment="1" pivotButton="0" quotePrefix="0" xfId="0">
      <alignment horizontal="center" vertical="top" wrapText="1"/>
    </xf>
    <xf numFmtId="0" fontId="8" fillId="4" borderId="1" applyAlignment="1" pivotButton="0" quotePrefix="0" xfId="0">
      <alignment horizontal="center" vertical="top" wrapText="1"/>
    </xf>
    <xf numFmtId="0" fontId="8" fillId="8" borderId="1" applyAlignment="1" pivotButton="0" quotePrefix="0" xfId="0">
      <alignment horizontal="general" vertical="top" wrapText="1"/>
    </xf>
    <xf numFmtId="0" fontId="8" fillId="9" borderId="1" applyAlignment="1" pivotButton="0" quotePrefix="0" xfId="0">
      <alignment horizontal="general" vertical="top" wrapText="1"/>
    </xf>
    <xf numFmtId="0" fontId="6" fillId="2" borderId="1" applyAlignment="1" pivotButton="0" quotePrefix="0" xfId="0">
      <alignment horizontal="center" vertical="center" wrapText="1"/>
    </xf>
    <xf numFmtId="0" fontId="7" fillId="7" borderId="1" applyAlignment="1" pivotButton="0" quotePrefix="0" xfId="0">
      <alignment horizontal="general" vertical="top" wrapText="1"/>
    </xf>
    <xf numFmtId="0" fontId="7" fillId="7" borderId="1" applyAlignment="1" pivotButton="0" quotePrefix="0" xfId="0">
      <alignment horizontal="center"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1" applyAlignment="1" pivotButton="0" quotePrefix="0" xfId="0">
      <alignment horizontal="center" vertical="top" wrapText="1"/>
    </xf>
    <xf numFmtId="0" fontId="11" fillId="0" borderId="1" applyAlignment="1" pivotButton="0" quotePrefix="0" xfId="0">
      <alignment horizontal="center" vertical="top" wrapText="1"/>
    </xf>
    <xf numFmtId="0" fontId="12" fillId="0" borderId="1" applyAlignment="1" pivotButton="0" quotePrefix="0" xfId="0">
      <alignment horizontal="general" vertical="top" wrapText="1"/>
    </xf>
    <xf numFmtId="0" fontId="8" fillId="3" borderId="1" applyAlignment="1" pivotButton="0" quotePrefix="0" xfId="0">
      <alignment horizontal="center" vertical="top" wrapText="1"/>
    </xf>
    <xf numFmtId="0" fontId="7" fillId="0" borderId="2" applyAlignment="1" pivotButton="0" quotePrefix="0" xfId="0">
      <alignment horizontal="center" vertical="top" wrapText="1"/>
    </xf>
    <xf numFmtId="0" fontId="8" fillId="0" borderId="2" applyAlignment="1" pivotButton="0" quotePrefix="0" xfId="0">
      <alignment horizontal="general" vertical="top" wrapText="1"/>
    </xf>
    <xf numFmtId="0" fontId="7" fillId="0" borderId="2" applyAlignment="1" pivotButton="0" quotePrefix="0" xfId="0">
      <alignment horizontal="general" vertical="top" wrapText="1"/>
    </xf>
    <xf numFmtId="0" fontId="8" fillId="5" borderId="2" applyAlignment="1" pivotButton="0" quotePrefix="0" xfId="0">
      <alignment horizontal="center" vertical="top" wrapText="1"/>
    </xf>
    <xf numFmtId="0" fontId="8" fillId="0" borderId="2" applyAlignment="1" pivotButton="0" quotePrefix="0" xfId="0">
      <alignment horizontal="center" vertical="top" wrapText="1"/>
    </xf>
    <xf numFmtId="0" fontId="11" fillId="0" borderId="2" applyAlignment="1" pivotButton="0" quotePrefix="0" xfId="0">
      <alignment horizontal="center" vertical="top" wrapText="1"/>
    </xf>
    <xf numFmtId="0" fontId="12" fillId="0" borderId="2" applyAlignment="1" pivotButton="0" quotePrefix="0" xfId="0">
      <alignment horizontal="general" vertical="top" wrapText="1"/>
    </xf>
    <xf numFmtId="0" fontId="7" fillId="8" borderId="1" applyAlignment="1" pivotButton="0" quotePrefix="0" xfId="0">
      <alignment horizontal="center" vertical="top" wrapText="1"/>
    </xf>
    <xf numFmtId="0" fontId="8" fillId="4" borderId="2" applyAlignment="1" pivotButton="0" quotePrefix="0" xfId="0">
      <alignment horizontal="center" vertical="top" wrapText="1"/>
    </xf>
    <xf numFmtId="0" fontId="7" fillId="9" borderId="1" applyAlignment="1" pivotButton="0" quotePrefix="0" xfId="0">
      <alignment horizontal="center" vertical="top" wrapText="1"/>
    </xf>
    <xf numFmtId="0" fontId="14" fillId="0" borderId="1" applyAlignment="1" pivotButton="0" quotePrefix="0" xfId="0">
      <alignment horizontal="general" vertical="top" wrapText="1"/>
    </xf>
    <xf numFmtId="0" fontId="8" fillId="10" borderId="1" applyAlignment="1" pivotButton="0" quotePrefix="0" xfId="0">
      <alignment horizontal="center" vertical="top" wrapText="1"/>
    </xf>
    <xf numFmtId="0" fontId="14" fillId="0" borderId="2" applyAlignment="1" pivotButton="0" quotePrefix="0" xfId="0">
      <alignment horizontal="general" vertical="top" wrapText="1"/>
    </xf>
    <xf numFmtId="0" fontId="7" fillId="9" borderId="2" applyAlignment="1" pivotButton="0" quotePrefix="0" xfId="0">
      <alignment horizontal="center" vertical="top" wrapText="1"/>
    </xf>
    <xf numFmtId="0" fontId="8" fillId="11" borderId="1" applyAlignment="1" pivotButton="0" quotePrefix="0" xfId="0">
      <alignment horizontal="general" vertical="top" wrapText="1"/>
    </xf>
    <xf numFmtId="0" fontId="8" fillId="11" borderId="2" applyAlignment="1" pivotButton="0" quotePrefix="0" xfId="0">
      <alignment horizontal="general" vertical="top" wrapText="1"/>
    </xf>
    <xf numFmtId="0" fontId="8" fillId="7" borderId="1" applyAlignment="1" pivotButton="0" quotePrefix="0" xfId="0">
      <alignment horizontal="center" vertical="top" wrapText="1"/>
    </xf>
    <xf numFmtId="0" fontId="8" fillId="10" borderId="2" applyAlignment="1" pivotButton="0" quotePrefix="0" xfId="0">
      <alignment horizontal="center" vertical="top" wrapText="1"/>
    </xf>
    <xf numFmtId="0" fontId="8" fillId="7" borderId="2" applyAlignment="1" pivotButton="0" quotePrefix="0" xfId="0">
      <alignment horizontal="center" vertical="top" wrapText="1"/>
    </xf>
    <xf numFmtId="0" fontId="7" fillId="8" borderId="2" applyAlignment="1" pivotButton="0" quotePrefix="0" xfId="0">
      <alignment horizontal="center" vertical="top" wrapText="1"/>
    </xf>
    <xf numFmtId="0" fontId="15"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3"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9" fillId="2" borderId="0" applyAlignment="1" pivotButton="0" quotePrefix="0" xfId="0">
      <alignment horizontal="general" vertical="bottom"/>
    </xf>
    <xf numFmtId="0" fontId="7" fillId="7" borderId="1" applyAlignment="1" pivotButton="0" quotePrefix="0" xfId="0">
      <alignment horizontal="general" vertical="bottom"/>
    </xf>
    <xf numFmtId="0" fontId="7" fillId="0" borderId="1" applyAlignment="1" pivotButton="0" quotePrefix="0" xfId="0">
      <alignment horizontal="general" vertical="top" wrapText="1"/>
    </xf>
    <xf numFmtId="0" fontId="8" fillId="5" borderId="1" applyAlignment="1" pivotButton="0" quotePrefix="0" xfId="0">
      <alignment horizontal="center" vertical="top" wrapText="1"/>
    </xf>
    <xf numFmtId="0" fontId="8" fillId="0" borderId="1" applyAlignment="1" pivotButton="0" quotePrefix="0" xfId="0">
      <alignment horizontal="center" vertical="top" wrapText="1"/>
    </xf>
    <xf numFmtId="0" fontId="8" fillId="0" borderId="1" applyAlignment="1" pivotButton="0" quotePrefix="0" xfId="0">
      <alignment horizontal="general" vertical="top" wrapText="1"/>
    </xf>
    <xf numFmtId="0" fontId="8" fillId="6" borderId="1" applyAlignment="1" pivotButton="0" quotePrefix="0" xfId="0">
      <alignment horizontal="center" vertical="top" wrapText="1"/>
    </xf>
    <xf numFmtId="0" fontId="8" fillId="4" borderId="1" applyAlignment="1" pivotButton="0" quotePrefix="0" xfId="0">
      <alignment horizontal="center" vertical="top" wrapText="1"/>
    </xf>
    <xf numFmtId="0" fontId="0" fillId="0" borderId="5" pivotButton="0" quotePrefix="0" xfId="0"/>
    <xf numFmtId="0" fontId="0" fillId="0" borderId="6" pivotButton="0" quotePrefix="0" xfId="0"/>
    <xf numFmtId="0" fontId="8" fillId="8" borderId="1" applyAlignment="1" pivotButton="0" quotePrefix="0" xfId="0">
      <alignment horizontal="general" vertical="top" wrapText="1"/>
    </xf>
    <xf numFmtId="0" fontId="8" fillId="9" borderId="1" applyAlignment="1" pivotButton="0" quotePrefix="0" xfId="0">
      <alignment horizontal="general" vertical="top" wrapText="1"/>
    </xf>
    <xf numFmtId="0" fontId="6" fillId="2" borderId="1" applyAlignment="1" pivotButton="0" quotePrefix="0" xfId="0">
      <alignment horizontal="center" vertical="center" wrapText="1"/>
    </xf>
    <xf numFmtId="0" fontId="7" fillId="7" borderId="1" applyAlignment="1" pivotButton="0" quotePrefix="0" xfId="0">
      <alignment horizontal="general" vertical="top" wrapText="1"/>
    </xf>
    <xf numFmtId="0" fontId="7" fillId="7" borderId="1" applyAlignment="1" pivotButton="0" quotePrefix="0" xfId="0">
      <alignment horizontal="center"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1" applyAlignment="1" pivotButton="0" quotePrefix="0" xfId="0">
      <alignment horizontal="center" vertical="top" wrapText="1"/>
    </xf>
    <xf numFmtId="0" fontId="11" fillId="0" borderId="1" applyAlignment="1" pivotButton="0" quotePrefix="0" xfId="0">
      <alignment horizontal="center" vertical="top" wrapText="1"/>
    </xf>
    <xf numFmtId="0" fontId="12" fillId="0" borderId="1" applyAlignment="1" pivotButton="0" quotePrefix="0" xfId="0">
      <alignment horizontal="general" vertical="top" wrapText="1"/>
    </xf>
    <xf numFmtId="0" fontId="8" fillId="3" borderId="1" applyAlignment="1" pivotButton="0" quotePrefix="0" xfId="0">
      <alignment horizontal="center" vertical="top" wrapText="1"/>
    </xf>
    <xf numFmtId="0" fontId="7" fillId="0" borderId="2" applyAlignment="1" pivotButton="0" quotePrefix="0" xfId="0">
      <alignment horizontal="center" vertical="top" wrapText="1"/>
    </xf>
    <xf numFmtId="0" fontId="8" fillId="0" borderId="2" applyAlignment="1" pivotButton="0" quotePrefix="0" xfId="0">
      <alignment horizontal="general" vertical="top" wrapText="1"/>
    </xf>
    <xf numFmtId="0" fontId="7" fillId="0" borderId="2" applyAlignment="1" pivotButton="0" quotePrefix="0" xfId="0">
      <alignment horizontal="general" vertical="top" wrapText="1"/>
    </xf>
    <xf numFmtId="0" fontId="8" fillId="5" borderId="2" applyAlignment="1" pivotButton="0" quotePrefix="0" xfId="0">
      <alignment horizontal="center" vertical="top" wrapText="1"/>
    </xf>
    <xf numFmtId="0" fontId="8" fillId="0" borderId="2" applyAlignment="1" pivotButton="0" quotePrefix="0" xfId="0">
      <alignment horizontal="center" vertical="top" wrapText="1"/>
    </xf>
    <xf numFmtId="0" fontId="11" fillId="0" borderId="2" applyAlignment="1" pivotButton="0" quotePrefix="0" xfId="0">
      <alignment horizontal="center" vertical="top" wrapText="1"/>
    </xf>
    <xf numFmtId="0" fontId="12" fillId="0" borderId="2" applyAlignment="1" pivotButton="0" quotePrefix="0" xfId="0">
      <alignment horizontal="general" vertical="top" wrapText="1"/>
    </xf>
    <xf numFmtId="0" fontId="7" fillId="8" borderId="1" applyAlignment="1" pivotButton="0" quotePrefix="0" xfId="0">
      <alignment horizontal="center" vertical="top" wrapText="1"/>
    </xf>
    <xf numFmtId="0" fontId="8" fillId="4" borderId="2" applyAlignment="1" pivotButton="0" quotePrefix="0" xfId="0">
      <alignment horizontal="center" vertical="top" wrapText="1"/>
    </xf>
    <xf numFmtId="0" fontId="7" fillId="9" borderId="1" applyAlignment="1" pivotButton="0" quotePrefix="0" xfId="0">
      <alignment horizontal="center" vertical="top" wrapText="1"/>
    </xf>
    <xf numFmtId="0" fontId="14" fillId="0" borderId="1" applyAlignment="1" pivotButton="0" quotePrefix="0" xfId="0">
      <alignment horizontal="general" vertical="top" wrapText="1"/>
    </xf>
    <xf numFmtId="0" fontId="8" fillId="10" borderId="1" applyAlignment="1" pivotButton="0" quotePrefix="0" xfId="0">
      <alignment horizontal="center" vertical="top" wrapText="1"/>
    </xf>
    <xf numFmtId="0" fontId="14" fillId="0" borderId="2" applyAlignment="1" pivotButton="0" quotePrefix="0" xfId="0">
      <alignment horizontal="general" vertical="top" wrapText="1"/>
    </xf>
    <xf numFmtId="0" fontId="7" fillId="9" borderId="2" applyAlignment="1" pivotButton="0" quotePrefix="0" xfId="0">
      <alignment horizontal="center" vertical="top" wrapText="1"/>
    </xf>
    <xf numFmtId="0" fontId="8" fillId="11" borderId="1" applyAlignment="1" pivotButton="0" quotePrefix="0" xfId="0">
      <alignment horizontal="general" vertical="top" wrapText="1"/>
    </xf>
    <xf numFmtId="0" fontId="8" fillId="11" borderId="2" applyAlignment="1" pivotButton="0" quotePrefix="0" xfId="0">
      <alignment horizontal="general" vertical="top" wrapText="1"/>
    </xf>
    <xf numFmtId="0" fontId="8" fillId="7" borderId="1" applyAlignment="1" pivotButton="0" quotePrefix="0" xfId="0">
      <alignment horizontal="center" vertical="top" wrapText="1"/>
    </xf>
    <xf numFmtId="0" fontId="8" fillId="10" borderId="2" applyAlignment="1" pivotButton="0" quotePrefix="0" xfId="0">
      <alignment horizontal="center" vertical="top" wrapText="1"/>
    </xf>
    <xf numFmtId="0" fontId="8" fillId="7" borderId="2" applyAlignment="1" pivotButton="0" quotePrefix="0" xfId="0">
      <alignment horizontal="center" vertical="top" wrapText="1"/>
    </xf>
    <xf numFmtId="0" fontId="7" fillId="8" borderId="2" applyAlignment="1" pivotButton="0" quotePrefix="0" xfId="0">
      <alignment horizontal="center" vertical="top" wrapText="1"/>
    </xf>
    <xf numFmtId="0" fontId="1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DDF2E3"/>
          <bgColor rgb="FF000000"/>
        </patternFill>
      </fill>
    </dxf>
    <dxf>
      <fill>
        <patternFill patternType="solid">
          <fgColor rgb="FFE8EEF6"/>
          <bgColor rgb="FF000000"/>
        </patternFill>
      </fill>
    </dxf>
    <dxf>
      <fill>
        <patternFill patternType="solid">
          <fgColor rgb="FFE9E2FF"/>
          <bgColor rgb="FF000000"/>
        </patternFill>
      </fill>
    </dxf>
    <dxf>
      <fill>
        <patternFill patternType="solid">
          <bgColor rgb="FF000000"/>
        </patternFill>
      </fill>
    </dxf>
    <dxf>
      <fill>
        <patternFill patternType="solid">
          <fgColor rgb="FF07111B"/>
          <bgColor rgb="FF000000"/>
        </patternFill>
      </fill>
    </dxf>
    <dxf>
      <fill>
        <patternFill patternType="solid">
          <fgColor rgb="FFF4ECD8"/>
          <bgColor rgb="FF000000"/>
        </patternFill>
      </fill>
    </dxf>
    <dxf>
      <fill>
        <patternFill patternType="solid">
          <fgColor rgb="FFDCE8F7"/>
          <bgColor rgb="FF000000"/>
        </patternFill>
      </fill>
    </dxf>
    <dxf>
      <fill>
        <patternFill patternType="solid">
          <fgColor rgb="FFE3F1E1"/>
          <bgColor rgb="FF000000"/>
        </patternFill>
      </fill>
    </dxf>
    <dxf>
      <fill>
        <patternFill patternType="solid">
          <fgColor rgb="FFECECEC"/>
          <bgColor rgb="FF000000"/>
        </patternFill>
      </fill>
    </dxf>
    <dxf>
      <fill>
        <patternFill patternType="solid">
          <fgColor rgb="FFFFF1CC"/>
          <bgColor rgb="FF000000"/>
        </patternFill>
      </fill>
    </dxf>
    <dxf>
      <fill>
        <patternFill patternType="solid">
          <fgColor rgb="FF1E4E96"/>
          <bgColor rgb="FF000000"/>
        </patternFill>
      </fill>
    </dxf>
    <dxf>
      <fill>
        <patternFill patternType="solid">
          <fgColor rgb="FF5B3FB8"/>
          <bgColor rgb="FF000000"/>
        </patternFill>
      </fill>
    </dxf>
    <dxf>
      <fill>
        <patternFill patternType="solid">
          <fgColor rgb="FF008000"/>
          <bgColor rgb="FF000000"/>
        </patternFill>
      </fill>
    </dxf>
    <dxf>
      <fill>
        <patternFill patternType="solid">
          <fgColor rgb="FFEFEFEF"/>
          <bgColor rgb="FF000000"/>
        </patternFill>
      </fill>
    </dxf>
    <dxf>
      <fill>
        <patternFill patternType="solid">
          <fgColor rgb="FFFBE3CF"/>
          <bgColor rgb="FF000000"/>
        </patternFill>
      </fill>
    </dxf>
  </dxfs>
  <colors>
    <indexedColors>
      <rgbColor rgb="FF000000"/>
      <rgbColor rgb="FFEFEFEF"/>
      <rgbColor rgb="FFFF0000"/>
      <rgbColor rgb="FF00FF00"/>
      <rgbColor rgb="FF0000FF"/>
      <rgbColor rgb="FFFFFF00"/>
      <rgbColor rgb="FFFF00FF"/>
      <rgbColor rgb="FF00FFFF"/>
      <rgbColor rgb="FF800000"/>
      <rgbColor rgb="FF008000"/>
      <rgbColor rgb="FF000080"/>
      <rgbColor rgb="FF808000"/>
      <rgbColor rgb="FF800080"/>
      <rgbColor rgb="FF008080"/>
      <rgbColor rgb="FFE9E2FF"/>
      <rgbColor rgb="FF808080"/>
      <rgbColor rgb="FF9999FF"/>
      <rgbColor rgb="FF993366"/>
      <rgbColor rgb="FFFFF1CC"/>
      <rgbColor rgb="FFE3F1E1"/>
      <rgbColor rgb="FF660066"/>
      <rgbColor rgb="FFFF8080"/>
      <rgbColor rgb="FF0066CC"/>
      <rgbColor rgb="FFD5D9DE"/>
      <rgbColor rgb="FF000080"/>
      <rgbColor rgb="FFFF00FF"/>
      <rgbColor rgb="FFFFFF00"/>
      <rgbColor rgb="FF00FFFF"/>
      <rgbColor rgb="FF800080"/>
      <rgbColor rgb="FF800000"/>
      <rgbColor rgb="FF008080"/>
      <rgbColor rgb="FF0000FF"/>
      <rgbColor rgb="FF00CCFF"/>
      <rgbColor rgb="FFDCE8F7"/>
      <rgbColor rgb="FFDDF2E3"/>
      <rgbColor rgb="FFF4ECD8"/>
      <rgbColor rgb="FFE8EEF6"/>
      <rgbColor rgb="FFECECEC"/>
      <rgbColor rgb="FFCC99FF"/>
      <rgbColor rgb="FFFBE3CF"/>
      <rgbColor rgb="FF5B3FB8"/>
      <rgbColor rgb="FF33CCCC"/>
      <rgbColor rgb="FF99CC00"/>
      <rgbColor rgb="FFFFCC00"/>
      <rgbColor rgb="FFFF9900"/>
      <rgbColor rgb="FFFF6600"/>
      <rgbColor rgb="FF666666"/>
      <rgbColor rgb="FF969696"/>
      <rgbColor rgb="FF003366"/>
      <rgbColor rgb="FF339966"/>
      <rgbColor rgb="FF07111B"/>
      <rgbColor rgb="FF333300"/>
      <rgbColor rgb="FF993300"/>
      <rgbColor rgb="FF993366"/>
      <rgbColor rgb="FF1E4E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Unknown Author</author>
  </authors>
  <commentList>
    <comment ref="H1" authorId="0" shapeId="0">
      <text>
        <t>Le texte d'origine de cette colonne n'a pas été importé dans le dépôt. Elle liste ici, pour chaque thème, les données demandées ou partagées des onglets « … — données ». L'import ne lit pas cette colonne.</t>
      </text>
    </comment>
  </commentList>
</comments>
</file>

<file path=xl/comments/comment2.xml><?xml version="1.0" encoding="utf-8"?>
<comments xmlns="http://schemas.openxmlformats.org/spreadsheetml/2006/main">
  <authors>
    <author>Unknown Author</author>
  </authors>
  <commentList>
    <comment ref="R1" authorId="0" shapeId="0">
      <text>
        <t>8e profil (hébergement, location de véhicules), ajouté le 20 octobre d'après la banque de questions. scripts/importer-classeur.py ne lit pas encore cette colonne : à brancher par Claude Code.</t>
      </text>
    </comment>
  </commentList>
</comments>
</file>

<file path=xl/comments/comment3.xml><?xml version="1.0" encoding="utf-8"?>
<comments xmlns="http://schemas.openxmlformats.org/spreadsheetml/2006/main">
  <authors>
    <author>Unknown Author</author>
  </authors>
  <commentList>
    <comment ref="R1" authorId="0" shapeId="0">
      <text>
        <t>8e profil (hébergement, location de véhicules), ajouté le 20 octobre d'après la banque de questions. scripts/importer-classeur.py ne lit pas encore cette colonne : à brancher par Claude Code.</t>
      </text>
    </comment>
  </commentList>
</comments>
</file>

<file path=xl/comments/comment4.xml><?xml version="1.0" encoding="utf-8"?>
<comments xmlns="http://schemas.openxmlformats.org/spreadsheetml/2006/main">
  <authors>
    <author>Unknown Author</author>
  </authors>
  <commentList>
    <comment ref="R1" authorId="0" shapeId="0">
      <text>
        <t>8e profil (hébergement, location de véhicules), ajouté le 20 octobre d'après la banque de questions. scripts/importer-classeur.py ne lit pas encore cette colonne : à brancher par Claude Code.</t>
      </text>
    </comment>
  </commentList>
</comments>
</file>

<file path=xl/comments/comment5.xml><?xml version="1.0" encoding="utf-8"?>
<comments xmlns="http://schemas.openxmlformats.org/spreadsheetml/2006/main">
  <authors>
    <author>Unknown Author</author>
  </authors>
  <commentList>
    <comment ref="I4" authorId="0" shapeId="0">
      <text>
        <t>Clé du mot dans les questions de la banque ({demandes}, {unites_vendues}…). scripts/importer-classeur.py ne lit pas encore cette colonne ni les suivantes : sans elle, 8 mots perdraient leur clé à l'import (à brancher par Claude Code).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filterMode="0">
    <outlinePr summaryBelow="1" summaryRight="1"/>
    <pageSetUpPr fitToPage="1"/>
  </sheetPr>
  <dimension ref="A1:B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52" min="1" max="1"/>
    <col width="110" customWidth="1" style="52" min="2" max="2"/>
  </cols>
  <sheetData>
    <row r="1" ht="24" customHeight="1" s="53">
      <c r="A1" s="54" t="inlineStr">
        <is>
          <t>CAXE — Thèmes et chiffres des 4 agents</t>
        </is>
      </c>
    </row>
    <row r="2" ht="15" customHeight="1" s="53">
      <c r="A2" s="55" t="inlineStr">
        <is>
          <t>Version 11 du 20 octobre 2026 : la version post-audit du 14 octobre, mise à jour d'après la banque de questions validée le 20 octobre.</t>
        </is>
      </c>
    </row>
    <row r="3"/>
    <row r="4" ht="19.5" customHeight="1" s="53">
      <c r="A4" s="56" t="inlineStr">
        <is>
          <t>Ce qui a changé le 20 octobre</t>
        </is>
      </c>
    </row>
    <row r="5" ht="45.75" customHeight="1" s="53">
      <c r="A5" s="57" t="inlineStr">
        <is>
          <t>Pourquoi</t>
        </is>
      </c>
      <c r="B5" s="58" t="inlineStr">
        <is>
          <t>La banque de questions des 4 agents a été validée le 20 octobre. Claude Code n'a pu y brancher que 385 questions sur 519 : les 134 autres portaient sur des données absentes du classeur ou marquées « Importées ». Cette version met le classeur à jour sur tout ce que la banque a changé, pas seulement ces 134 lignes.</t>
        </is>
      </c>
    </row>
    <row r="6" ht="45.75" customHeight="1" s="53">
      <c r="A6" s="57" t="inlineStr">
        <is>
          <t>En chiffres</t>
        </is>
      </c>
      <c r="B6" s="58" t="inlineStr">
        <is>
          <t>19 thèmes ajoutés, 103 données ajoutées, 31 données importées passées en demandées, 13 données qui ne sont plus posées (lues dans une autre réponse), 48 conditions d'affichage, 23 niveaux, 38 profils, 38 déclencheurs ajoutés (D28 à D65), le profil Location et les lexiques par métier.</t>
        </is>
      </c>
    </row>
    <row r="7" ht="31.5" customHeight="1" s="53">
      <c r="A7" s="57" t="inlineStr">
        <is>
          <t>Où le voir</t>
        </is>
      </c>
      <c r="B7" s="58" t="inlineStr">
        <is>
          <t>Onglet « Modifications 20 oct. » : une ligne par changement, avec l'avant et l'après. Dans les autres onglets, le code est vert sur une ligne nouvelle et violet sur une ligne modifiée ; la dernière colonne dit ce qui a changé.</t>
        </is>
      </c>
    </row>
    <row r="8" ht="31.5" customHeight="1" s="53">
      <c r="A8" s="57" t="inlineStr">
        <is>
          <t>À valider</t>
        </is>
      </c>
      <c r="B8" s="58" t="inlineStr">
        <is>
          <t>La nature de notation et l'impact des 19 thèmes nouveaux sont des propositions : la banque ne les dit pas. Leur liste est en tête de l'onglet « Modifications 20 oct. ».</t>
        </is>
      </c>
    </row>
    <row r="9"/>
    <row r="10" ht="19.5" customHeight="1" s="53">
      <c r="A10" s="56" t="inlineStr">
        <is>
          <t>Provenance de ce fichier</t>
        </is>
      </c>
    </row>
    <row r="11" ht="31.5" customHeight="1" s="53">
      <c r="A11" s="57" t="inlineStr">
        <is>
          <t>Source</t>
        </is>
      </c>
      <c r="B11" s="58" t="inlineStr">
        <is>
          <t>Les fichiers data/*.json du dépôt calixtecaxe-hue/Test (importés le 15 octobre depuis CAXE_Themes_Chiffres_4_agents_8.xlsx, la version post-audit), puis la page « Banque de questions CAXE » validée le 20 octobre.</t>
        </is>
      </c>
    </row>
    <row r="12" ht="31.5" customHeight="1" s="53">
      <c r="A12" s="57" t="inlineStr">
        <is>
          <t>Contrôle</t>
        </is>
      </c>
      <c r="B12" s="58" t="inlineStr">
        <is>
          <t>Ce classeur se réimporte avec scripts/importer-classeur.py. Les colonnes « Location » et « Clé dans les questions » ne sont pas encore lues par ce script : Claude Code doit les brancher (voir l'onglet Modifications).</t>
        </is>
      </c>
    </row>
    <row r="13" ht="31.5" customHeight="1" s="53">
      <c r="A13" s="57" t="inlineStr">
        <is>
          <t>Différences avec l'original</t>
        </is>
      </c>
      <c r="B13" s="58" t="inlineStr">
        <is>
          <t>La colonne « Chiffres à demander » de l'onglet Thèmes liste les codes demandés ou partagés de chaque thème ; l'onglet Synthèse est en formules.</t>
        </is>
      </c>
    </row>
    <row r="14"/>
    <row r="15" ht="19.5" customHeight="1" s="53">
      <c r="A15" s="56" t="inlineStr">
        <is>
          <t>Utilisation avec le moteur</t>
        </is>
      </c>
    </row>
    <row r="16" ht="18" customHeight="1" s="53">
      <c r="A16" s="57" t="inlineStr">
        <is>
          <t>Règle</t>
        </is>
      </c>
      <c r="B16" s="58" t="inlineStr">
        <is>
          <t>Le classeur reste l'outil d'écriture. On le modifie, puis on relance l'import : on ne modifie jamais les JSON à la main.</t>
        </is>
      </c>
    </row>
    <row r="17" ht="18" customHeight="1" s="53">
      <c r="A17" s="57" t="inlineStr">
        <is>
          <t>Commandes</t>
        </is>
      </c>
      <c r="B17" s="58" t="inlineStr">
        <is>
          <t>python3 scripts/importer-classeur.py CAXE_Themes_Chiffres_4_agents.xlsx, puis npm run donnees:controle.</t>
        </is>
      </c>
    </row>
    <row r="18" ht="31.5" customHeight="1" s="53">
      <c r="A18" s="57" t="inlineStr">
        <is>
          <t>À ne pas faire</t>
        </is>
      </c>
      <c r="B18" s="58" t="inlineStr">
        <is>
          <t>Renommer un onglet, déplacer une colonne ou insérer une ligne au-dessus des en-têtes : l'import lit les colonnes par position.</t>
        </is>
      </c>
    </row>
    <row r="19"/>
    <row r="20" ht="19.5" customHeight="1" s="53">
      <c r="A20" s="56" t="inlineStr">
        <is>
          <t>Légende</t>
        </is>
      </c>
    </row>
    <row r="21" ht="18" customHeight="1" s="53">
      <c r="A21" s="59" t="inlineStr">
        <is>
          <t>Marché</t>
        </is>
      </c>
      <c r="B21" s="58" t="inlineStr">
        <is>
          <t>Le chiffre du client comparé à une référence de marché sourcée. La moyenne du marché est orange, le vert est au-dessus.</t>
        </is>
      </c>
    </row>
    <row r="22" ht="18" customHeight="1" s="53">
      <c r="A22" s="60" t="inlineStr">
        <is>
          <t>Pratique</t>
        </is>
      </c>
      <c r="B22" s="58" t="inlineStr">
        <is>
          <t>Une bonne pratique reconnue est-elle en place : absente, partielle ou en place.</t>
        </is>
      </c>
    </row>
    <row r="23" ht="18" customHeight="1" s="53">
      <c r="A23" s="61" t="inlineStr">
        <is>
          <t>Cohérence</t>
        </is>
      </c>
      <c r="B23" s="58" t="inlineStr">
        <is>
          <t>Les réponses du client comparées entre elles.</t>
        </is>
      </c>
    </row>
    <row r="24" ht="18" customHeight="1" s="53">
      <c r="A24" s="62" t="inlineStr">
        <is>
          <t>Contexte</t>
        </is>
      </c>
      <c r="B24" s="58" t="inlineStr">
        <is>
          <t>Non noté. Sert seulement à l'IA pour expliquer le diagnostic.</t>
        </is>
      </c>
    </row>
    <row r="25" ht="31.5" customHeight="1" s="53">
      <c r="A25" s="57" t="inlineStr">
        <is>
          <t>Impact</t>
        </is>
      </c>
      <c r="B25" s="58" t="inlineStr">
        <is>
          <t>Chiffré (CA, trésorerie, contacts, marge ou heures) quand le thème est sur une vraie chaîne de calcul ; sinon Qualifié (Bloquant, Frein, Secondaire).</t>
        </is>
      </c>
    </row>
    <row r="26" ht="31.5" customHeight="1" s="53">
      <c r="A26" s="57" t="inlineStr">
        <is>
          <t>Mode d'une donnée</t>
        </is>
      </c>
      <c r="B26" s="58" t="inlineStr">
        <is>
          <t>Demandée : posée au dirigeant. Partagée : posée une seule fois, par le premier agent souscrit qui en a besoin. Importée : lue dans un outil connecté. Calculée : déduite d'autres données. Autre agent : reprise d'un autre agent.</t>
        </is>
      </c>
    </row>
    <row r="27" ht="18" customHeight="1" s="53">
      <c r="A27" s="57" t="inlineStr">
        <is>
          <t>Niveau</t>
        </is>
      </c>
      <c r="B27" s="58" t="inlineStr">
        <is>
          <t>Essentiel : audit initial. Approfondi : posé dans un second temps. Les données calculées n'ont pas de niveau.</t>
        </is>
      </c>
    </row>
    <row r="28" ht="31.5" customHeight="1" s="53">
      <c r="A28" s="57" t="inlineStr">
        <is>
          <t>Condition d'affichage</t>
        </is>
      </c>
      <c r="B28" s="58" t="inlineStr">
        <is>
          <t>La question déclencheuse (D01 à D65, onglet Déclencheurs) dont dépend la donnée. Une case orange signale une donnée qui n'est pas posée à tout le monde. « D26 + D63 » : les deux conditions sont nécessaires.</t>
        </is>
      </c>
    </row>
    <row r="29" ht="31.5" customHeight="1" s="53">
      <c r="A29" s="57" t="inlineStr">
        <is>
          <t>Profils</t>
        </is>
      </c>
      <c r="B29" s="58" t="inlineStr">
        <is>
          <t>RDV = rendez-vous · Commerce · E-commerce · Restaurant · Chantier = artisan ou chantier · B2B = cycle long · Abonnement · Location = hébergement et location de véhicules. Un ● signifie que la donnée est posée à ce profil.</t>
        </is>
      </c>
    </row>
    <row r="30" ht="18" customHeight="1" s="53">
      <c r="A30" s="57" t="inlineStr">
        <is>
          <t>Couleur du code</t>
        </is>
      </c>
      <c r="B30" s="58" t="inlineStr">
        <is>
          <t>Vert : ligne nouvelle le 20 octobre. Violet : ligne modifiée le 20 octobre (le détail est dans la dernière colonne).</t>
        </is>
      </c>
    </row>
    <row r="31" ht="18" customHeight="1" s="53">
      <c r="A31" s="57" t="inlineStr">
        <is>
          <t>Tailles (onglets RH)</t>
        </is>
      </c>
      <c r="B31" s="58" t="inlineStr">
        <is>
          <t>L'agent RH se règle sur la taille de l'entreprise : Seul · 2 à 5 · 6 et +.</t>
        </is>
      </c>
    </row>
    <row r="32" ht="18" customHeight="1" s="53">
      <c r="A32" s="57" t="inlineStr">
        <is>
          <t>Nom du thème</t>
        </is>
      </c>
      <c r="B32" s="58" t="inlineStr">
        <is>
          <t>Colonne C des onglets de données : formule qui reprend le nom depuis l'onglet Thèmes.</t>
        </is>
      </c>
    </row>
  </sheetData>
  <mergeCells count="6">
    <mergeCell ref="A4:B4"/>
    <mergeCell ref="A20:B20"/>
    <mergeCell ref="A2:B2"/>
    <mergeCell ref="A15:B15"/>
    <mergeCell ref="A10:B10"/>
    <mergeCell ref="A1:B1"/>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5B3FB8"/>
    <outlinePr summaryBelow="1" summaryRight="1"/>
    <pageSetUpPr fitToPage="1"/>
  </sheetPr>
  <dimension ref="A1:E47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52" min="1" max="1"/>
    <col width="12" customWidth="1" style="52" min="2" max="2"/>
    <col width="44" customWidth="1" style="52" min="3" max="3"/>
    <col width="46" customWidth="1" style="52" min="4" max="4"/>
    <col width="60" customWidth="1" style="52" min="5" max="5"/>
  </cols>
  <sheetData>
    <row r="1" ht="24" customHeight="1" s="53">
      <c r="A1" s="54" t="inlineStr">
        <is>
          <t>Modifications du 20 octobre 2026</t>
        </is>
      </c>
    </row>
    <row r="2" ht="15" customHeight="1" s="53">
      <c r="A2" s="55" t="inlineStr">
        <is>
          <t>Le classeur mis à jour d'après la banque de questions validée le 20 octobre. Trois parties : ce que tu dois valider, ce que Claude Code doit faire après l'import, puis chaque modification avec l'avant et l'après.</t>
        </is>
      </c>
    </row>
    <row r="3"/>
    <row r="4" ht="21.75" customHeight="1" s="53">
      <c r="A4" s="63" t="inlineStr">
        <is>
          <t>1. À valider par toi : nature de notation et impact des 19 thèmes nouveaux (propositions)</t>
        </is>
      </c>
    </row>
    <row r="5" ht="15" customHeight="1" s="53">
      <c r="A5" s="64" t="inlineStr">
        <is>
          <t>Thème</t>
        </is>
      </c>
      <c r="B5" s="64" t="inlineStr">
        <is>
          <t>Nature</t>
        </is>
      </c>
      <c r="C5" s="64" t="inlineStr">
        <is>
          <t>Impact</t>
        </is>
      </c>
      <c r="D5" s="64" t="inlineStr">
        <is>
          <t>Bloc</t>
        </is>
      </c>
      <c r="E5" s="64" t="inlineStr">
        <is>
          <t>Pourquoi</t>
        </is>
      </c>
    </row>
    <row r="6" ht="23.85" customHeight="1" s="53">
      <c r="A6" s="65" t="inlineStr">
        <is>
          <t>FIN-46 Rémunération du dirigeant</t>
        </is>
      </c>
      <c r="B6" s="66" t="inlineStr">
        <is>
          <t>Cohérence</t>
        </is>
      </c>
      <c r="C6" s="67" t="inlineStr">
        <is>
          <t>Qualifié</t>
        </is>
      </c>
      <c r="D6" s="68" t="inlineStr">
        <is>
          <t>Marges et rentabilité</t>
        </is>
      </c>
      <c r="E6" s="68" t="inlineStr">
        <is>
          <t>Ce que le dirigeant se verse, ses cotisations et ce qu'il souhaite se lisent entre eux.</t>
        </is>
      </c>
    </row>
    <row r="7" ht="23.85" customHeight="1" s="53">
      <c r="A7" s="65" t="inlineStr">
        <is>
          <t>FIN-47 Cadre de l'activité</t>
        </is>
      </c>
      <c r="B7" s="69" t="inlineStr">
        <is>
          <t>Contexte</t>
        </is>
      </c>
      <c r="C7" s="67" t="inlineStr">
        <is>
          <t>—</t>
        </is>
      </c>
      <c r="D7" s="68" t="inlineStr">
        <is>
          <t>Pilotage</t>
        </is>
      </c>
      <c r="E7" s="68" t="inlineStr">
        <is>
          <t>Forme de l'entreprise : sert seulement à lire les chiffres (D31). Rien à noter.</t>
        </is>
      </c>
    </row>
    <row r="8" ht="23.85" customHeight="1" s="53">
      <c r="A8" s="65" t="inlineStr">
        <is>
          <t>FIN-48 Relation avec la banque</t>
        </is>
      </c>
      <c r="B8" s="70" t="inlineStr">
        <is>
          <t>Pratique</t>
        </is>
      </c>
      <c r="C8" s="67" t="inlineStr">
        <is>
          <t>Qualifié</t>
        </is>
      </c>
      <c r="D8" s="68" t="inlineStr">
        <is>
          <t>Financement</t>
        </is>
      </c>
      <c r="E8" s="68" t="inlineStr">
        <is>
          <t>Bonne pratique : faire le point avec son banquier. Une seule question : le contrôle le signalera.</t>
        </is>
      </c>
    </row>
    <row r="9" ht="15" customHeight="1" s="53">
      <c r="A9" s="65" t="inlineStr">
        <is>
          <t>RH-41 Projet d'équipe</t>
        </is>
      </c>
      <c r="B9" s="69" t="inlineStr">
        <is>
          <t>Contexte</t>
        </is>
      </c>
      <c r="C9" s="67" t="inlineStr">
        <is>
          <t>—</t>
        </is>
      </c>
      <c r="D9" s="68" t="inlineStr">
        <is>
          <t>S'entourer (dirigeant seul)</t>
        </is>
      </c>
      <c r="E9" s="68" t="inlineStr">
        <is>
          <t>Projet de se faire aider : décrit une intention. Rien à noter.</t>
        </is>
      </c>
    </row>
    <row r="10" ht="15" customHeight="1" s="53">
      <c r="A10" s="65" t="inlineStr">
        <is>
          <t>RH-42 Tâches à confier</t>
        </is>
      </c>
      <c r="B10" s="69" t="inlineStr">
        <is>
          <t>Contexte</t>
        </is>
      </c>
      <c r="C10" s="67" t="inlineStr">
        <is>
          <t>—</t>
        </is>
      </c>
      <c r="D10" s="68" t="inlineStr">
        <is>
          <t>S'entourer (dirigeant seul)</t>
        </is>
      </c>
      <c r="E10" s="68" t="inlineStr">
        <is>
          <t>Tâches à confier : nourrit le plan d'action. Rien à noter.</t>
        </is>
      </c>
    </row>
    <row r="11" ht="23.85" customHeight="1" s="53">
      <c r="A11" s="65" t="inlineStr">
        <is>
          <t>RH-43 Moyens pour une première aide</t>
        </is>
      </c>
      <c r="B11" s="66" t="inlineStr">
        <is>
          <t>Cohérence</t>
        </is>
      </c>
      <c r="C11" s="67" t="inlineStr">
        <is>
          <t>Qualifié</t>
        </is>
      </c>
      <c r="D11" s="68" t="inlineStr">
        <is>
          <t>S'entourer (dirigeant seul)</t>
        </is>
      </c>
      <c r="E11" s="68" t="inlineStr">
        <is>
          <t>Budget envisagé face aux demandes perdues et aux heures à confier : les réponses se lisent entre elles.</t>
        </is>
      </c>
    </row>
    <row r="12" ht="15" customHeight="1" s="53">
      <c r="A12" s="65" t="inlineStr">
        <is>
          <t>RH-44 Freins</t>
        </is>
      </c>
      <c r="B12" s="69" t="inlineStr">
        <is>
          <t>Contexte</t>
        </is>
      </c>
      <c r="C12" s="67" t="inlineStr">
        <is>
          <t>—</t>
        </is>
      </c>
      <c r="D12" s="68" t="inlineStr">
        <is>
          <t>S'entourer (dirigeant seul)</t>
        </is>
      </c>
      <c r="E12" s="68" t="inlineStr">
        <is>
          <t>Ce qui retient de se faire aider : contexte pour l'IA.</t>
        </is>
      </c>
    </row>
    <row r="13" ht="23.85" customHeight="1" s="53">
      <c r="A13" s="65" t="inlineStr">
        <is>
          <t>RH-45 Relais quand on est seul</t>
        </is>
      </c>
      <c r="B13" s="70" t="inlineStr">
        <is>
          <t>Pratique</t>
        </is>
      </c>
      <c r="C13" s="67" t="inlineStr">
        <is>
          <t>Qualifié</t>
        </is>
      </c>
      <c r="D13" s="68" t="inlineStr">
        <is>
          <t>S'entourer (dirigeant seul)</t>
        </is>
      </c>
      <c r="E13" s="68" t="inlineStr">
        <is>
          <t>Relais auprès des clients, informations notées, réseau : pratique absente, partielle ou en place.</t>
        </is>
      </c>
    </row>
    <row r="14" ht="23.85" customHeight="1" s="53">
      <c r="A14" s="65" t="inlineStr">
        <is>
          <t>RH-46 Composition de l'équipe</t>
        </is>
      </c>
      <c r="B14" s="69" t="inlineStr">
        <is>
          <t>Contexte</t>
        </is>
      </c>
      <c r="C14" s="67" t="inlineStr">
        <is>
          <t>—</t>
        </is>
      </c>
      <c r="D14" s="68" t="inlineStr">
        <is>
          <t>Rôles et délégation</t>
        </is>
      </c>
      <c r="E14" s="68" t="inlineStr">
        <is>
          <t>Qui fait quoi dans l'équipe : décrit, ne se note pas. Partagée avec ACQ-21.01.</t>
        </is>
      </c>
    </row>
    <row r="15" ht="23.85" customHeight="1" s="53">
      <c r="A15" s="65" t="inlineStr">
        <is>
          <t>RH-47 Planning de l'équipe</t>
        </is>
      </c>
      <c r="B15" s="70" t="inlineStr">
        <is>
          <t>Pratique</t>
        </is>
      </c>
      <c r="C15" s="67" t="inlineStr">
        <is>
          <t>Qualifié</t>
        </is>
      </c>
      <c r="D15" s="68" t="inlineStr">
        <is>
          <t>Charge et planification</t>
        </is>
      </c>
      <c r="E15" s="68" t="inlineStr">
        <is>
          <t>Qui fait le planning, délai de prévenance, changements de dernière minute : pratique.</t>
        </is>
      </c>
    </row>
    <row r="16" ht="23.85" customHeight="1" s="53">
      <c r="A16" s="65" t="inlineStr">
        <is>
          <t>RH-48 Objectifs individuels</t>
        </is>
      </c>
      <c r="B16" s="70" t="inlineStr">
        <is>
          <t>Pratique</t>
        </is>
      </c>
      <c r="C16" s="67" t="inlineStr">
        <is>
          <t>Qualifié</t>
        </is>
      </c>
      <c r="D16" s="68" t="inlineStr">
        <is>
          <t>Management</t>
        </is>
      </c>
      <c r="E16" s="68" t="inlineStr">
        <is>
          <t>Objectifs écrits et revus, part variable : pratique.</t>
        </is>
      </c>
    </row>
    <row r="17" ht="23.85" customHeight="1" s="53">
      <c r="A17" s="65" t="inlineStr">
        <is>
          <t>RH-49 Encadrement</t>
        </is>
      </c>
      <c r="B17" s="70" t="inlineStr">
        <is>
          <t>Pratique</t>
        </is>
      </c>
      <c r="C17" s="67" t="inlineStr">
        <is>
          <t>Qualifié</t>
        </is>
      </c>
      <c r="D17" s="68" t="inlineStr">
        <is>
          <t>Management</t>
        </is>
      </c>
      <c r="E17" s="68" t="inlineStr">
        <is>
          <t>Personnes par responsable, responsables formés : pratique. Masqué sous 6 personnes.</t>
        </is>
      </c>
    </row>
    <row r="18" ht="35.05" customHeight="1" s="53">
      <c r="A18" s="65" t="inlineStr">
        <is>
          <t>COM-55 Funnel 3 · Visiter le profil : ce qu'il contient</t>
        </is>
      </c>
      <c r="B18" s="70" t="inlineStr">
        <is>
          <t>Pratique</t>
        </is>
      </c>
      <c r="C18" s="67" t="inlineStr">
        <is>
          <t>Qualifié</t>
        </is>
      </c>
      <c r="D18" s="68" t="inlineStr">
        <is>
          <t>De la publication au contact</t>
        </is>
      </c>
      <c r="E18" s="68" t="inlineStr">
        <is>
          <t>Ce que contient le profil (description, lien, bouton, publications épinglées) : grille de pratique. Une seule question.</t>
        </is>
      </c>
    </row>
    <row r="19" ht="23.85" customHeight="1" s="53">
      <c r="A19" s="65" t="inlineStr">
        <is>
          <t>COM-56 Démarrage</t>
        </is>
      </c>
      <c r="B19" s="69" t="inlineStr">
        <is>
          <t>Contexte</t>
        </is>
      </c>
      <c r="C19" s="67" t="inlineStr">
        <is>
          <t>—</t>
        </is>
      </c>
      <c r="D19" s="68" t="inlineStr">
        <is>
          <t>Présence et canaux</t>
        </is>
      </c>
      <c r="E19" s="68" t="inlineStr">
        <is>
          <t>Parcours mise en place : comptes ouverts, freins, qui publierait, budget. Contexte pour l'agent de création.</t>
        </is>
      </c>
    </row>
    <row r="20" ht="23.85" customHeight="1" s="53">
      <c r="A20" s="65" t="inlineStr">
        <is>
          <t>COM-57 Brief de création</t>
        </is>
      </c>
      <c r="B20" s="69" t="inlineStr">
        <is>
          <t>Contexte</t>
        </is>
      </c>
      <c r="C20" s="67" t="inlineStr">
        <is>
          <t>—</t>
        </is>
      </c>
      <c r="D20" s="68" t="inlineStr">
        <is>
          <t>Production</t>
        </is>
      </c>
      <c r="E20" s="68" t="inlineStr">
        <is>
          <t>Brief de création, posé avant le premier contenu (D30) : jamais noté.</t>
        </is>
      </c>
    </row>
    <row r="21" ht="23.85" customHeight="1" s="53">
      <c r="A21" s="65" t="inlineStr">
        <is>
          <t>COM-58 Funnel 0 · Le chemin prévu</t>
        </is>
      </c>
      <c r="B21" s="70" t="inlineStr">
        <is>
          <t>Pratique</t>
        </is>
      </c>
      <c r="C21" s="67" t="inlineStr">
        <is>
          <t>Qualifié</t>
        </is>
      </c>
      <c r="D21" s="68" t="inlineStr">
        <is>
          <t>De la publication au contact</t>
        </is>
      </c>
      <c r="E21" s="68" t="inlineStr">
        <is>
          <t>Une action unique et un lien prévus après chaque publication : pratique. Posé aussi dans le parcours mise en place.</t>
        </is>
      </c>
    </row>
    <row r="22" ht="46.25" customHeight="1" s="53">
      <c r="A22" s="65" t="inlineStr">
        <is>
          <t>COM-59 Funnel 3 · Visiter le profil</t>
        </is>
      </c>
      <c r="B22" s="66" t="inlineStr">
        <is>
          <t>Cohérence</t>
        </is>
      </c>
      <c r="C22" s="67" t="inlineStr">
        <is>
          <t>Chiffré (contacts)</t>
        </is>
      </c>
      <c r="D22" s="68" t="inlineStr">
        <is>
          <t>De la publication au contact</t>
        </is>
      </c>
      <c r="E22" s="68" t="inlineStr">
        <is>
          <t>Étape du funnel entre les réactions et les clics, comme COM-17 (Cohérence, chiffré en contacts). Pourra passer en Marché quand des seuils de passage d'étape seront validés, comme COM-18 et COM-19. Une seule question.</t>
        </is>
      </c>
    </row>
    <row r="23" ht="23.85" customHeight="1" s="53">
      <c r="A23" s="65" t="inlineStr">
        <is>
          <t>COM-60 Funnel 5 · Arriver au bon endroit</t>
        </is>
      </c>
      <c r="B23" s="70" t="inlineStr">
        <is>
          <t>Pratique</t>
        </is>
      </c>
      <c r="C23" s="67" t="inlineStr">
        <is>
          <t>Qualifié</t>
        </is>
      </c>
      <c r="D23" s="68" t="inlineStr">
        <is>
          <t>De la publication au contact</t>
        </is>
      </c>
      <c r="E23" s="68" t="inlineStr">
        <is>
          <t>Page d'arrivée du lien du profil : pratique.</t>
        </is>
      </c>
    </row>
    <row r="24" ht="23.85" customHeight="1" s="53">
      <c r="A24" s="65" t="inlineStr">
        <is>
          <t>COM-61 Funnel 7 · Relancer les intéressés</t>
        </is>
      </c>
      <c r="B24" s="70" t="inlineStr">
        <is>
          <t>Pratique</t>
        </is>
      </c>
      <c r="C24" s="67" t="inlineStr">
        <is>
          <t>Qualifié</t>
        </is>
      </c>
      <c r="D24" s="68" t="inlineStr">
        <is>
          <t>De la publication au contact</t>
        </is>
      </c>
      <c r="E24" s="68" t="inlineStr">
        <is>
          <t>Relance des personnes intéressées : pratique ; le taux de transformation vient de COM-61.02.</t>
        </is>
      </c>
    </row>
    <row r="25"/>
    <row r="26" ht="21.75" customHeight="1" s="53">
      <c r="A26" s="63" t="inlineStr">
        <is>
          <t>2. À faire par Claude Code après l'import</t>
        </is>
      </c>
    </row>
    <row r="27" ht="19.5" customHeight="1" s="53">
      <c r="A27" s="65" t="inlineStr">
        <is>
          <t>1. Importer</t>
        </is>
      </c>
      <c r="B27" s="68" t="inlineStr">
        <is>
          <t>python3 scripts/importer-classeur.py CAXE_Themes_Chiffres_4_agents_11.xlsx</t>
        </is>
      </c>
      <c r="C27" s="71" t="n"/>
      <c r="D27" s="71" t="n"/>
      <c r="E27" s="72" t="n"/>
    </row>
    <row r="28" ht="61.5" customHeight="1" s="53">
      <c r="A28" s="65" t="inlineStr">
        <is>
          <t>2. Brancher deux colonnes</t>
        </is>
      </c>
      <c r="B28" s="68" t="inlineStr">
        <is>
          <t>Dans scripts/importer-classeur.py, AVANT l'import : lire la colonne « Clé dans les questions » de l'onglet Lexique (écrire « cle » quand elle diffère de cle_lexique(mot)). Sans elle, 8 mots ({demandes}, {unites_vendues}, {unites_a_louer}, {jours_ouverture}, {hors_location}, {devis_pluriel}, {ventes_realisees}, {exemples_travail}) perdent leur clé et les questions qui les emploient ne s'affichent plus. Avec cette lecture, data/lexique.json ressort identique. Ensuite : la colonne « Location » des onglets de données (8e profil) et les lexiques par métier.</t>
        </is>
      </c>
      <c r="C28" s="71" t="n"/>
      <c r="D28" s="71" t="n"/>
      <c r="E28" s="72" t="n"/>
    </row>
    <row r="29" ht="33.75" customHeight="1" s="53">
      <c r="A29" s="65" t="inlineStr">
        <is>
          <t>3. Profil location</t>
        </is>
      </c>
      <c r="B29" s="68" t="inlineStr">
        <is>
          <t>Ajouter le profil location au code (constantes, routage des métiers d'hébergement et de location de véhicules, lexique) et une colonne Location dans les onglets Croisements.</t>
        </is>
      </c>
      <c r="C29" s="71" t="n"/>
      <c r="D29" s="71" t="n"/>
      <c r="E29" s="72" t="n"/>
    </row>
    <row r="30" ht="75.75" customHeight="1" s="53">
      <c r="A30" s="65" t="inlineStr">
        <is>
          <t>4. Règles d'affichage</t>
        </is>
      </c>
      <c r="B30" s="68" t="inlineStr">
        <is>
          <t>data/regles-affichage.json : une règle pour chacune des 42 conditions qui n'en ont pas encore, plus le masquage « Au moins un salarié » (liste exacte : npm run donnees:controle après l'import ; ce sont ses 43 seules erreurs une fois les points 2, 5 et 6 faits), dont « D26 + D63 » (les deux nécessaires) et « Pas posée si les agents Acquisition et Comm sont faits : calculée » (FIN-05.02). D21 devient un choix à trois réponses (« Oui, au moins une fois par mois » = parcours amélioration). D03 passe à 17 canaux. Masquage nouveau « Au moins un salarié » (D02 différent de « seul ») pour les thèmes RH-41 à RH-45.</t>
        </is>
      </c>
      <c r="C30" s="71" t="n"/>
      <c r="D30" s="71" t="n"/>
      <c r="E30" s="72" t="n"/>
    </row>
    <row r="31" ht="19.5" customHeight="1" s="53">
      <c r="A31" s="65" t="inlineStr">
        <is>
          <t>5. Catalogue des thèmes</t>
        </is>
      </c>
      <c r="B31" s="68" t="inlineStr">
        <is>
          <t>Fiches des 19 thèmes nouveaux dans data/catalogue-themes.json (python3 scripts/ecrire-catalogue-themes.py).</t>
        </is>
      </c>
      <c r="C31" s="71" t="n"/>
      <c r="D31" s="71" t="n"/>
      <c r="E31" s="72" t="n"/>
    </row>
    <row r="32" ht="33.75" customHeight="1" s="53">
      <c r="A32" s="65" t="inlineStr">
        <is>
          <t>6. Limite de texte</t>
        </is>
      </c>
      <c r="B32" s="68" t="inlineStr">
        <is>
          <t>COM-44.04 (les 20 derniers avis, copiés-collés) accepte 8 000 caractères dans la banque ; src/lib/donnees/reponse-spec.ts plafonne un texte à 2 000. Monter ce plafond à 8 000, sinon le contrôle refuse data/banque/questions.json.</t>
        </is>
      </c>
      <c r="C32" s="71" t="n"/>
      <c r="D32" s="71" t="n"/>
      <c r="E32" s="72" t="n"/>
    </row>
    <row r="33" ht="33.75" customHeight="1" s="53">
      <c r="A33" s="65" t="inlineStr">
        <is>
          <t>7. Questions en attente</t>
        </is>
      </c>
      <c r="B33" s="68" t="inlineStr">
        <is>
          <t>Relancer python3 scripts/importer-banque.py &lt;page de la banque&gt; --ecarter-inconnues : data/banque/en-attente.json disparaît, les 519 questions sont posables (vérifié le 20 octobre sur une copie du dépôt : 519 écrites, 0 manquante). Puis npm run donnees:controle.</t>
        </is>
      </c>
      <c r="C33" s="71" t="n"/>
      <c r="D33" s="71" t="n"/>
      <c r="E33" s="72" t="n"/>
    </row>
    <row r="34" ht="48" customHeight="1" s="53">
      <c r="A34" s="65" t="inlineStr">
        <is>
          <t>8. Tests à mettre à jour</t>
        </is>
      </c>
      <c r="B34" s="68" t="inlineStr">
        <is>
          <t>Comptes écrits en dur dans tests/donnees.test.mts : thèmes par agent 23 / 48 / 49 / 61 (au lieu de 23 / 45 / 40 / 54), 11 thèmes de nature Contexte (au lieu de 4), 65 déclencheurs (au lieu de 27). Les autres tests en échec tombent avec les règles d'affichage (point 4) et le profil location (point 3 : ACQ-11.31 à 11.37 ne sont posées à aucun des 7 profils).</t>
        </is>
      </c>
      <c r="C34" s="71" t="n"/>
      <c r="D34" s="71" t="n"/>
      <c r="E34" s="72" t="n"/>
    </row>
    <row r="35" ht="75.75" customHeight="1" s="53">
      <c r="A35" s="65" t="inlineStr">
        <is>
          <t>9. Calculs à écrire</t>
        </is>
      </c>
      <c r="B35" s="68" t="inlineStr">
        <is>
          <t>Annoncés par la banque, pas encore dans le classeur (rien n'est inventé ici) : ACQ-11.38 taux d'occupation, ACQ-11.39 prix moyen d'une unité vendue, ACQ-11.40 CA perdu par mois et un croisement location en miroir de XA34 (formules dans l'onglet Modifications de la banque, point D1) ; couverts par mois = ACQ-11.07 × ACQ-11.09 × 4,33 ; nombres par canal = ACQ-02.01 × ACQ-03.02 et ACQ-11.01 × ACQ-03.03, repris par ACQ-03.07, 03.08, 03.09, 03.10, 03.12, 06.09, 18.04, COM-12.01, COM-19.03 et COM-22.02 ; calculs du funnel Comm (COM-58.03, COM-61.03, COM-39.06) ; formules et croisements des 19 thèmes nouveaux.</t>
        </is>
      </c>
      <c r="C35" s="71" t="n"/>
      <c r="D35" s="71" t="n"/>
      <c r="E35" s="72" t="n"/>
    </row>
    <row r="36"/>
    <row r="37" ht="21.75" customHeight="1" s="53">
      <c r="A37" s="63" t="inlineStr">
        <is>
          <t>3. Toutes les modifications (438 lignes)</t>
        </is>
      </c>
    </row>
    <row r="38" ht="15" customHeight="1" s="53">
      <c r="A38" s="64" t="inlineStr">
        <is>
          <t>Catégorie</t>
        </is>
      </c>
      <c r="B38" s="64" t="inlineStr">
        <is>
          <t>Code</t>
        </is>
      </c>
      <c r="C38" s="64" t="inlineStr">
        <is>
          <t>Ce qui change</t>
        </is>
      </c>
      <c r="D38" s="64" t="inlineStr">
        <is>
          <t>Avant</t>
        </is>
      </c>
      <c r="E38" s="64" t="inlineStr">
        <is>
          <t>Après</t>
        </is>
      </c>
    </row>
    <row r="39" ht="35.05" customHeight="1" s="53">
      <c r="A39" s="73" t="inlineStr">
        <is>
          <t>Thème ajouté</t>
        </is>
      </c>
      <c r="B39" s="65" t="inlineStr">
        <is>
          <t>COM-55</t>
        </is>
      </c>
      <c r="C39" s="68" t="inlineStr">
        <is>
          <t>Thème nouveau (nature et impact proposés, à valider)</t>
        </is>
      </c>
      <c r="D39" s="68" t="inlineStr">
        <is>
          <t>—</t>
        </is>
      </c>
      <c r="E39" s="68" t="inlineStr">
        <is>
          <t>Funnel 3 · Visiter le profil : ce qu'il contient · bloc « De la publication au contact » · Pratique · impact Qualifié · masqué pour « Ne publie pas (parcours mise en place) »</t>
        </is>
      </c>
    </row>
    <row r="40" ht="15" customHeight="1" s="53">
      <c r="A40" s="73" t="inlineStr">
        <is>
          <t>Thème ajouté</t>
        </is>
      </c>
      <c r="B40" s="65" t="inlineStr">
        <is>
          <t>COM-56</t>
        </is>
      </c>
      <c r="C40" s="68" t="inlineStr">
        <is>
          <t>Thème nouveau (nature et impact proposés, à valider)</t>
        </is>
      </c>
      <c r="D40" s="68" t="inlineStr">
        <is>
          <t>—</t>
        </is>
      </c>
      <c r="E40" s="68" t="inlineStr">
        <is>
          <t>Démarrage · bloc « Présence et canaux » · Contexte · impact —</t>
        </is>
      </c>
    </row>
    <row r="41" ht="15" customHeight="1" s="53">
      <c r="A41" s="73" t="inlineStr">
        <is>
          <t>Thème ajouté</t>
        </is>
      </c>
      <c r="B41" s="65" t="inlineStr">
        <is>
          <t>COM-57</t>
        </is>
      </c>
      <c r="C41" s="68" t="inlineStr">
        <is>
          <t>Thème nouveau (nature et impact proposés, à valider)</t>
        </is>
      </c>
      <c r="D41" s="68" t="inlineStr">
        <is>
          <t>—</t>
        </is>
      </c>
      <c r="E41" s="68" t="inlineStr">
        <is>
          <t>Brief de création · bloc « Production » · Contexte · impact —</t>
        </is>
      </c>
    </row>
    <row r="42" ht="23.85" customHeight="1" s="53">
      <c r="A42" s="73" t="inlineStr">
        <is>
          <t>Thème ajouté</t>
        </is>
      </c>
      <c r="B42" s="65" t="inlineStr">
        <is>
          <t>COM-58</t>
        </is>
      </c>
      <c r="C42" s="68" t="inlineStr">
        <is>
          <t>Thème nouveau (nature et impact proposés, à valider)</t>
        </is>
      </c>
      <c r="D42" s="68" t="inlineStr">
        <is>
          <t>—</t>
        </is>
      </c>
      <c r="E42" s="68" t="inlineStr">
        <is>
          <t>Funnel 0 · Le chemin prévu · bloc « De la publication au contact » · Pratique · impact Qualifié</t>
        </is>
      </c>
    </row>
    <row r="43" ht="35.05" customHeight="1" s="53">
      <c r="A43" s="73" t="inlineStr">
        <is>
          <t>Thème ajouté</t>
        </is>
      </c>
      <c r="B43" s="65" t="inlineStr">
        <is>
          <t>COM-59</t>
        </is>
      </c>
      <c r="C43" s="68" t="inlineStr">
        <is>
          <t>Thème nouveau (nature et impact proposés, à valider)</t>
        </is>
      </c>
      <c r="D43" s="68" t="inlineStr">
        <is>
          <t>—</t>
        </is>
      </c>
      <c r="E43" s="68" t="inlineStr">
        <is>
          <t>Funnel 3 · Visiter le profil · bloc « De la publication au contact » · Cohérence · impact Chiffré (contacts) · masqué pour « Ne publie pas (parcours mise en place) »</t>
        </is>
      </c>
    </row>
    <row r="44" ht="35.05" customHeight="1" s="53">
      <c r="A44" s="73" t="inlineStr">
        <is>
          <t>Thème ajouté</t>
        </is>
      </c>
      <c r="B44" s="65" t="inlineStr">
        <is>
          <t>COM-60</t>
        </is>
      </c>
      <c r="C44" s="68" t="inlineStr">
        <is>
          <t>Thème nouveau (nature et impact proposés, à valider)</t>
        </is>
      </c>
      <c r="D44" s="68" t="inlineStr">
        <is>
          <t>—</t>
        </is>
      </c>
      <c r="E44" s="68" t="inlineStr">
        <is>
          <t>Funnel 5 · Arriver au bon endroit · bloc « De la publication au contact » · Pratique · impact Qualifié · masqué pour « Ne publie pas (parcours mise en place) »</t>
        </is>
      </c>
    </row>
    <row r="45" ht="35.05" customHeight="1" s="53">
      <c r="A45" s="73" t="inlineStr">
        <is>
          <t>Thème ajouté</t>
        </is>
      </c>
      <c r="B45" s="65" t="inlineStr">
        <is>
          <t>COM-61</t>
        </is>
      </c>
      <c r="C45" s="68" t="inlineStr">
        <is>
          <t>Thème nouveau (nature et impact proposés, à valider)</t>
        </is>
      </c>
      <c r="D45" s="68" t="inlineStr">
        <is>
          <t>—</t>
        </is>
      </c>
      <c r="E45" s="68" t="inlineStr">
        <is>
          <t>Funnel 7 · Relancer les intéressés · bloc « De la publication au contact » · Pratique · impact Qualifié · masqué pour « Ne publie pas (parcours mise en place) »</t>
        </is>
      </c>
    </row>
    <row r="46" ht="23.85" customHeight="1" s="53">
      <c r="A46" s="73" t="inlineStr">
        <is>
          <t>Thème ajouté</t>
        </is>
      </c>
      <c r="B46" s="65" t="inlineStr">
        <is>
          <t>FIN-46</t>
        </is>
      </c>
      <c r="C46" s="68" t="inlineStr">
        <is>
          <t>Thème nouveau (nature et impact proposés, à valider)</t>
        </is>
      </c>
      <c r="D46" s="68" t="inlineStr">
        <is>
          <t>—</t>
        </is>
      </c>
      <c r="E46" s="68" t="inlineStr">
        <is>
          <t>Rémunération du dirigeant · bloc « Marges et rentabilité » · Cohérence · impact Qualifié</t>
        </is>
      </c>
    </row>
    <row r="47" ht="15" customHeight="1" s="53">
      <c r="A47" s="73" t="inlineStr">
        <is>
          <t>Thème ajouté</t>
        </is>
      </c>
      <c r="B47" s="65" t="inlineStr">
        <is>
          <t>FIN-47</t>
        </is>
      </c>
      <c r="C47" s="68" t="inlineStr">
        <is>
          <t>Thème nouveau (nature et impact proposés, à valider)</t>
        </is>
      </c>
      <c r="D47" s="68" t="inlineStr">
        <is>
          <t>—</t>
        </is>
      </c>
      <c r="E47" s="68" t="inlineStr">
        <is>
          <t>Cadre de l'activité · bloc « Pilotage » · Contexte · impact —</t>
        </is>
      </c>
    </row>
    <row r="48" ht="23.85" customHeight="1" s="53">
      <c r="A48" s="73" t="inlineStr">
        <is>
          <t>Thème ajouté</t>
        </is>
      </c>
      <c r="B48" s="65" t="inlineStr">
        <is>
          <t>FIN-48</t>
        </is>
      </c>
      <c r="C48" s="68" t="inlineStr">
        <is>
          <t>Thème nouveau (nature et impact proposés, à valider)</t>
        </is>
      </c>
      <c r="D48" s="68" t="inlineStr">
        <is>
          <t>—</t>
        </is>
      </c>
      <c r="E48" s="68" t="inlineStr">
        <is>
          <t>Relation avec la banque · bloc « Financement » · Pratique · impact Qualifié</t>
        </is>
      </c>
    </row>
    <row r="49" ht="23.85" customHeight="1" s="53">
      <c r="A49" s="73" t="inlineStr">
        <is>
          <t>Thème ajouté</t>
        </is>
      </c>
      <c r="B49" s="65" t="inlineStr">
        <is>
          <t>RH-41</t>
        </is>
      </c>
      <c r="C49" s="68" t="inlineStr">
        <is>
          <t>Thème nouveau (nature et impact proposés, à valider)</t>
        </is>
      </c>
      <c r="D49" s="68" t="inlineStr">
        <is>
          <t>—</t>
        </is>
      </c>
      <c r="E49" s="68" t="inlineStr">
        <is>
          <t>Projet d'équipe · bloc « S'entourer (dirigeant seul) » · Contexte · impact — · masqué pour « Au moins un salarié »</t>
        </is>
      </c>
    </row>
    <row r="50" ht="23.85" customHeight="1" s="53">
      <c r="A50" s="73" t="inlineStr">
        <is>
          <t>Thème ajouté</t>
        </is>
      </c>
      <c r="B50" s="65" t="inlineStr">
        <is>
          <t>RH-42</t>
        </is>
      </c>
      <c r="C50" s="68" t="inlineStr">
        <is>
          <t>Thème nouveau (nature et impact proposés, à valider)</t>
        </is>
      </c>
      <c r="D50" s="68" t="inlineStr">
        <is>
          <t>—</t>
        </is>
      </c>
      <c r="E50" s="68" t="inlineStr">
        <is>
          <t>Tâches à confier · bloc « S'entourer (dirigeant seul) » · Contexte · impact — · masqué pour « Au moins un salarié »</t>
        </is>
      </c>
    </row>
    <row r="51" ht="23.85" customHeight="1" s="53">
      <c r="A51" s="73" t="inlineStr">
        <is>
          <t>Thème ajouté</t>
        </is>
      </c>
      <c r="B51" s="65" t="inlineStr">
        <is>
          <t>RH-43</t>
        </is>
      </c>
      <c r="C51" s="68" t="inlineStr">
        <is>
          <t>Thème nouveau (nature et impact proposés, à valider)</t>
        </is>
      </c>
      <c r="D51" s="68" t="inlineStr">
        <is>
          <t>—</t>
        </is>
      </c>
      <c r="E51" s="68" t="inlineStr">
        <is>
          <t>Moyens pour une première aide · bloc « S'entourer (dirigeant seul) » · Cohérence · impact Qualifié · masqué pour « Au moins un salarié »</t>
        </is>
      </c>
    </row>
    <row r="52" ht="23.85" customHeight="1" s="53">
      <c r="A52" s="73" t="inlineStr">
        <is>
          <t>Thème ajouté</t>
        </is>
      </c>
      <c r="B52" s="65" t="inlineStr">
        <is>
          <t>RH-44</t>
        </is>
      </c>
      <c r="C52" s="68" t="inlineStr">
        <is>
          <t>Thème nouveau (nature et impact proposés, à valider)</t>
        </is>
      </c>
      <c r="D52" s="68" t="inlineStr">
        <is>
          <t>—</t>
        </is>
      </c>
      <c r="E52" s="68" t="inlineStr">
        <is>
          <t>Freins · bloc « S'entourer (dirigeant seul) » · Contexte · impact — · masqué pour « Au moins un salarié »</t>
        </is>
      </c>
    </row>
    <row r="53" ht="23.85" customHeight="1" s="53">
      <c r="A53" s="73" t="inlineStr">
        <is>
          <t>Thème ajouté</t>
        </is>
      </c>
      <c r="B53" s="65" t="inlineStr">
        <is>
          <t>RH-45</t>
        </is>
      </c>
      <c r="C53" s="68" t="inlineStr">
        <is>
          <t>Thème nouveau (nature et impact proposés, à valider)</t>
        </is>
      </c>
      <c r="D53" s="68" t="inlineStr">
        <is>
          <t>—</t>
        </is>
      </c>
      <c r="E53" s="68" t="inlineStr">
        <is>
          <t>Relais quand on est seul · bloc « S'entourer (dirigeant seul) » · Pratique · impact Qualifié · masqué pour « Au moins un salarié »</t>
        </is>
      </c>
    </row>
    <row r="54" ht="23.85" customHeight="1" s="53">
      <c r="A54" s="73" t="inlineStr">
        <is>
          <t>Thème ajouté</t>
        </is>
      </c>
      <c r="B54" s="65" t="inlineStr">
        <is>
          <t>RH-46</t>
        </is>
      </c>
      <c r="C54" s="68" t="inlineStr">
        <is>
          <t>Thème nouveau (nature et impact proposés, à valider)</t>
        </is>
      </c>
      <c r="D54" s="68" t="inlineStr">
        <is>
          <t>—</t>
        </is>
      </c>
      <c r="E54" s="68" t="inlineStr">
        <is>
          <t>Composition de l'équipe · bloc « Rôles et délégation » · Contexte · impact — · masqué pour « Seul »</t>
        </is>
      </c>
    </row>
    <row r="55" ht="23.85" customHeight="1" s="53">
      <c r="A55" s="73" t="inlineStr">
        <is>
          <t>Thème ajouté</t>
        </is>
      </c>
      <c r="B55" s="65" t="inlineStr">
        <is>
          <t>RH-47</t>
        </is>
      </c>
      <c r="C55" s="68" t="inlineStr">
        <is>
          <t>Thème nouveau (nature et impact proposés, à valider)</t>
        </is>
      </c>
      <c r="D55" s="68" t="inlineStr">
        <is>
          <t>—</t>
        </is>
      </c>
      <c r="E55" s="68" t="inlineStr">
        <is>
          <t>Planning de l'équipe · bloc « Charge et planification » · Pratique · impact Qualifié · masqué pour « Seul »</t>
        </is>
      </c>
    </row>
    <row r="56" ht="23.85" customHeight="1" s="53">
      <c r="A56" s="73" t="inlineStr">
        <is>
          <t>Thème ajouté</t>
        </is>
      </c>
      <c r="B56" s="65" t="inlineStr">
        <is>
          <t>RH-48</t>
        </is>
      </c>
      <c r="C56" s="68" t="inlineStr">
        <is>
          <t>Thème nouveau (nature et impact proposés, à valider)</t>
        </is>
      </c>
      <c r="D56" s="68" t="inlineStr">
        <is>
          <t>—</t>
        </is>
      </c>
      <c r="E56" s="68" t="inlineStr">
        <is>
          <t>Objectifs individuels · bloc « Management » · Pratique · impact Qualifié · masqué pour « Seul »</t>
        </is>
      </c>
    </row>
    <row r="57" ht="23.85" customHeight="1" s="53">
      <c r="A57" s="73" t="inlineStr">
        <is>
          <t>Thème ajouté</t>
        </is>
      </c>
      <c r="B57" s="65" t="inlineStr">
        <is>
          <t>RH-49</t>
        </is>
      </c>
      <c r="C57" s="68" t="inlineStr">
        <is>
          <t>Thème nouveau (nature et impact proposés, à valider)</t>
        </is>
      </c>
      <c r="D57" s="68" t="inlineStr">
        <is>
          <t>—</t>
        </is>
      </c>
      <c r="E57" s="68" t="inlineStr">
        <is>
          <t>Encadrement · bloc « Management » · Pratique · impact Qualifié · masqué pour « Moins de 6 personnes »</t>
        </is>
      </c>
    </row>
    <row r="58" ht="15" customHeight="1" s="53">
      <c r="A58" s="74" t="inlineStr">
        <is>
          <t>Thème renommé</t>
        </is>
      </c>
      <c r="B58" s="65" t="inlineStr">
        <is>
          <t>COM-17</t>
        </is>
      </c>
      <c r="C58" s="68" t="inlineStr">
        <is>
          <t>Nom du thème</t>
        </is>
      </c>
      <c r="D58" s="68" t="inlineStr">
        <is>
          <t>Portée</t>
        </is>
      </c>
      <c r="E58" s="68" t="inlineStr">
        <is>
          <t>Funnel 1 · Être vu : portée</t>
        </is>
      </c>
    </row>
    <row r="59" ht="15" customHeight="1" s="53">
      <c r="A59" s="74" t="inlineStr">
        <is>
          <t>Thème renommé</t>
        </is>
      </c>
      <c r="B59" s="65" t="inlineStr">
        <is>
          <t>COM-18</t>
        </is>
      </c>
      <c r="C59" s="68" t="inlineStr">
        <is>
          <t>Nom du thème</t>
        </is>
      </c>
      <c r="D59" s="68" t="inlineStr">
        <is>
          <t>Engagement</t>
        </is>
      </c>
      <c r="E59" s="68" t="inlineStr">
        <is>
          <t>Funnel 2 · Intéresser : réactions</t>
        </is>
      </c>
    </row>
    <row r="60" ht="15" customHeight="1" s="53">
      <c r="A60" s="74" t="inlineStr">
        <is>
          <t>Thème renommé</t>
        </is>
      </c>
      <c r="B60" s="65" t="inlineStr">
        <is>
          <t>COM-19</t>
        </is>
      </c>
      <c r="C60" s="68" t="inlineStr">
        <is>
          <t>Nom du thème</t>
        </is>
      </c>
      <c r="D60" s="68" t="inlineStr">
        <is>
          <t>Clic</t>
        </is>
      </c>
      <c r="E60" s="68" t="inlineStr">
        <is>
          <t>Funnel 4 · Passer à l'action : clics</t>
        </is>
      </c>
    </row>
    <row r="61" ht="15" customHeight="1" s="53">
      <c r="A61" s="74" t="inlineStr">
        <is>
          <t>Thème renommé</t>
        </is>
      </c>
      <c r="B61" s="65" t="inlineStr">
        <is>
          <t>COM-21</t>
        </is>
      </c>
      <c r="C61" s="68" t="inlineStr">
        <is>
          <t>Nom du thème</t>
        </is>
      </c>
      <c r="D61" s="68" t="inlineStr">
        <is>
          <t>Raison de laisser ses coordonnées</t>
        </is>
      </c>
      <c r="E61" s="68" t="inlineStr">
        <is>
          <t>Funnel 6 · Devenir un contact : offre gratuite</t>
        </is>
      </c>
    </row>
    <row r="62" ht="15" customHeight="1" s="53">
      <c r="A62" s="74" t="inlineStr">
        <is>
          <t>Thème renommé</t>
        </is>
      </c>
      <c r="B62" s="65" t="inlineStr">
        <is>
          <t>COM-22</t>
        </is>
      </c>
      <c r="C62" s="68" t="inlineStr">
        <is>
          <t>Nom du thème</t>
        </is>
      </c>
      <c r="D62" s="68" t="inlineStr">
        <is>
          <t>Contacts entrants par la comm</t>
        </is>
      </c>
      <c r="E62" s="68" t="inlineStr">
        <is>
          <t>Funnel 6 · Devenir un contact : demandes venues des réseaux</t>
        </is>
      </c>
    </row>
    <row r="63" ht="15" customHeight="1" s="53">
      <c r="A63" s="74" t="inlineStr">
        <is>
          <t>Thème renommé</t>
        </is>
      </c>
      <c r="B63" s="65" t="inlineStr">
        <is>
          <t>COM-23</t>
        </is>
      </c>
      <c r="C63" s="68" t="inlineStr">
        <is>
          <t>Nom du thème</t>
        </is>
      </c>
      <c r="D63" s="68" t="inlineStr">
        <is>
          <t>Réactivité aux messages</t>
        </is>
      </c>
      <c r="E63" s="68" t="inlineStr">
        <is>
          <t>Funnel 4 · Passer à l'action : messages privés</t>
        </is>
      </c>
    </row>
    <row r="64" ht="15" customHeight="1" s="53">
      <c r="A64" s="74" t="inlineStr">
        <is>
          <t>Thème renommé</t>
        </is>
      </c>
      <c r="B64" s="65" t="inlineStr">
        <is>
          <t>COM-27</t>
        </is>
      </c>
      <c r="C64" s="68" t="inlineStr">
        <is>
          <t>Nom du thème</t>
        </is>
      </c>
      <c r="D64" s="68" t="inlineStr">
        <is>
          <t>Répartition par intention</t>
        </is>
      </c>
      <c r="E64" s="68" t="inlineStr">
        <is>
          <t>Funnel 0 · Publications par étape</t>
        </is>
      </c>
    </row>
    <row r="65" ht="15" customHeight="1" s="53">
      <c r="A65" s="74" t="inlineStr">
        <is>
          <t>Thème renommé</t>
        </is>
      </c>
      <c r="B65" s="65" t="inlineStr">
        <is>
          <t>COM-37</t>
        </is>
      </c>
      <c r="C65" s="68" t="inlineStr">
        <is>
          <t>Nom du thème</t>
        </is>
      </c>
      <c r="D65" s="68" t="inlineStr">
        <is>
          <t>Évolution de l'audience</t>
        </is>
      </c>
      <c r="E65" s="68" t="inlineStr">
        <is>
          <t>Funnel 1 · Être vu : évolution de l'audience</t>
        </is>
      </c>
    </row>
    <row r="66" ht="35.05" customHeight="1" s="53">
      <c r="A66" s="73" t="inlineStr">
        <is>
          <t>Donnée ajoutée</t>
        </is>
      </c>
      <c r="B66" s="65" t="inlineStr">
        <is>
          <t>ACQ-06.12</t>
        </is>
      </c>
      <c r="C66" s="68" t="inlineStr">
        <is>
          <t>Donnée nouvelle</t>
        </is>
      </c>
      <c r="D66" s="68" t="inlineStr">
        <is>
          <t>—</t>
        </is>
      </c>
      <c r="E66" s="68" t="inlineStr">
        <is>
          <t>Actions possibles directement depuis la fiche Google — explique un faible passage des vues aux contacts (taux calculé avec ACQ-06.04) · Cases à cocher · Approfondi · D03 · si « fiche Google » est cochée</t>
        </is>
      </c>
    </row>
    <row r="67" ht="57.45" customHeight="1" s="53">
      <c r="A67" s="73" t="inlineStr">
        <is>
          <t>Donnée ajoutée</t>
        </is>
      </c>
      <c r="B67" s="65" t="inlineStr">
        <is>
          <t>ACQ-06.13</t>
        </is>
      </c>
      <c r="C67" s="68" t="inlineStr">
        <is>
          <t>Donnée nouvelle</t>
        </is>
      </c>
      <c r="D67" s="68" t="inlineStr">
        <is>
          <t>—</t>
        </is>
      </c>
      <c r="E67" s="68" t="inlineStr">
        <is>
          <t>Mots tapés sur Google pour trouver la fiche, avec leur nombre de recherches sur 3 mois — montre si l'entreprise est trouvée sur ses prestations qui rapportent le plus ; repris aussi par l'agent de création (sujets de contenus) · Tableau : Nombre de recherches (lignes libre: 5) · Approfondi · D03 · si « fiche Google » est cochée</t>
        </is>
      </c>
    </row>
    <row r="68" ht="23.85" customHeight="1" s="53">
      <c r="A68" s="73" t="inlineStr">
        <is>
          <t>Donnée ajoutée</t>
        </is>
      </c>
      <c r="B68" s="65" t="inlineStr">
        <is>
          <t>ACQ-11.31</t>
        </is>
      </c>
      <c r="C68" s="68" t="inlineStr">
        <is>
          <t>Donnée nouvelle</t>
        </is>
      </c>
      <c r="D68" s="68" t="inlineStr">
        <is>
          <t>—</t>
        </is>
      </c>
      <c r="E68" s="68" t="inlineStr">
        <is>
          <t>Unités vendues sur les 12 derniers mois : nuitées (hébergement) ou jours de location (véhicules) · Nombre · Essentiel</t>
        </is>
      </c>
    </row>
    <row r="69" ht="23.85" customHeight="1" s="53">
      <c r="A69" s="73" t="inlineStr">
        <is>
          <t>Donnée ajoutée</t>
        </is>
      </c>
      <c r="B69" s="65" t="inlineStr">
        <is>
          <t>ACQ-11.32</t>
        </is>
      </c>
      <c r="C69" s="68" t="inlineStr">
        <is>
          <t>Donnée nouvelle</t>
        </is>
      </c>
      <c r="D69" s="68" t="inlineStr">
        <is>
          <t>—</t>
        </is>
      </c>
      <c r="E69" s="68" t="inlineStr">
        <is>
          <t>Chambres, logements, emplacements ou véhicules à louer · Nombre · Essentiel</t>
        </is>
      </c>
    </row>
    <row r="70" ht="15" customHeight="1" s="53">
      <c r="A70" s="73" t="inlineStr">
        <is>
          <t>Donnée ajoutée</t>
        </is>
      </c>
      <c r="B70" s="65" t="inlineStr">
        <is>
          <t>ACQ-11.33</t>
        </is>
      </c>
      <c r="C70" s="68" t="inlineStr">
        <is>
          <t>Donnée nouvelle</t>
        </is>
      </c>
      <c r="D70" s="68" t="inlineStr">
        <is>
          <t>—</t>
        </is>
      </c>
      <c r="E70" s="68" t="inlineStr">
        <is>
          <t>Nuits ou jours d'ouverture sur les 12 derniers mois · Nombre · Essentiel</t>
        </is>
      </c>
    </row>
    <row r="71" ht="23.85" customHeight="1" s="53">
      <c r="A71" s="73" t="inlineStr">
        <is>
          <t>Donnée ajoutée</t>
        </is>
      </c>
      <c r="B71" s="65" t="inlineStr">
        <is>
          <t>ACQ-11.34</t>
        </is>
      </c>
      <c r="C71" s="68" t="inlineStr">
        <is>
          <t>Donnée nouvelle</t>
        </is>
      </c>
      <c r="D71" s="68" t="inlineStr">
        <is>
          <t>—</t>
        </is>
      </c>
      <c r="E71" s="68" t="inlineStr">
        <is>
          <t>Demandes refusées faute de disponibilité sur les 12 derniers mois · Nombre · Essentiel</t>
        </is>
      </c>
    </row>
    <row r="72" ht="23.85" customHeight="1" s="53">
      <c r="A72" s="73" t="inlineStr">
        <is>
          <t>Donnée ajoutée</t>
        </is>
      </c>
      <c r="B72" s="65" t="inlineStr">
        <is>
          <t>ACQ-11.35</t>
        </is>
      </c>
      <c r="C72" s="68" t="inlineStr">
        <is>
          <t>Donnée nouvelle</t>
        </is>
      </c>
      <c r="D72" s="68" t="inlineStr">
        <is>
          <t>—</t>
        </is>
      </c>
      <c r="E72" s="68" t="inlineStr">
        <is>
          <t>Réservations annulées trop tard pour être relouées, ou non honorées, sur les 12 derniers mois · Nombre · Essentiel</t>
        </is>
      </c>
    </row>
    <row r="73" ht="23.85" customHeight="1" s="53">
      <c r="A73" s="73" t="inlineStr">
        <is>
          <t>Donnée ajoutée</t>
        </is>
      </c>
      <c r="B73" s="65" t="inlineStr">
        <is>
          <t>ACQ-11.36</t>
        </is>
      </c>
      <c r="C73" s="68" t="inlineStr">
        <is>
          <t>Donnée nouvelle</t>
        </is>
      </c>
      <c r="D73" s="68" t="inlineStr">
        <is>
          <t>—</t>
        </is>
      </c>
      <c r="E73" s="68" t="inlineStr">
        <is>
          <t>Durée moyenne d'une réservation, en nuits ou en jours · Nombre · Approfondi</t>
        </is>
      </c>
    </row>
    <row r="74" ht="23.85" customHeight="1" s="53">
      <c r="A74" s="73" t="inlineStr">
        <is>
          <t>Donnée ajoutée</t>
        </is>
      </c>
      <c r="B74" s="65" t="inlineStr">
        <is>
          <t>ACQ-11.37</t>
        </is>
      </c>
      <c r="C74" s="68" t="inlineStr">
        <is>
          <t>Donnée nouvelle</t>
        </is>
      </c>
      <c r="D74" s="68" t="inlineStr">
        <is>
          <t>—</t>
        </is>
      </c>
      <c r="E74" s="68" t="inlineStr">
        <is>
          <t>Part du CA qui ne vient pas de la location : services annexes · % · Approfondi</t>
        </is>
      </c>
    </row>
    <row r="75" ht="15" customHeight="1" s="53">
      <c r="A75" s="73" t="inlineStr">
        <is>
          <t>Donnée ajoutée</t>
        </is>
      </c>
      <c r="B75" s="65" t="inlineStr">
        <is>
          <t>ACQ-13.11</t>
        </is>
      </c>
      <c r="C75" s="68" t="inlineStr">
        <is>
          <t>Donnée nouvelle</t>
        </is>
      </c>
      <c r="D75" s="68" t="inlineStr">
        <is>
          <t>—</t>
        </is>
      </c>
      <c r="E75" s="68" t="inlineStr">
        <is>
          <t>Méthode de fixation des prix · Choix · Approfondi</t>
        </is>
      </c>
    </row>
    <row r="76" ht="23.85" customHeight="1" s="53">
      <c r="A76" s="73" t="inlineStr">
        <is>
          <t>Donnée ajoutée</t>
        </is>
      </c>
      <c r="B76" s="65" t="inlineStr">
        <is>
          <t>ACQ-15.09</t>
        </is>
      </c>
      <c r="C76" s="68" t="inlineStr">
        <is>
          <t>Donnée nouvelle</t>
        </is>
      </c>
      <c r="D76" s="68" t="inlineStr">
        <is>
          <t>—</t>
        </is>
      </c>
      <c r="E76" s="68" t="inlineStr">
        <is>
          <t>Paiement en plusieurs fois proposé — déclencheur D33 · Oui / non · Approfondi</t>
        </is>
      </c>
    </row>
    <row r="77" ht="23.85" customHeight="1" s="53">
      <c r="A77" s="73" t="inlineStr">
        <is>
          <t>Donnée ajoutée</t>
        </is>
      </c>
      <c r="B77" s="65" t="inlineStr">
        <is>
          <t>ACQ-15.10</t>
        </is>
      </c>
      <c r="C77" s="68" t="inlineStr">
        <is>
          <t>Donnée nouvelle</t>
        </is>
      </c>
      <c r="D77" s="68" t="inlineStr">
        <is>
          <t>—</t>
        </is>
      </c>
      <c r="E77" s="68" t="inlineStr">
        <is>
          <t>Qui gère le paiement en plusieurs fois (organisme ou échéancier direct) · Choix · Approfondi · D33 · si paiement en plusieurs fois proposé</t>
        </is>
      </c>
    </row>
    <row r="78" ht="23.85" customHeight="1" s="53">
      <c r="A78" s="73" t="inlineStr">
        <is>
          <t>Donnée ajoutée</t>
        </is>
      </c>
      <c r="B78" s="65" t="inlineStr">
        <is>
          <t>ACQ-15.11</t>
        </is>
      </c>
      <c r="C78" s="68" t="inlineStr">
        <is>
          <t>Donnée nouvelle</t>
        </is>
      </c>
      <c r="D78" s="68" t="inlineStr">
        <is>
          <t>—</t>
        </is>
      </c>
      <c r="E78" s="68" t="inlineStr">
        <is>
          <t>Montant d'achat à partir duquel le paiement en plusieurs fois est proposé · € · Approfondi · D33 · si paiement en plusieurs fois proposé</t>
        </is>
      </c>
    </row>
    <row r="79" ht="23.85" customHeight="1" s="53">
      <c r="A79" s="73" t="inlineStr">
        <is>
          <t>Donnée ajoutée</t>
        </is>
      </c>
      <c r="B79" s="65" t="inlineStr">
        <is>
          <t>ACQ-15.12</t>
        </is>
      </c>
      <c r="C79" s="68" t="inlineStr">
        <is>
          <t>Donnée nouvelle</t>
        </is>
      </c>
      <c r="D79" s="68" t="inlineStr">
        <is>
          <t>—</t>
        </is>
      </c>
      <c r="E79" s="68" t="inlineStr">
        <is>
          <t>Part des ventes payées en plusieurs fois · % · Approfondi · D33 · si paiement en plusieurs fois proposé</t>
        </is>
      </c>
    </row>
    <row r="80" ht="35.05" customHeight="1" s="53">
      <c r="A80" s="73" t="inlineStr">
        <is>
          <t>Donnée ajoutée</t>
        </is>
      </c>
      <c r="B80" s="65" t="inlineStr">
        <is>
          <t>ACQ-15.13</t>
        </is>
      </c>
      <c r="C80" s="68" t="inlineStr">
        <is>
          <t>Donnée nouvelle</t>
        </is>
      </c>
      <c r="D80" s="68" t="inlineStr">
        <is>
          <t>—</t>
        </is>
      </c>
      <c r="E80" s="68" t="inlineStr">
        <is>
          <t>Panier moyen d'un client qui paie en plusieurs fois (comparé au panier moyen : gain du paiement en plusieurs fois) · € · Approfondi · D33 · si paiement en plusieurs fois proposé</t>
        </is>
      </c>
    </row>
    <row r="81" ht="23.85" customHeight="1" s="53">
      <c r="A81" s="73" t="inlineStr">
        <is>
          <t>Donnée ajoutée</t>
        </is>
      </c>
      <c r="B81" s="65" t="inlineStr">
        <is>
          <t>ACQ-15.14</t>
        </is>
      </c>
      <c r="C81" s="68" t="inlineStr">
        <is>
          <t>Donnée nouvelle</t>
        </is>
      </c>
      <c r="D81" s="68" t="inlineStr">
        <is>
          <t>—</t>
        </is>
      </c>
      <c r="E81" s="68" t="inlineStr">
        <is>
          <t>Part des ventes faites avec l'offre haut de gamme · % · Approfondi · D34 · si offre haut de gamme</t>
        </is>
      </c>
    </row>
    <row r="82" ht="15" customHeight="1" s="53">
      <c r="A82" s="73" t="inlineStr">
        <is>
          <t>Donnée ajoutée</t>
        </is>
      </c>
      <c r="B82" s="65" t="inlineStr">
        <is>
          <t>ACQ-17.28</t>
        </is>
      </c>
      <c r="C82" s="68" t="inlineStr">
        <is>
          <t>Donnée nouvelle</t>
        </is>
      </c>
      <c r="D82" s="68" t="inlineStr">
        <is>
          <t>—</t>
        </is>
      </c>
      <c r="E82" s="68" t="inlineStr">
        <is>
          <t>Programme de fidélité · Oui / non · Approfondi</t>
        </is>
      </c>
    </row>
    <row r="83" ht="15" customHeight="1" s="53">
      <c r="A83" s="73" t="inlineStr">
        <is>
          <t>Donnée ajoutée</t>
        </is>
      </c>
      <c r="B83" s="65" t="inlineStr">
        <is>
          <t>ACQ-17.29</t>
        </is>
      </c>
      <c r="C83" s="68" t="inlineStr">
        <is>
          <t>Donnée nouvelle</t>
        </is>
      </c>
      <c r="D83" s="68" t="inlineStr">
        <is>
          <t>—</t>
        </is>
      </c>
      <c r="E83" s="68" t="inlineStr">
        <is>
          <t>Contrat d'entretien proposé — déclencheur D39 · Oui / non · Approfondi</t>
        </is>
      </c>
    </row>
    <row r="84" ht="23.85" customHeight="1" s="53">
      <c r="A84" s="73" t="inlineStr">
        <is>
          <t>Donnée ajoutée</t>
        </is>
      </c>
      <c r="B84" s="65" t="inlineStr">
        <is>
          <t>ACQ-17.30</t>
        </is>
      </c>
      <c r="C84" s="68" t="inlineStr">
        <is>
          <t>Donnée nouvelle</t>
        </is>
      </c>
      <c r="D84" s="68" t="inlineStr">
        <is>
          <t>—</t>
        </is>
      </c>
      <c r="E84" s="68" t="inlineStr">
        <is>
          <t>Clients sous contrat d'entretien aujourd'hui · Nombre · Approfondi · D39 · si contrat d'entretien proposé</t>
        </is>
      </c>
    </row>
    <row r="85" ht="15" customHeight="1" s="53">
      <c r="A85" s="73" t="inlineStr">
        <is>
          <t>Donnée ajoutée</t>
        </is>
      </c>
      <c r="B85" s="65" t="inlineStr">
        <is>
          <t>ACQ-18.06</t>
        </is>
      </c>
      <c r="C85" s="68" t="inlineStr">
        <is>
          <t>Donnée nouvelle</t>
        </is>
      </c>
      <c r="D85" s="68" t="inlineStr">
        <is>
          <t>—</t>
        </is>
      </c>
      <c r="E85" s="68" t="inlineStr">
        <is>
          <t>Mesure de la satisfaction des clients · Choix · Approfondi</t>
        </is>
      </c>
    </row>
    <row r="86" ht="23.85" customHeight="1" s="53">
      <c r="A86" s="73" t="inlineStr">
        <is>
          <t>Donnée ajoutée</t>
        </is>
      </c>
      <c r="B86" s="65" t="inlineStr">
        <is>
          <t>ACQ-18.07</t>
        </is>
      </c>
      <c r="C86" s="68" t="inlineStr">
        <is>
          <t>Donnée nouvelle</t>
        </is>
      </c>
      <c r="D86" s="68" t="inlineStr">
        <is>
          <t>—</t>
        </is>
      </c>
      <c r="E86" s="68" t="inlineStr">
        <is>
          <t>Valeur de la récompense de parrainage par client apporté · € · Approfondi · D17 · si programme de parrainage</t>
        </is>
      </c>
    </row>
    <row r="87" ht="15" customHeight="1" s="53">
      <c r="A87" s="73" t="inlineStr">
        <is>
          <t>Donnée ajoutée</t>
        </is>
      </c>
      <c r="B87" s="65" t="inlineStr">
        <is>
          <t>ACQ-20.05</t>
        </is>
      </c>
      <c r="C87" s="68" t="inlineStr">
        <is>
          <t>Donnée nouvelle</t>
        </is>
      </c>
      <c r="D87" s="68" t="inlineStr">
        <is>
          <t>—</t>
        </is>
      </c>
      <c r="E87" s="68" t="inlineStr">
        <is>
          <t>Objectif commercial chiffré chaque mois, et suivi · Choix · Essentiel</t>
        </is>
      </c>
    </row>
    <row r="88" ht="15" customHeight="1" s="53">
      <c r="A88" s="73" t="inlineStr">
        <is>
          <t>Donnée ajoutée</t>
        </is>
      </c>
      <c r="B88" s="65" t="inlineStr">
        <is>
          <t>ACQ-20.06</t>
        </is>
      </c>
      <c r="C88" s="68" t="inlineStr">
        <is>
          <t>Donnée nouvelle</t>
        </is>
      </c>
      <c r="D88" s="68" t="inlineStr">
        <is>
          <t>—</t>
        </is>
      </c>
      <c r="E88" s="68" t="inlineStr">
        <is>
          <t>Origine de chaque nouveau client notée · Choix · Essentiel</t>
        </is>
      </c>
    </row>
    <row r="89" ht="23.85" customHeight="1" s="53">
      <c r="A89" s="73" t="inlineStr">
        <is>
          <t>Donnée ajoutée</t>
        </is>
      </c>
      <c r="B89" s="65" t="inlineStr">
        <is>
          <t>COM-05.02</t>
        </is>
      </c>
      <c r="C89" s="68" t="inlineStr">
        <is>
          <t>Donnée nouvelle</t>
        </is>
      </c>
      <c r="D89" s="68" t="inlineStr">
        <is>
          <t>—</t>
        </is>
      </c>
      <c r="E89" s="68" t="inlineStr">
        <is>
          <t>Ce que garantit exactement le dirigeant · Texte court · Essentiel · D56 · si garantie proposée</t>
        </is>
      </c>
    </row>
    <row r="90" ht="23.85" customHeight="1" s="53">
      <c r="A90" s="73" t="inlineStr">
        <is>
          <t>Donnée ajoutée</t>
        </is>
      </c>
      <c r="B90" s="65" t="inlineStr">
        <is>
          <t>COM-09.08</t>
        </is>
      </c>
      <c r="C90" s="68" t="inlineStr">
        <is>
          <t>Donnée nouvelle</t>
        </is>
      </c>
      <c r="D90" s="68" t="inlineStr">
        <is>
          <t>—</t>
        </is>
      </c>
      <c r="E90" s="68" t="inlineStr">
        <is>
          <t>Offres principales représentées par au moins une preuve · Tableau : Au moins une preuve (lignes fixe: Offre 1 / Offre 2 / Offre 3) · Approfondi</t>
        </is>
      </c>
    </row>
    <row r="91" ht="35.05" customHeight="1" s="53">
      <c r="A91" s="73" t="inlineStr">
        <is>
          <t>Donnée ajoutée</t>
        </is>
      </c>
      <c r="B91" s="65" t="inlineStr">
        <is>
          <t>COM-10.07</t>
        </is>
      </c>
      <c r="C91" s="68" t="inlineStr">
        <is>
          <t>Donnée nouvelle</t>
        </is>
      </c>
      <c r="D91" s="68" t="inlineStr">
        <is>
          <t>—</t>
        </is>
      </c>
      <c r="E91" s="68" t="inlineStr">
        <is>
          <t>Publication régulière — déclencheur D21 : « au moins une fois par mois » → parcours amélioration ; sinon parcours mise en place (et brief de création, D30) · Choix · Essentiel</t>
        </is>
      </c>
    </row>
    <row r="92" ht="23.85" customHeight="1" s="53">
      <c r="A92" s="73" t="inlineStr">
        <is>
          <t>Donnée ajoutée</t>
        </is>
      </c>
      <c r="B92" s="65" t="inlineStr">
        <is>
          <t>COM-10.08</t>
        </is>
      </c>
      <c r="C92" s="68" t="inlineStr">
        <is>
          <t>Donnée nouvelle</t>
        </is>
      </c>
      <c r="D92" s="68" t="inlineStr">
        <is>
          <t>—</t>
        </is>
      </c>
      <c r="E92" s="68" t="inlineStr">
        <is>
          <t>Réseaux réellement utilisés — déclencheur D22 (lignes des tableaux « cadrage: D22 ») · Cases à cocher · Essentiel · D21 · si vous publiez déjà</t>
        </is>
      </c>
    </row>
    <row r="93" ht="23.85" customHeight="1" s="53">
      <c r="A93" s="73" t="inlineStr">
        <is>
          <t>Donnée ajoutée</t>
        </is>
      </c>
      <c r="B93" s="65" t="inlineStr">
        <is>
          <t>COM-13.10</t>
        </is>
      </c>
      <c r="C93" s="68" t="inlineStr">
        <is>
          <t>Donnée nouvelle</t>
        </is>
      </c>
      <c r="D93" s="68" t="inlineStr">
        <is>
          <t>—</t>
        </is>
      </c>
      <c r="E93" s="68" t="inlineStr">
        <is>
          <t>Site internet — déclencheur D23 (oui si « Site internet » est déjà coché en ACQ-03.01) · Oui / non · Essentiel</t>
        </is>
      </c>
    </row>
    <row r="94" ht="15" customHeight="1" s="53">
      <c r="A94" s="73" t="inlineStr">
        <is>
          <t>Donnée ajoutée</t>
        </is>
      </c>
      <c r="B94" s="65" t="inlineStr">
        <is>
          <t>COM-15.12</t>
        </is>
      </c>
      <c r="C94" s="68" t="inlineStr">
        <is>
          <t>Donnée nouvelle</t>
        </is>
      </c>
      <c r="D94" s="68" t="inlineStr">
        <is>
          <t>—</t>
        </is>
      </c>
      <c r="E94" s="68" t="inlineStr">
        <is>
          <t>Fichier de contacts — déclencheur D24 · Oui / non · Essentiel</t>
        </is>
      </c>
    </row>
    <row r="95" ht="46.25" customHeight="1" s="53">
      <c r="A95" s="73" t="inlineStr">
        <is>
          <t>Donnée ajoutée</t>
        </is>
      </c>
      <c r="B95" s="65" t="inlineStr">
        <is>
          <t>COM-22.04</t>
        </is>
      </c>
      <c r="C95" s="68" t="inlineStr">
        <is>
          <t>Donnée nouvelle</t>
        </is>
      </c>
      <c r="D95" s="68" t="inlineStr">
        <is>
          <t>—</t>
        </is>
      </c>
      <c r="E95" s="68" t="inlineStr">
        <is>
          <t>Répartition par réseau des demandes et clients venus des réseaux sociaux (ligne « Réseaux sociaux » du tableau des canaux) · Tableau : Part (lignes cadrage: D22) · Essentiel · D03 · si « Réseaux sociaux » est coché</t>
        </is>
      </c>
    </row>
    <row r="96" ht="79.84999999999999" customHeight="1" s="53">
      <c r="A96" s="73" t="inlineStr">
        <is>
          <t>Donnée ajoutée</t>
        </is>
      </c>
      <c r="B96" s="65" t="inlineStr">
        <is>
          <t>COM-27.02</t>
        </is>
      </c>
      <c r="C96" s="68" t="inlineStr">
        <is>
          <t>Donnée nouvelle</t>
        </is>
      </c>
      <c r="D96" s="68" t="inlineStr">
        <is>
          <t>—</t>
        </is>
      </c>
      <c r="E96" s="68" t="inlineStr">
        <is>
          <t>Répartition des publications par étape du funnel : se faire connaître, prouver, faire agir (calculée à partir des publications quand elles sont connectées) · Tableau : Part des publications (lignes fixe: Vous faire connaître : conseils, coulisses, actualité, humour / Montrer que votre travail est bon : avis, réalisations, avant-après, cas clients / Donner envie d'agir : offre, promotion, invitation à vous contacter) · Essentiel · D21 · si vous publiez déjà</t>
        </is>
      </c>
    </row>
    <row r="97" ht="35.05" customHeight="1" s="53">
      <c r="A97" s="73" t="inlineStr">
        <is>
          <t>Donnée ajoutée</t>
        </is>
      </c>
      <c r="B97" s="65" t="inlineStr">
        <is>
          <t>COM-39.07</t>
        </is>
      </c>
      <c r="C97" s="68" t="inlineStr">
        <is>
          <t>Donnée nouvelle</t>
        </is>
      </c>
      <c r="D97" s="68" t="inlineStr">
        <is>
          <t>—</t>
        </is>
      </c>
      <c r="E97" s="68" t="inlineStr">
        <is>
          <t>Accès aux statistiques des publications — déclencheur D26 (connexion des comptes proposée à part par le moteur) · Oui / non · Essentiel · D21 · si vous publiez déjà</t>
        </is>
      </c>
    </row>
    <row r="98" ht="23.85" customHeight="1" s="53">
      <c r="A98" s="73" t="inlineStr">
        <is>
          <t>Donnée ajoutée</t>
        </is>
      </c>
      <c r="B98" s="65" t="inlineStr">
        <is>
          <t>COM-43.03</t>
        </is>
      </c>
      <c r="C98" s="68" t="inlineStr">
        <is>
          <t>Donnée nouvelle</t>
        </is>
      </c>
      <c r="D98" s="68" t="inlineStr">
        <is>
          <t>—</t>
        </is>
      </c>
      <c r="E98" s="68" t="inlineStr">
        <is>
          <t>Moyens de savoir quels clients viennent des publications · Cases à cocher · Essentiel</t>
        </is>
      </c>
    </row>
    <row r="99" ht="23.85" customHeight="1" s="53">
      <c r="A99" s="73" t="inlineStr">
        <is>
          <t>Donnée ajoutée</t>
        </is>
      </c>
      <c r="B99" s="65" t="inlineStr">
        <is>
          <t>COM-45.02</t>
        </is>
      </c>
      <c r="C99" s="68" t="inlineStr">
        <is>
          <t>Donnée nouvelle</t>
        </is>
      </c>
      <c r="D99" s="68" t="inlineStr">
        <is>
          <t>—</t>
        </is>
      </c>
      <c r="E99" s="68" t="inlineStr">
        <is>
          <t>Façon de demander un avis · Cases à cocher · Essentiel · D62 · si vous demandez des avis</t>
        </is>
      </c>
    </row>
    <row r="100" ht="57.45" customHeight="1" s="53">
      <c r="A100" s="73" t="inlineStr">
        <is>
          <t>Donnée ajoutée</t>
        </is>
      </c>
      <c r="B100" s="65" t="inlineStr">
        <is>
          <t>COM-55.01</t>
        </is>
      </c>
      <c r="C100" s="68" t="inlineStr">
        <is>
          <t>Donnée nouvelle</t>
        </is>
      </c>
      <c r="D100" s="68" t="inlineStr">
        <is>
          <t>—</t>
        </is>
      </c>
      <c r="E100" s="68" t="inlineStr">
        <is>
          <t>Profil de chaque réseau : description claire, lien, bouton de contact, publications épinglées · Tableau : Description claire : quoi, pour qui, où · Lien vers votre site ou votre prise de rendez-vous · Bouton de contact · Publications épinglées qui présentent votre offre (lignes cadrage: D22) · Essentiel · D21 · si vous publiez déjà</t>
        </is>
      </c>
    </row>
    <row r="101" ht="23.85" customHeight="1" s="53">
      <c r="A101" s="73" t="inlineStr">
        <is>
          <t>Donnée ajoutée</t>
        </is>
      </c>
      <c r="B101" s="65" t="inlineStr">
        <is>
          <t>COM-56.01</t>
        </is>
      </c>
      <c r="C101" s="68" t="inlineStr">
        <is>
          <t>Donnée nouvelle</t>
        </is>
      </c>
      <c r="D101" s="68" t="inlineStr">
        <is>
          <t>—</t>
        </is>
      </c>
      <c r="E101" s="68" t="inlineStr">
        <is>
          <t>Comptes déjà ouverts, même abandonnés · Cases à cocher · Essentiel · D21 · si vous ne publiez pas encore</t>
        </is>
      </c>
    </row>
    <row r="102" ht="23.85" customHeight="1" s="53">
      <c r="A102" s="73" t="inlineStr">
        <is>
          <t>Donnée ajoutée</t>
        </is>
      </c>
      <c r="B102" s="65" t="inlineStr">
        <is>
          <t>COM-56.02</t>
        </is>
      </c>
      <c r="C102" s="68" t="inlineStr">
        <is>
          <t>Donnée nouvelle</t>
        </is>
      </c>
      <c r="D102" s="68" t="inlineStr">
        <is>
          <t>—</t>
        </is>
      </c>
      <c r="E102" s="68" t="inlineStr">
        <is>
          <t>Ce qui a empêché de publier jusqu'ici · Cases à cocher · Essentiel · D21 · si vous ne publiez pas encore</t>
        </is>
      </c>
    </row>
    <row r="103" ht="23.85" customHeight="1" s="53">
      <c r="A103" s="73" t="inlineStr">
        <is>
          <t>Donnée ajoutée</t>
        </is>
      </c>
      <c r="B103" s="65" t="inlineStr">
        <is>
          <t>COM-56.03</t>
        </is>
      </c>
      <c r="C103" s="68" t="inlineStr">
        <is>
          <t>Donnée nouvelle</t>
        </is>
      </c>
      <c r="D103" s="68" t="inlineStr">
        <is>
          <t>—</t>
        </is>
      </c>
      <c r="E103" s="68" t="inlineStr">
        <is>
          <t>Qui s'occuperait des publications · Choix · Essentiel · D21 · si vous ne publiez pas encore</t>
        </is>
      </c>
    </row>
    <row r="104" ht="23.85" customHeight="1" s="53">
      <c r="A104" s="73" t="inlineStr">
        <is>
          <t>Donnée ajoutée</t>
        </is>
      </c>
      <c r="B104" s="65" t="inlineStr">
        <is>
          <t>COM-56.04</t>
        </is>
      </c>
      <c r="C104" s="68" t="inlineStr">
        <is>
          <t>Donnée nouvelle</t>
        </is>
      </c>
      <c r="D104" s="68" t="inlineStr">
        <is>
          <t>—</t>
        </is>
      </c>
      <c r="E104" s="68" t="inlineStr">
        <is>
          <t>Budget mensuel possible pour lancer la communication · € · Essentiel · D21 · si vous ne publiez pas encore</t>
        </is>
      </c>
    </row>
    <row r="105" ht="23.85" customHeight="1" s="53">
      <c r="A105" s="73" t="inlineStr">
        <is>
          <t>Donnée ajoutée</t>
        </is>
      </c>
      <c r="B105" s="65" t="inlineStr">
        <is>
          <t>COM-57.01</t>
        </is>
      </c>
      <c r="C105" s="68" t="inlineStr">
        <is>
          <t>Donnée nouvelle</t>
        </is>
      </c>
      <c r="D105" s="68" t="inlineStr">
        <is>
          <t>—</t>
        </is>
      </c>
      <c r="E105" s="68" t="inlineStr">
        <is>
          <t>Portrait du client idéal · Texte · Essentiel · D30 · avant la première création de contenu</t>
        </is>
      </c>
    </row>
    <row r="106" ht="23.85" customHeight="1" s="53">
      <c r="A106" s="73" t="inlineStr">
        <is>
          <t>Donnée ajoutée</t>
        </is>
      </c>
      <c r="B106" s="65" t="inlineStr">
        <is>
          <t>COM-57.02</t>
        </is>
      </c>
      <c r="C106" s="68" t="inlineStr">
        <is>
          <t>Donnée nouvelle</t>
        </is>
      </c>
      <c r="D106" s="68" t="inlineStr">
        <is>
          <t>—</t>
        </is>
      </c>
      <c r="E106" s="68" t="inlineStr">
        <is>
          <t>Tutoiement ou vouvoiement · Choix · Essentiel · D30 · avant la première création de contenu</t>
        </is>
      </c>
    </row>
    <row r="107" ht="23.85" customHeight="1" s="53">
      <c r="A107" s="73" t="inlineStr">
        <is>
          <t>Donnée ajoutée</t>
        </is>
      </c>
      <c r="B107" s="65" t="inlineStr">
        <is>
          <t>COM-57.03</t>
        </is>
      </c>
      <c r="C107" s="68" t="inlineStr">
        <is>
          <t>Donnée nouvelle</t>
        </is>
      </c>
      <c r="D107" s="68" t="inlineStr">
        <is>
          <t>—</t>
        </is>
      </c>
      <c r="E107" s="68" t="inlineStr">
        <is>
          <t>Ton voulu · Cases à cocher · Essentiel · D30 · avant la première création de contenu</t>
        </is>
      </c>
    </row>
    <row r="108" ht="23.85" customHeight="1" s="53">
      <c r="A108" s="73" t="inlineStr">
        <is>
          <t>Donnée ajoutée</t>
        </is>
      </c>
      <c r="B108" s="65" t="inlineStr">
        <is>
          <t>COM-57.04</t>
        </is>
      </c>
      <c r="C108" s="68" t="inlineStr">
        <is>
          <t>Donnée nouvelle</t>
        </is>
      </c>
      <c r="D108" s="68" t="inlineStr">
        <is>
          <t>—</t>
        </is>
      </c>
      <c r="E108" s="68" t="inlineStr">
        <is>
          <t>Mots à employer et à éviter · Plusieurs champs : À employer · À éviter · Essentiel · D30 · avant la première création de contenu</t>
        </is>
      </c>
    </row>
    <row r="109" ht="23.85" customHeight="1" s="53">
      <c r="A109" s="73" t="inlineStr">
        <is>
          <t>Donnée ajoutée</t>
        </is>
      </c>
      <c r="B109" s="65" t="inlineStr">
        <is>
          <t>COM-57.05</t>
        </is>
      </c>
      <c r="C109" s="68" t="inlineStr">
        <is>
          <t>Donnée nouvelle</t>
        </is>
      </c>
      <c r="D109" s="68" t="inlineStr">
        <is>
          <t>—</t>
        </is>
      </c>
      <c r="E109" s="68" t="inlineStr">
        <is>
          <t>Apparition du dirigeant dans les contenus · Choix · Essentiel · D30 · avant la première création de contenu</t>
        </is>
      </c>
    </row>
    <row r="110" ht="35.05" customHeight="1" s="53">
      <c r="A110" s="73" t="inlineStr">
        <is>
          <t>Donnée ajoutée</t>
        </is>
      </c>
      <c r="B110" s="65" t="inlineStr">
        <is>
          <t>COM-57.06</t>
        </is>
      </c>
      <c r="C110" s="68" t="inlineStr">
        <is>
          <t>Donnée nouvelle</t>
        </is>
      </c>
      <c r="D110" s="68" t="inlineStr">
        <is>
          <t>—</t>
        </is>
      </c>
      <c r="E110" s="68" t="inlineStr">
        <is>
          <t>Logo, charte graphique et couleurs (dépôt des fichiers à prévoir dans le moteur) · Plusieurs champs : Logo · Charte graphique · Vos couleurs · Essentiel · D30 · avant la première création de contenu</t>
        </is>
      </c>
    </row>
    <row r="111" ht="23.85" customHeight="1" s="53">
      <c r="A111" s="73" t="inlineStr">
        <is>
          <t>Donnée ajoutée</t>
        </is>
      </c>
      <c r="B111" s="65" t="inlineStr">
        <is>
          <t>COM-57.07</t>
        </is>
      </c>
      <c r="C111" s="68" t="inlineStr">
        <is>
          <t>Donnée nouvelle</t>
        </is>
      </c>
      <c r="D111" s="68" t="inlineStr">
        <is>
          <t>—</t>
        </is>
      </c>
      <c r="E111" s="68" t="inlineStr">
        <is>
          <t>Contenus à produire · Cases à cocher · Essentiel · D30 · avant la première création de contenu</t>
        </is>
      </c>
    </row>
    <row r="112" ht="23.85" customHeight="1" s="53">
      <c r="A112" s="73" t="inlineStr">
        <is>
          <t>Donnée ajoutée</t>
        </is>
      </c>
      <c r="B112" s="65" t="inlineStr">
        <is>
          <t>COM-57.08</t>
        </is>
      </c>
      <c r="C112" s="68" t="inlineStr">
        <is>
          <t>Donnée nouvelle</t>
        </is>
      </c>
      <c r="D112" s="68" t="inlineStr">
        <is>
          <t>—</t>
        </is>
      </c>
      <c r="E112" s="68" t="inlineStr">
        <is>
          <t>Validation avant publication · Choix · Essentiel · D30 · avant la première création de contenu</t>
        </is>
      </c>
    </row>
    <row r="113" ht="23.85" customHeight="1" s="53">
      <c r="A113" s="73" t="inlineStr">
        <is>
          <t>Donnée ajoutée</t>
        </is>
      </c>
      <c r="B113" s="65" t="inlineStr">
        <is>
          <t>COM-57.10</t>
        </is>
      </c>
      <c r="C113" s="68" t="inlineStr">
        <is>
          <t>Donnée nouvelle</t>
        </is>
      </c>
      <c r="D113" s="68" t="inlineStr">
        <is>
          <t>—</t>
        </is>
      </c>
      <c r="E113" s="68" t="inlineStr">
        <is>
          <t>Offre à mettre en avant en priorité · Texte court · Essentiel · D30 · avant la première création de contenu</t>
        </is>
      </c>
    </row>
    <row r="114" ht="23.85" customHeight="1" s="53">
      <c r="A114" s="73" t="inlineStr">
        <is>
          <t>Donnée ajoutée</t>
        </is>
      </c>
      <c r="B114" s="65" t="inlineStr">
        <is>
          <t>COM-57.11</t>
        </is>
      </c>
      <c r="C114" s="68" t="inlineStr">
        <is>
          <t>Donnée nouvelle</t>
        </is>
      </c>
      <c r="D114" s="68" t="inlineStr">
        <is>
          <t>—</t>
        </is>
      </c>
      <c r="E114" s="68" t="inlineStr">
        <is>
          <t>Questions les plus fréquentes des clients · Liste · Essentiel · D30 · avant la première création de contenu</t>
        </is>
      </c>
    </row>
    <row r="115" ht="23.85" customHeight="1" s="53">
      <c r="A115" s="73" t="inlineStr">
        <is>
          <t>Donnée ajoutée</t>
        </is>
      </c>
      <c r="B115" s="65" t="inlineStr">
        <is>
          <t>COM-57.12</t>
        </is>
      </c>
      <c r="C115" s="68" t="inlineStr">
        <is>
          <t>Donnée nouvelle</t>
        </is>
      </c>
      <c r="D115" s="68" t="inlineStr">
        <is>
          <t>—</t>
        </is>
      </c>
      <c r="E115" s="68" t="inlineStr">
        <is>
          <t>Hésitations entendues avant l'achat · Liste · Essentiel · D30 · avant la première création de contenu</t>
        </is>
      </c>
    </row>
    <row r="116" ht="23.85" customHeight="1" s="53">
      <c r="A116" s="73" t="inlineStr">
        <is>
          <t>Donnée ajoutée</t>
        </is>
      </c>
      <c r="B116" s="65" t="inlineStr">
        <is>
          <t>COM-57.13</t>
        </is>
      </c>
      <c r="C116" s="68" t="inlineStr">
        <is>
          <t>Donnée nouvelle</t>
        </is>
      </c>
      <c r="D116" s="68" t="inlineStr">
        <is>
          <t>—</t>
        </is>
      </c>
      <c r="E116" s="68" t="inlineStr">
        <is>
          <t>Dates qui comptent dans l'année · Liste · Essentiel · D30 · avant la première création de contenu</t>
        </is>
      </c>
    </row>
    <row r="117" ht="23.85" customHeight="1" s="53">
      <c r="A117" s="73" t="inlineStr">
        <is>
          <t>Donnée ajoutée</t>
        </is>
      </c>
      <c r="B117" s="65" t="inlineStr">
        <is>
          <t>COM-57.14</t>
        </is>
      </c>
      <c r="C117" s="68" t="inlineStr">
        <is>
          <t>Donnée nouvelle</t>
        </is>
      </c>
      <c r="D117" s="68" t="inlineStr">
        <is>
          <t>—</t>
        </is>
      </c>
      <c r="E117" s="68" t="inlineStr">
        <is>
          <t>Règles du métier à respecter pour communiquer · Texte · Essentiel · D30 · avant la première création de contenu</t>
        </is>
      </c>
    </row>
    <row r="118" ht="23.85" customHeight="1" s="53">
      <c r="A118" s="73" t="inlineStr">
        <is>
          <t>Donnée ajoutée</t>
        </is>
      </c>
      <c r="B118" s="65" t="inlineStr">
        <is>
          <t>COM-57.15</t>
        </is>
      </c>
      <c r="C118" s="68" t="inlineStr">
        <is>
          <t>Donnée nouvelle</t>
        </is>
      </c>
      <c r="D118" s="68" t="inlineStr">
        <is>
          <t>—</t>
        </is>
      </c>
      <c r="E118" s="68" t="inlineStr">
        <is>
          <t>Comptes et publications qui inspirent le dirigeant · Texte · Approfondi · D30 · avant la première création de contenu</t>
        </is>
      </c>
    </row>
    <row r="119" ht="23.85" customHeight="1" s="53">
      <c r="A119" s="73" t="inlineStr">
        <is>
          <t>Donnée ajoutée</t>
        </is>
      </c>
      <c r="B119" s="65" t="inlineStr">
        <is>
          <t>COM-57.16</t>
        </is>
      </c>
      <c r="C119" s="68" t="inlineStr">
        <is>
          <t>Donnée nouvelle</t>
        </is>
      </c>
      <c r="D119" s="68" t="inlineStr">
        <is>
          <t>—</t>
        </is>
      </c>
      <c r="E119" s="68" t="inlineStr">
        <is>
          <t>Langues de publication · Cases à cocher · Approfondi · D30 · avant la première création de contenu</t>
        </is>
      </c>
    </row>
    <row r="120" ht="46.25" customHeight="1" s="53">
      <c r="A120" s="73" t="inlineStr">
        <is>
          <t>Donnée ajoutée</t>
        </is>
      </c>
      <c r="B120" s="65" t="inlineStr">
        <is>
          <t>COM-58.01</t>
        </is>
      </c>
      <c r="C120" s="68" t="inlineStr">
        <is>
          <t>Donnée nouvelle</t>
        </is>
      </c>
      <c r="D120" s="68" t="inlineStr">
        <is>
          <t>—</t>
        </is>
      </c>
      <c r="E120" s="68" t="inlineStr">
        <is>
          <t>Action unique attendue après une publication, et lien ou numéro où envoyer la personne (reprise par le brief de création, ancienne COM-57.09) · Plusieurs champs : Action · Lien ou numéro où l'envoyer · Essentiel</t>
        </is>
      </c>
    </row>
    <row r="121" ht="35.05" customHeight="1" s="53">
      <c r="A121" s="73" t="inlineStr">
        <is>
          <t>Donnée ajoutée</t>
        </is>
      </c>
      <c r="B121" s="65" t="inlineStr">
        <is>
          <t>COM-58.02</t>
        </is>
      </c>
      <c r="C121" s="68" t="inlineStr">
        <is>
          <t>Donnée nouvelle</t>
        </is>
      </c>
      <c r="D121" s="68" t="inlineStr">
        <is>
          <t>—</t>
        </is>
      </c>
      <c r="E121" s="68" t="inlineStr">
        <is>
          <t>Moyens de contact, de réservation ou d'achat en ligne qui existent aujourd'hui : les destinations possibles du funnel · Cases à cocher · Essentiel</t>
        </is>
      </c>
    </row>
    <row r="122" ht="35.05" customHeight="1" s="53">
      <c r="A122" s="73" t="inlineStr">
        <is>
          <t>Donnée ajoutée</t>
        </is>
      </c>
      <c r="B122" s="65" t="inlineStr">
        <is>
          <t>COM-59.01</t>
        </is>
      </c>
      <c r="C122" s="68" t="inlineStr">
        <is>
          <t>Donnée nouvelle</t>
        </is>
      </c>
      <c r="D122" s="68" t="inlineStr">
        <is>
          <t>—</t>
        </is>
      </c>
      <c r="E122" s="68" t="inlineStr">
        <is>
          <t>Visites du profil par mois, par réseau : l'étape entre la publication vue et le clic ou l'abonnement · Tableau : Visites du profil par mois (lignes cadrage: D22) · Essentiel · D22 · une ligne par réseau utilisé</t>
        </is>
      </c>
    </row>
    <row r="123" ht="23.85" customHeight="1" s="53">
      <c r="A123" s="73" t="inlineStr">
        <is>
          <t>Donnée ajoutée</t>
        </is>
      </c>
      <c r="B123" s="65" t="inlineStr">
        <is>
          <t>COM-60.01</t>
        </is>
      </c>
      <c r="C123" s="68" t="inlineStr">
        <is>
          <t>Donnée nouvelle</t>
        </is>
      </c>
      <c r="D123" s="68" t="inlineStr">
        <is>
          <t>—</t>
        </is>
      </c>
      <c r="E123" s="68" t="inlineStr">
        <is>
          <t>Page d'arrivée du lien du profil — déclencheur D64 · Choix · Essentiel · D21 · si vous publiez déjà</t>
        </is>
      </c>
    </row>
    <row r="124" ht="35.05" customHeight="1" s="53">
      <c r="A124" s="73" t="inlineStr">
        <is>
          <t>Donnée ajoutée</t>
        </is>
      </c>
      <c r="B124" s="65" t="inlineStr">
        <is>
          <t>COM-60.02</t>
        </is>
      </c>
      <c r="C124" s="68" t="inlineStr">
        <is>
          <t>Donnée nouvelle</t>
        </is>
      </c>
      <c r="D124" s="68" t="inlineStr">
        <is>
          <t>—</t>
        </is>
      </c>
      <c r="E124" s="68" t="inlineStr">
        <is>
          <t>Ce que montre la page d'arrivée sans faire défiler : offre, preuve, bouton unique, formulaire court, prix · Cases à cocher · Essentiel · D64 · si le profil mène vers une page</t>
        </is>
      </c>
    </row>
    <row r="125" ht="35.05" customHeight="1" s="53">
      <c r="A125" s="73" t="inlineStr">
        <is>
          <t>Donnée ajoutée</t>
        </is>
      </c>
      <c r="B125" s="65" t="inlineStr">
        <is>
          <t>COM-61.01</t>
        </is>
      </c>
      <c r="C125" s="68" t="inlineStr">
        <is>
          <t>Donnée nouvelle</t>
        </is>
      </c>
      <c r="D125" s="68" t="inlineStr">
        <is>
          <t>—</t>
        </is>
      </c>
      <c r="E125" s="68" t="inlineStr">
        <is>
          <t>Ce que fait le dirigeant des personnes qui ont réagi ou écrit sans acheter — déclencheur D65 · Cases à cocher · Essentiel · D21 · si vous publiez déjà</t>
        </is>
      </c>
    </row>
    <row r="126" ht="46.25" customHeight="1" s="53">
      <c r="A126" s="73" t="inlineStr">
        <is>
          <t>Donnée ajoutée</t>
        </is>
      </c>
      <c r="B126" s="65" t="inlineStr">
        <is>
          <t>COM-61.02</t>
        </is>
      </c>
      <c r="C126" s="68" t="inlineStr">
        <is>
          <t>Donnée nouvelle</t>
        </is>
      </c>
      <c r="D126" s="68" t="inlineStr">
        <is>
          <t>—</t>
        </is>
      </c>
      <c r="E126" s="68" t="inlineStr">
        <is>
          <t>Personnes intéressées contactées par le dirigeant chaque mois, et clients obtenus ainsi · Plusieurs champs : Personnes contactées par mois · Devenues clientes par mois · Approfondi · D65 · si vous leur écrivez en message privé</t>
        </is>
      </c>
    </row>
    <row r="127" ht="35.05" customHeight="1" s="53">
      <c r="A127" s="73" t="inlineStr">
        <is>
          <t>Donnée ajoutée</t>
        </is>
      </c>
      <c r="B127" s="65" t="inlineStr">
        <is>
          <t>FIN-09.10</t>
        </is>
      </c>
      <c r="C127" s="68" t="inlineStr">
        <is>
          <t>Donnée nouvelle</t>
        </is>
      </c>
      <c r="D127" s="68" t="inlineStr">
        <is>
          <t>—</t>
        </is>
      </c>
      <c r="E127" s="68" t="inlineStr">
        <is>
          <t>Coût total des abonnements et contrats par mois (le détail FIN-09.01 n'est demandé que si le thème ressort en difficulté ; FIN-09.05 = ce total tant que le détail manque) · € · Essentiel</t>
        </is>
      </c>
    </row>
    <row r="128" ht="15" customHeight="1" s="53">
      <c r="A128" s="73" t="inlineStr">
        <is>
          <t>Donnée ajoutée</t>
        </is>
      </c>
      <c r="B128" s="65" t="inlineStr">
        <is>
          <t>FIN-13.06</t>
        </is>
      </c>
      <c r="C128" s="68" t="inlineStr">
        <is>
          <t>Donnée nouvelle</t>
        </is>
      </c>
      <c r="D128" s="68" t="inlineStr">
        <is>
          <t>—</t>
        </is>
      </c>
      <c r="E128" s="68" t="inlineStr">
        <is>
          <t>Plan de trésorerie des mois à venir · Choix · Essentiel</t>
        </is>
      </c>
    </row>
    <row r="129" ht="23.85" customHeight="1" s="53">
      <c r="A129" s="73" t="inlineStr">
        <is>
          <t>Donnée ajoutée</t>
        </is>
      </c>
      <c r="B129" s="65" t="inlineStr">
        <is>
          <t>FIN-17.10</t>
        </is>
      </c>
      <c r="C129" s="68" t="inlineStr">
        <is>
          <t>Donnée nouvelle</t>
        </is>
      </c>
      <c r="D129" s="68" t="inlineStr">
        <is>
          <t>—</t>
        </is>
      </c>
      <c r="E129" s="68" t="inlineStr">
        <is>
          <t>Moyen de paiement le plus utilisé par les clients · Choix · Approfondi · D09 · si paiement après facture</t>
        </is>
      </c>
    </row>
    <row r="130" ht="23.85" customHeight="1" s="53">
      <c r="A130" s="73" t="inlineStr">
        <is>
          <t>Donnée ajoutée</t>
        </is>
      </c>
      <c r="B130" s="65" t="inlineStr">
        <is>
          <t>FIN-20.08</t>
        </is>
      </c>
      <c r="C130" s="68" t="inlineStr">
        <is>
          <t>Donnée nouvelle</t>
        </is>
      </c>
      <c r="D130" s="68" t="inlineStr">
        <is>
          <t>—</t>
        </is>
      </c>
      <c r="E130" s="68" t="inlineStr">
        <is>
          <t>Remise proposée pour paiement rapide · % · Approfondi · D43 · si remise pour paiement rapide</t>
        </is>
      </c>
    </row>
    <row r="131" ht="23.85" customHeight="1" s="53">
      <c r="A131" s="73" t="inlineStr">
        <is>
          <t>Donnée ajoutée</t>
        </is>
      </c>
      <c r="B131" s="65" t="inlineStr">
        <is>
          <t>FIN-46.01</t>
        </is>
      </c>
      <c r="C131" s="68" t="inlineStr">
        <is>
          <t>Donnée nouvelle</t>
        </is>
      </c>
      <c r="D131" s="68" t="inlineStr">
        <is>
          <t>—</t>
        </is>
      </c>
      <c r="E131" s="68" t="inlineStr">
        <is>
          <t>Ce que le dirigeant s'est versé sur 12 mois (salaire, prélèvements, dividendes) ; le moteur divise par 12 pour le mois · € · Essentiel</t>
        </is>
      </c>
    </row>
    <row r="132" ht="15" customHeight="1" s="53">
      <c r="A132" s="73" t="inlineStr">
        <is>
          <t>Donnée ajoutée</t>
        </is>
      </c>
      <c r="B132" s="65" t="inlineStr">
        <is>
          <t>FIN-46.02</t>
        </is>
      </c>
      <c r="C132" s="68" t="inlineStr">
        <is>
          <t>Donnée nouvelle</t>
        </is>
      </c>
      <c r="D132" s="68" t="inlineStr">
        <is>
          <t>—</t>
        </is>
      </c>
      <c r="E132" s="68" t="inlineStr">
        <is>
          <t>Cotisations sociales personnelles du dirigeant par mois · € · Essentiel</t>
        </is>
      </c>
    </row>
    <row r="133" ht="15" customHeight="1" s="53">
      <c r="A133" s="73" t="inlineStr">
        <is>
          <t>Donnée ajoutée</t>
        </is>
      </c>
      <c r="B133" s="65" t="inlineStr">
        <is>
          <t>FIN-46.03</t>
        </is>
      </c>
      <c r="C133" s="68" t="inlineStr">
        <is>
          <t>Donnée nouvelle</t>
        </is>
      </c>
      <c r="D133" s="68" t="inlineStr">
        <is>
          <t>—</t>
        </is>
      </c>
      <c r="E133" s="68" t="inlineStr">
        <is>
          <t>Rémunération mensuelle souhaitée par le dirigeant · € · Essentiel</t>
        </is>
      </c>
    </row>
    <row r="134" ht="35.05" customHeight="1" s="53">
      <c r="A134" s="73" t="inlineStr">
        <is>
          <t>Donnée ajoutée</t>
        </is>
      </c>
      <c r="B134" s="65" t="inlineStr">
        <is>
          <t>FIN-47.01</t>
        </is>
      </c>
      <c r="C134" s="68" t="inlineStr">
        <is>
          <t>Donnée nouvelle</t>
        </is>
      </c>
      <c r="D134" s="68" t="inlineStr">
        <is>
          <t>—</t>
        </is>
      </c>
      <c r="E134" s="68" t="inlineStr">
        <is>
          <t>Forme de l'entreprise — déclencheur D31 : sert seulement à lire les chiffres (résultat, rémunération), jamais à un conseil fiscal ou juridique · Choix · Essentiel</t>
        </is>
      </c>
    </row>
    <row r="135" ht="23.85" customHeight="1" s="53">
      <c r="A135" s="73" t="inlineStr">
        <is>
          <t>Donnée ajoutée</t>
        </is>
      </c>
      <c r="B135" s="65" t="inlineStr">
        <is>
          <t>FIN-47.02</t>
        </is>
      </c>
      <c r="C135" s="68" t="inlineStr">
        <is>
          <t>Donnée nouvelle</t>
        </is>
      </c>
      <c r="D135" s="68" t="inlineStr">
        <is>
          <t>—</t>
        </is>
      </c>
      <c r="E135" s="68" t="inlineStr">
        <is>
          <t>Compte bancaire réservé à l'activité · Oui / non · Essentiel · D31 · si micro-entreprise ou entreprise individuelle</t>
        </is>
      </c>
    </row>
    <row r="136" ht="15" customHeight="1" s="53">
      <c r="A136" s="73" t="inlineStr">
        <is>
          <t>Donnée ajoutée</t>
        </is>
      </c>
      <c r="B136" s="65" t="inlineStr">
        <is>
          <t>FIN-48.01</t>
        </is>
      </c>
      <c r="C136" s="68" t="inlineStr">
        <is>
          <t>Donnée nouvelle</t>
        </is>
      </c>
      <c r="D136" s="68" t="inlineStr">
        <is>
          <t>—</t>
        </is>
      </c>
      <c r="E136" s="68" t="inlineStr">
        <is>
          <t>Dernier point fait avec le banquier sur l'activité · Choix · Essentiel</t>
        </is>
      </c>
    </row>
    <row r="137" ht="46.25" customHeight="1" s="53">
      <c r="A137" s="73" t="inlineStr">
        <is>
          <t>Donnée ajoutée</t>
        </is>
      </c>
      <c r="B137" s="65" t="inlineStr">
        <is>
          <t>RH-05.10</t>
        </is>
      </c>
      <c r="C137" s="68" t="inlineStr">
        <is>
          <t>Donnée nouvelle</t>
        </is>
      </c>
      <c r="D137" s="68" t="inlineStr">
        <is>
          <t>—</t>
        </is>
      </c>
      <c r="E137" s="68" t="inlineStr">
        <is>
          <t>Durée d'absence possible du dirigeant sans retard pour les clients (ligne « vous » de RH-38.01) — mini-bloc « temps du dirigeant », partagé : posé par le premier agent qui en a besoin (Acquisition, Finance, Comm ou RH), jamais redemandé · Choix · Essentiel</t>
        </is>
      </c>
    </row>
    <row r="138" ht="23.85" customHeight="1" s="53">
      <c r="A138" s="73" t="inlineStr">
        <is>
          <t>Donnée ajoutée</t>
        </is>
      </c>
      <c r="B138" s="65" t="inlineStr">
        <is>
          <t>RH-05.11</t>
        </is>
      </c>
      <c r="C138" s="68" t="inlineStr">
        <is>
          <t>Donnée nouvelle</t>
        </is>
      </c>
      <c r="D138" s="68" t="inlineStr">
        <is>
          <t>—</t>
        </is>
      </c>
      <c r="E138" s="68" t="inlineStr">
        <is>
          <t>Semaines de congés réellement prises par le dirigeant sur 12 mois (lu avec RH-05.10 : capacité à s'absenter) · Semaines · Essentiel</t>
        </is>
      </c>
    </row>
    <row r="139" ht="23.85" customHeight="1" s="53">
      <c r="A139" s="73" t="inlineStr">
        <is>
          <t>Donnée ajoutée</t>
        </is>
      </c>
      <c r="B139" s="65" t="inlineStr">
        <is>
          <t>RH-15.03</t>
        </is>
      </c>
      <c r="C139" s="68" t="inlineStr">
        <is>
          <t>Donnée nouvelle</t>
        </is>
      </c>
      <c r="D139" s="68" t="inlineStr">
        <is>
          <t>—</t>
        </is>
      </c>
      <c r="E139" s="68" t="inlineStr">
        <is>
          <t>Heures perdues par semaine à cause du matériel · Heures · Approfondi · D47 · si du matériel ralentit le travail</t>
        </is>
      </c>
    </row>
    <row r="140" ht="15" customHeight="1" s="53">
      <c r="A140" s="73" t="inlineStr">
        <is>
          <t>Donnée ajoutée</t>
        </is>
      </c>
      <c r="B140" s="65" t="inlineStr">
        <is>
          <t>RH-25.02</t>
        </is>
      </c>
      <c r="C140" s="68" t="inlineStr">
        <is>
          <t>Donnée nouvelle</t>
        </is>
      </c>
      <c r="D140" s="68" t="inlineStr">
        <is>
          <t>—</t>
        </is>
      </c>
      <c r="E140" s="68" t="inlineStr">
        <is>
          <t>Utilisation des financements de formation de l'OPCO · Choix · Approfondi</t>
        </is>
      </c>
    </row>
    <row r="141" ht="23.85" customHeight="1" s="53">
      <c r="A141" s="73" t="inlineStr">
        <is>
          <t>Donnée ajoutée</t>
        </is>
      </c>
      <c r="B141" s="65" t="inlineStr">
        <is>
          <t>RH-28.09</t>
        </is>
      </c>
      <c r="C141" s="68" t="inlineStr">
        <is>
          <t>Donnée nouvelle</t>
        </is>
      </c>
      <c r="D141" s="68" t="inlineStr">
        <is>
          <t>—</t>
        </is>
      </c>
      <c r="E141" s="68" t="inlineStr">
        <is>
          <t>Moyens de recrutement utilisés · Cases à cocher · Approfondi · D13 · si recrutement fait ou prévu</t>
        </is>
      </c>
    </row>
    <row r="142" ht="23.85" customHeight="1" s="53">
      <c r="A142" s="73" t="inlineStr">
        <is>
          <t>Donnée ajoutée</t>
        </is>
      </c>
      <c r="B142" s="65" t="inlineStr">
        <is>
          <t>RH-28.10</t>
        </is>
      </c>
      <c r="C142" s="68" t="inlineStr">
        <is>
          <t>Donnée nouvelle</t>
        </is>
      </c>
      <c r="D142" s="68" t="inlineStr">
        <is>
          <t>—</t>
        </is>
      </c>
      <c r="E142" s="68" t="inlineStr">
        <is>
          <t>Moyen de recrutement qui a donné les meilleures recrues · Choix · Approfondi · D13 · si recrutement fait ou prévu</t>
        </is>
      </c>
    </row>
    <row r="143" ht="15" customHeight="1" s="53">
      <c r="A143" s="73" t="inlineStr">
        <is>
          <t>Donnée ajoutée</t>
        </is>
      </c>
      <c r="B143" s="65" t="inlineStr">
        <is>
          <t>RH-32.06</t>
        </is>
      </c>
      <c r="C143" s="68" t="inlineStr">
        <is>
          <t>Donnée nouvelle</t>
        </is>
      </c>
      <c r="D143" s="68" t="inlineStr">
        <is>
          <t>—</t>
        </is>
      </c>
      <c r="E143" s="68" t="inlineStr">
        <is>
          <t>Transmission du savoir-faire avant un départ · Choix · Approfondi</t>
        </is>
      </c>
    </row>
    <row r="144" ht="23.85" customHeight="1" s="53">
      <c r="A144" s="73" t="inlineStr">
        <is>
          <t>Donnée ajoutée</t>
        </is>
      </c>
      <c r="B144" s="65" t="inlineStr">
        <is>
          <t>RH-41.01</t>
        </is>
      </c>
      <c r="C144" s="68" t="inlineStr">
        <is>
          <t>Donnée nouvelle</t>
        </is>
      </c>
      <c r="D144" s="68" t="inlineStr">
        <is>
          <t>—</t>
        </is>
      </c>
      <c r="E144" s="68" t="inlineStr">
        <is>
          <t>Projet de se faire aider et horizon — déclencheur D28 : une réponse « Oui » ouvre la partie « S'entourer » · Choix · Essentiel</t>
        </is>
      </c>
    </row>
    <row r="145" ht="23.85" customHeight="1" s="53">
      <c r="A145" s="73" t="inlineStr">
        <is>
          <t>Donnée ajoutée</t>
        </is>
      </c>
      <c r="B145" s="65" t="inlineStr">
        <is>
          <t>RH-41.02</t>
        </is>
      </c>
      <c r="C145" s="68" t="inlineStr">
        <is>
          <t>Donnée nouvelle</t>
        </is>
      </c>
      <c r="D145" s="68" t="inlineStr">
        <is>
          <t>—</t>
        </is>
      </c>
      <c r="E145" s="68" t="inlineStr">
        <is>
          <t>Formes d'aide envisagées · Cases à cocher · Essentiel · D28 · si vous voulez être aidé</t>
        </is>
      </c>
    </row>
    <row r="146" ht="23.85" customHeight="1" s="53">
      <c r="A146" s="73" t="inlineStr">
        <is>
          <t>Donnée ajoutée</t>
        </is>
      </c>
      <c r="B146" s="65" t="inlineStr">
        <is>
          <t>RH-41.03</t>
        </is>
      </c>
      <c r="C146" s="68" t="inlineStr">
        <is>
          <t>Donnée nouvelle</t>
        </is>
      </c>
      <c r="D146" s="68" t="inlineStr">
        <is>
          <t>—</t>
        </is>
      </c>
      <c r="E146" s="68" t="inlineStr">
        <is>
          <t>Raison principale de se faire aider · Choix · Essentiel · D28 · si vous voulez être aidé</t>
        </is>
      </c>
    </row>
    <row r="147" ht="23.85" customHeight="1" s="53">
      <c r="A147" s="73" t="inlineStr">
        <is>
          <t>Donnée ajoutée</t>
        </is>
      </c>
      <c r="B147" s="65" t="inlineStr">
        <is>
          <t>RH-41.04</t>
        </is>
      </c>
      <c r="C147" s="68" t="inlineStr">
        <is>
          <t>Donnée nouvelle</t>
        </is>
      </c>
      <c r="D147" s="68" t="inlineStr">
        <is>
          <t>—</t>
        </is>
      </c>
      <c r="E147" s="68" t="inlineStr">
        <is>
          <t>Partie du travail confiée en premier · Choix · Essentiel · D28 · si vous voulez être aidé</t>
        </is>
      </c>
    </row>
    <row r="148" ht="23.85" customHeight="1" s="53">
      <c r="A148" s="73" t="inlineStr">
        <is>
          <t>Donnée ajoutée</t>
        </is>
      </c>
      <c r="B148" s="65" t="inlineStr">
        <is>
          <t>RH-41.05</t>
        </is>
      </c>
      <c r="C148" s="68" t="inlineStr">
        <is>
          <t>Donnée nouvelle</t>
        </is>
      </c>
      <c r="D148" s="68" t="inlineStr">
        <is>
          <t>—</t>
        </is>
      </c>
      <c r="E148" s="68" t="inlineStr">
        <is>
          <t>Heures par semaine à confier · Heures · Essentiel · D28 · si vous voulez être aidé</t>
        </is>
      </c>
    </row>
    <row r="149" ht="46.25" customHeight="1" s="53">
      <c r="A149" s="73" t="inlineStr">
        <is>
          <t>Donnée ajoutée</t>
        </is>
      </c>
      <c r="B149" s="65" t="inlineStr">
        <is>
          <t>RH-42.01</t>
        </is>
      </c>
      <c r="C149" s="68" t="inlineStr">
        <is>
          <t>Donnée nouvelle</t>
        </is>
      </c>
      <c r="D149" s="68" t="inlineStr">
        <is>
          <t>—</t>
        </is>
      </c>
      <c r="E149" s="68" t="inlineStr">
        <is>
          <t>Tâches à confier en premier : heures par semaine, apprentissage en moins d'un mois, méthode écrite · Tableau : Heures par semaine · S'apprend en moins d'un mois · Méthode écrite (lignes libre: 5) · Essentiel · D28 · si vous voulez être aidé</t>
        </is>
      </c>
    </row>
    <row r="150" ht="23.85" customHeight="1" s="53">
      <c r="A150" s="73" t="inlineStr">
        <is>
          <t>Donnée ajoutée</t>
        </is>
      </c>
      <c r="B150" s="65" t="inlineStr">
        <is>
          <t>RH-42.02</t>
        </is>
      </c>
      <c r="C150" s="68" t="inlineStr">
        <is>
          <t>Donnée nouvelle</t>
        </is>
      </c>
      <c r="D150" s="68" t="inlineStr">
        <is>
          <t>—</t>
        </is>
      </c>
      <c r="E150" s="68" t="inlineStr">
        <is>
          <t>Tâches que le dirigeant ne peut confier à personne, et pourquoi · Texte · Approfondi · D28 · si vous voulez être aidé</t>
        </is>
      </c>
    </row>
    <row r="151" ht="23.85" customHeight="1" s="53">
      <c r="A151" s="73" t="inlineStr">
        <is>
          <t>Donnée ajoutée</t>
        </is>
      </c>
      <c r="B151" s="65" t="inlineStr">
        <is>
          <t>RH-43.01</t>
        </is>
      </c>
      <c r="C151" s="68" t="inlineStr">
        <is>
          <t>Donnée nouvelle</t>
        </is>
      </c>
      <c r="D151" s="68" t="inlineStr">
        <is>
          <t>—</t>
        </is>
      </c>
      <c r="E151" s="68" t="inlineStr">
        <is>
          <t>Budget mensuel envisagé pour l'aide, tout compris · € · Essentiel · D28 · si vous voulez être aidé</t>
        </is>
      </c>
    </row>
    <row r="152" ht="57.45" customHeight="1" s="53">
      <c r="A152" s="73" t="inlineStr">
        <is>
          <t>Donnée ajoutée</t>
        </is>
      </c>
      <c r="B152" s="65" t="inlineStr">
        <is>
          <t>RH-43.02</t>
        </is>
      </c>
      <c r="C152" s="68" t="inlineStr">
        <is>
          <t>Donnée nouvelle (partagée)</t>
        </is>
      </c>
      <c r="D152" s="68" t="inlineStr">
        <is>
          <t>—</t>
        </is>
      </c>
      <c r="E152" s="68" t="inlineStr">
        <is>
          <t>Demandes perdues par mois faute de disponibilité, par motif — partagée avec ACQ-22.10 : posée une seule fois · Tableau : Clients perdus par mois (lignes fixe: Pas de créneau assez tôt / Pas le temps de répondre ou de chiffrer / Absence : vous ou un salarié / Produit en rupture de stock) · Essentiel · D28 · si vous voulez être aidé</t>
        </is>
      </c>
    </row>
    <row r="153" ht="23.85" customHeight="1" s="53">
      <c r="A153" s="73" t="inlineStr">
        <is>
          <t>Donnée ajoutée</t>
        </is>
      </c>
      <c r="B153" s="65" t="inlineStr">
        <is>
          <t>RH-43.03</t>
        </is>
      </c>
      <c r="C153" s="68" t="inlineStr">
        <is>
          <t>Donnée nouvelle</t>
        </is>
      </c>
      <c r="D153" s="68" t="inlineStr">
        <is>
          <t>—</t>
        </is>
      </c>
      <c r="E153" s="68" t="inlineStr">
        <is>
          <t>Équipement à prévoir pour accueillir la personne · Cases à cocher · Approfondi · D28 · si vous voulez être aidé</t>
        </is>
      </c>
    </row>
    <row r="154" ht="23.85" customHeight="1" s="53">
      <c r="A154" s="73" t="inlineStr">
        <is>
          <t>Donnée ajoutée</t>
        </is>
      </c>
      <c r="B154" s="65" t="inlineStr">
        <is>
          <t>RH-44.01</t>
        </is>
      </c>
      <c r="C154" s="68" t="inlineStr">
        <is>
          <t>Donnée nouvelle</t>
        </is>
      </c>
      <c r="D154" s="68" t="inlineStr">
        <is>
          <t>—</t>
        </is>
      </c>
      <c r="E154" s="68" t="inlineStr">
        <is>
          <t>Ce qui retient le dirigeant de se faire aider · Cases à cocher · Essentiel · D28 · si vous voulez être aidé</t>
        </is>
      </c>
    </row>
    <row r="155" ht="35.05" customHeight="1" s="53">
      <c r="A155" s="73" t="inlineStr">
        <is>
          <t>Donnée ajoutée</t>
        </is>
      </c>
      <c r="B155" s="65" t="inlineStr">
        <is>
          <t>RH-44.02</t>
        </is>
      </c>
      <c r="C155" s="68" t="inlineStr">
        <is>
          <t>Donnée nouvelle</t>
        </is>
      </c>
      <c r="D155" s="68" t="inlineStr">
        <is>
          <t>—</t>
        </is>
      </c>
      <c r="E155" s="68" t="inlineStr">
        <is>
          <t>Expérience passée avec un salarié ou un freelance régulier — déclencheur D29 : « mal passé » ouvre RH-44.03 · Choix · Essentiel · D28 · si vous voulez être aidé</t>
        </is>
      </c>
    </row>
    <row r="156" ht="23.85" customHeight="1" s="53">
      <c r="A156" s="73" t="inlineStr">
        <is>
          <t>Donnée ajoutée</t>
        </is>
      </c>
      <c r="B156" s="65" t="inlineStr">
        <is>
          <t>RH-44.03</t>
        </is>
      </c>
      <c r="C156" s="68" t="inlineStr">
        <is>
          <t>Donnée nouvelle</t>
        </is>
      </c>
      <c r="D156" s="68" t="inlineStr">
        <is>
          <t>—</t>
        </is>
      </c>
      <c r="E156" s="68" t="inlineStr">
        <is>
          <t>Ce qui n'a pas fonctionné la dernière fois · Choix · Essentiel · D29 · si l'expérience s'est mal passée</t>
        </is>
      </c>
    </row>
    <row r="157" ht="23.85" customHeight="1" s="53">
      <c r="A157" s="73" t="inlineStr">
        <is>
          <t>Donnée ajoutée</t>
        </is>
      </c>
      <c r="B157" s="65" t="inlineStr">
        <is>
          <t>RH-45.01</t>
        </is>
      </c>
      <c r="C157" s="68" t="inlineStr">
        <is>
          <t>Donnée nouvelle</t>
        </is>
      </c>
      <c r="D157" s="68" t="inlineStr">
        <is>
          <t>—</t>
        </is>
      </c>
      <c r="E157" s="68" t="inlineStr">
        <is>
          <t>Relais possible auprès des clients si le dirigeant s'arrête 2 semaines · Choix · Essentiel</t>
        </is>
      </c>
    </row>
    <row r="158" ht="23.85" customHeight="1" s="53">
      <c r="A158" s="73" t="inlineStr">
        <is>
          <t>Donnée ajoutée</t>
        </is>
      </c>
      <c r="B158" s="65" t="inlineStr">
        <is>
          <t>RH-45.02</t>
        </is>
      </c>
      <c r="C158" s="68" t="inlineStr">
        <is>
          <t>Donnée nouvelle</t>
        </is>
      </c>
      <c r="D158" s="68" t="inlineStr">
        <is>
          <t>—</t>
        </is>
      </c>
      <c r="E158" s="68" t="inlineStr">
        <is>
          <t>Informations clés notées et utilisables par une autre personne · Choix · Essentiel</t>
        </is>
      </c>
    </row>
    <row r="159" ht="15" customHeight="1" s="53">
      <c r="A159" s="73" t="inlineStr">
        <is>
          <t>Donnée ajoutée</t>
        </is>
      </c>
      <c r="B159" s="65" t="inlineStr">
        <is>
          <t>RH-45.03</t>
        </is>
      </c>
      <c r="C159" s="68" t="inlineStr">
        <is>
          <t>Donnée nouvelle</t>
        </is>
      </c>
      <c r="D159" s="68" t="inlineStr">
        <is>
          <t>—</t>
        </is>
      </c>
      <c r="E159" s="68" t="inlineStr">
        <is>
          <t>Appartenance à un réseau de professionnels · Choix · Approfondi</t>
        </is>
      </c>
    </row>
    <row r="160" ht="79.84999999999999" customHeight="1" s="53">
      <c r="A160" s="73" t="inlineStr">
        <is>
          <t>Donnée ajoutée</t>
        </is>
      </c>
      <c r="B160" s="65" t="inlineStr">
        <is>
          <t>RH-46.01</t>
        </is>
      </c>
      <c r="C160" s="68" t="inlineStr">
        <is>
          <t>Donnée nouvelle (partagée)</t>
        </is>
      </c>
      <c r="D160" s="68" t="inlineStr">
        <is>
          <t>—</t>
        </is>
      </c>
      <c r="E160" s="68" t="inlineStr">
        <is>
          <t>Personnes par domaine de travail, dont à temps partiel (le travail pour les clients, trouver et suivre les clients, administratif, encadrement) — partagée entre ACQ-21.01 et RH-46.01 : posée une seule fois ; l'équivalent temps plein au contact des clients se calcule avec les deux premières lignes · Tableau : Personnes · Dont à temps partiel (lignes fixe: Le travail pour les clients / Trouver et suivre les clients / Administratif et gestion / Encadrement de l'équipe) · Essentiel</t>
        </is>
      </c>
    </row>
    <row r="161" ht="35.05" customHeight="1" s="53">
      <c r="A161" s="73" t="inlineStr">
        <is>
          <t>Donnée ajoutée</t>
        </is>
      </c>
      <c r="B161" s="65" t="inlineStr">
        <is>
          <t>RH-46.02</t>
        </is>
      </c>
      <c r="C161" s="68" t="inlineStr">
        <is>
          <t>Donnée nouvelle</t>
        </is>
      </c>
      <c r="D161" s="68" t="inlineStr">
        <is>
          <t>—</t>
        </is>
      </c>
      <c r="E161" s="68" t="inlineStr">
        <is>
          <t>Personnes par type de contrat · Tableau : Personnes (lignes fixe: CDI / CDD / Apprentis et alternants / Stagiaires / Intérimaires / Freelances réguliers) · Approfondi</t>
        </is>
      </c>
    </row>
    <row r="162" ht="23.85" customHeight="1" s="53">
      <c r="A162" s="73" t="inlineStr">
        <is>
          <t>Donnée ajoutée</t>
        </is>
      </c>
      <c r="B162" s="65" t="inlineStr">
        <is>
          <t>RH-47.01</t>
        </is>
      </c>
      <c r="C162" s="68" t="inlineStr">
        <is>
          <t>Donnée nouvelle</t>
        </is>
      </c>
      <c r="D162" s="68" t="inlineStr">
        <is>
          <t>—</t>
        </is>
      </c>
      <c r="E162" s="68" t="inlineStr">
        <is>
          <t>Qui fait le planning et temps passé par semaine · Plusieurs champs : Qui le fait · Heures par semaine · Essentiel</t>
        </is>
      </c>
    </row>
    <row r="163" ht="15" customHeight="1" s="53">
      <c r="A163" s="73" t="inlineStr">
        <is>
          <t>Donnée ajoutée</t>
        </is>
      </c>
      <c r="B163" s="65" t="inlineStr">
        <is>
          <t>RH-47.02</t>
        </is>
      </c>
      <c r="C163" s="68" t="inlineStr">
        <is>
          <t>Donnée nouvelle</t>
        </is>
      </c>
      <c r="D163" s="68" t="inlineStr">
        <is>
          <t>—</t>
        </is>
      </c>
      <c r="E163" s="68" t="inlineStr">
        <is>
          <t>Délai de prévenance du planning · Choix · Approfondi</t>
        </is>
      </c>
    </row>
    <row r="164" ht="23.85" customHeight="1" s="53">
      <c r="A164" s="73" t="inlineStr">
        <is>
          <t>Donnée ajoutée</t>
        </is>
      </c>
      <c r="B164" s="65" t="inlineStr">
        <is>
          <t>RH-47.03</t>
        </is>
      </c>
      <c r="C164" s="68" t="inlineStr">
        <is>
          <t>Donnée nouvelle</t>
        </is>
      </c>
      <c r="D164" s="68" t="inlineStr">
        <is>
          <t>—</t>
        </is>
      </c>
      <c r="E164" s="68" t="inlineStr">
        <is>
          <t>Changements de planning de dernière minute par semaine · Choix · Approfondi</t>
        </is>
      </c>
    </row>
    <row r="165" ht="15" customHeight="1" s="53">
      <c r="A165" s="73" t="inlineStr">
        <is>
          <t>Donnée ajoutée</t>
        </is>
      </c>
      <c r="B165" s="65" t="inlineStr">
        <is>
          <t>RH-48.01</t>
        </is>
      </c>
      <c r="C165" s="68" t="inlineStr">
        <is>
          <t>Donnée nouvelle</t>
        </is>
      </c>
      <c r="D165" s="68" t="inlineStr">
        <is>
          <t>—</t>
        </is>
      </c>
      <c r="E165" s="68" t="inlineStr">
        <is>
          <t>Objectifs individuels écrits et revus — déclencheur D51 · Choix · Essentiel</t>
        </is>
      </c>
    </row>
    <row r="166" ht="23.85" customHeight="1" s="53">
      <c r="A166" s="73" t="inlineStr">
        <is>
          <t>Donnée ajoutée</t>
        </is>
      </c>
      <c r="B166" s="65" t="inlineStr">
        <is>
          <t>RH-48.02</t>
        </is>
      </c>
      <c r="C166" s="68" t="inlineStr">
        <is>
          <t>Donnée nouvelle</t>
        </is>
      </c>
      <c r="D166" s="68" t="inlineStr">
        <is>
          <t>—</t>
        </is>
      </c>
      <c r="E166" s="68" t="inlineStr">
        <is>
          <t>Part variable liée aux objectifs · Choix · Approfondi · D51 · si des objectifs existent</t>
        </is>
      </c>
    </row>
    <row r="167" ht="46.25" customHeight="1" s="53">
      <c r="A167" s="73" t="inlineStr">
        <is>
          <t>Donnée ajoutée</t>
        </is>
      </c>
      <c r="B167" s="65" t="inlineStr">
        <is>
          <t>RH-49.01</t>
        </is>
      </c>
      <c r="C167" s="68" t="inlineStr">
        <is>
          <t>Donnée nouvelle</t>
        </is>
      </c>
      <c r="D167" s="68" t="inlineStr">
        <is>
          <t>—</t>
        </is>
      </c>
      <c r="E167" s="68" t="inlineStr">
        <is>
          <t>Responsables intermédiaires et nombre de personnes suivies par responsable — déclencheur D52 · Plusieurs champs : Responsables, vous non compris · Personnes suivies par un responsable, au plus · Essentiel</t>
        </is>
      </c>
    </row>
    <row r="168" ht="23.85" customHeight="1" s="53">
      <c r="A168" s="73" t="inlineStr">
        <is>
          <t>Donnée ajoutée</t>
        </is>
      </c>
      <c r="B168" s="65" t="inlineStr">
        <is>
          <t>RH-49.02</t>
        </is>
      </c>
      <c r="C168" s="68" t="inlineStr">
        <is>
          <t>Donnée nouvelle</t>
        </is>
      </c>
      <c r="D168" s="68" t="inlineStr">
        <is>
          <t>—</t>
        </is>
      </c>
      <c r="E168" s="68" t="inlineStr">
        <is>
          <t>Responsables formés à l'encadrement · Choix · Approfondi · D52 · s'il y a des responsables</t>
        </is>
      </c>
    </row>
    <row r="169" ht="15" customHeight="1" s="53">
      <c r="A169" s="74" t="inlineStr">
        <is>
          <t>Importée → Demandée</t>
        </is>
      </c>
      <c r="B169" s="65" t="inlineStr">
        <is>
          <t>ACQ-06.01</t>
        </is>
      </c>
      <c r="C169" s="68" t="inlineStr">
        <is>
          <t>Mode : Importée → Demandée (le dirigeant la saisit)</t>
        </is>
      </c>
      <c r="D169" s="68" t="inlineStr">
        <is>
          <t>Importée</t>
        </is>
      </c>
      <c r="E169" s="68" t="inlineStr">
        <is>
          <t>Demandée</t>
        </is>
      </c>
    </row>
    <row r="170" ht="23.85" customHeight="1" s="53">
      <c r="A170" s="74" t="inlineStr">
        <is>
          <t>Importée → Demandée</t>
        </is>
      </c>
      <c r="B170" s="65" t="inlineStr">
        <is>
          <t>ACQ-06.01</t>
        </is>
      </c>
      <c r="C170" s="68" t="inlineStr">
        <is>
          <t>Format de réponse</t>
        </is>
      </c>
      <c r="D170" s="68" t="inlineStr">
        <is>
          <t>Nombre</t>
        </is>
      </c>
      <c r="E170" s="68" t="inlineStr">
        <is>
          <t>Plusieurs champs : Avis au total · Note sur 5 · Avis reçus sur les 6 derniers mois</t>
        </is>
      </c>
    </row>
    <row r="171" ht="15" customHeight="1" s="53">
      <c r="A171" s="74" t="inlineStr">
        <is>
          <t>Importée → Demandée</t>
        </is>
      </c>
      <c r="B171" s="65" t="inlineStr">
        <is>
          <t>ACQ-06.04</t>
        </is>
      </c>
      <c r="C171" s="68" t="inlineStr">
        <is>
          <t>Mode : Importée → Demandée (le dirigeant la saisit)</t>
        </is>
      </c>
      <c r="D171" s="68" t="inlineStr">
        <is>
          <t>Importée</t>
        </is>
      </c>
      <c r="E171" s="68" t="inlineStr">
        <is>
          <t>Demandée</t>
        </is>
      </c>
    </row>
    <row r="172" ht="23.85" customHeight="1" s="53">
      <c r="A172" s="74" t="inlineStr">
        <is>
          <t>Importée → Demandée</t>
        </is>
      </c>
      <c r="B172" s="65" t="inlineStr">
        <is>
          <t>ACQ-06.04</t>
        </is>
      </c>
      <c r="C172" s="68" t="inlineStr">
        <is>
          <t>Format de réponse</t>
        </is>
      </c>
      <c r="D172" s="68" t="inlineStr">
        <is>
          <t>Nombre par type</t>
        </is>
      </c>
      <c r="E172" s="68" t="inlineStr">
        <is>
          <t>Plusieurs champs : Vues de votre fiche · Appels · Demandes d'itinéraire · Clics vers votre site</t>
        </is>
      </c>
    </row>
    <row r="173" ht="15" customHeight="1" s="53">
      <c r="A173" s="74" t="inlineStr">
        <is>
          <t>Importée → Demandée</t>
        </is>
      </c>
      <c r="B173" s="65" t="inlineStr">
        <is>
          <t>ACQ-06.06</t>
        </is>
      </c>
      <c r="C173" s="68" t="inlineStr">
        <is>
          <t>Mode : Importée → Demandée (le dirigeant la saisit)</t>
        </is>
      </c>
      <c r="D173" s="68" t="inlineStr">
        <is>
          <t>Importée</t>
        </is>
      </c>
      <c r="E173" s="68" t="inlineStr">
        <is>
          <t>Demandée</t>
        </is>
      </c>
    </row>
    <row r="174" ht="23.85" customHeight="1" s="53">
      <c r="A174" s="74" t="inlineStr">
        <is>
          <t>Importée → Demandée</t>
        </is>
      </c>
      <c r="B174" s="65" t="inlineStr">
        <is>
          <t>ACQ-06.06</t>
        </is>
      </c>
      <c r="C174" s="68" t="inlineStr">
        <is>
          <t>Format de réponse</t>
        </is>
      </c>
      <c r="D174" s="68" t="inlineStr">
        <is>
          <t>Nombre et note</t>
        </is>
      </c>
      <c r="E174" s="68" t="inlineStr">
        <is>
          <t>Tableau : Nom · Avis · Note sur 5 (lignes fixe: Concurrent 1 / Concurrent 2)</t>
        </is>
      </c>
    </row>
    <row r="175" ht="15" customHeight="1" s="53">
      <c r="A175" s="74" t="inlineStr">
        <is>
          <t>Importée → Demandée</t>
        </is>
      </c>
      <c r="B175" s="65" t="inlineStr">
        <is>
          <t>ACQ-06.07</t>
        </is>
      </c>
      <c r="C175" s="68" t="inlineStr">
        <is>
          <t>Mode : Importée → Demandée (le dirigeant la saisit)</t>
        </is>
      </c>
      <c r="D175" s="68" t="inlineStr">
        <is>
          <t>Importée</t>
        </is>
      </c>
      <c r="E175" s="68" t="inlineStr">
        <is>
          <t>Demandée</t>
        </is>
      </c>
    </row>
    <row r="176" ht="15" customHeight="1" s="53">
      <c r="A176" s="74" t="inlineStr">
        <is>
          <t>Importée → Demandée</t>
        </is>
      </c>
      <c r="B176" s="65" t="inlineStr">
        <is>
          <t>ACQ-11.15</t>
        </is>
      </c>
      <c r="C176" s="68" t="inlineStr">
        <is>
          <t>Mode : Importée → Demandée (le dirigeant la saisit)</t>
        </is>
      </c>
      <c r="D176" s="68" t="inlineStr">
        <is>
          <t>Importée</t>
        </is>
      </c>
      <c r="E176" s="68" t="inlineStr">
        <is>
          <t>Demandée</t>
        </is>
      </c>
    </row>
    <row r="177" ht="15" customHeight="1" s="53">
      <c r="A177" s="74" t="inlineStr">
        <is>
          <t>Importée → Demandée</t>
        </is>
      </c>
      <c r="B177" s="65" t="inlineStr">
        <is>
          <t>ACQ-11.17</t>
        </is>
      </c>
      <c r="C177" s="68" t="inlineStr">
        <is>
          <t>Mode : Importée → Demandée (le dirigeant la saisit)</t>
        </is>
      </c>
      <c r="D177" s="68" t="inlineStr">
        <is>
          <t>Importée</t>
        </is>
      </c>
      <c r="E177" s="68" t="inlineStr">
        <is>
          <t>Demandée</t>
        </is>
      </c>
    </row>
    <row r="178" ht="15" customHeight="1" s="53">
      <c r="A178" s="74" t="inlineStr">
        <is>
          <t>Importée → Demandée</t>
        </is>
      </c>
      <c r="B178" s="65" t="inlineStr">
        <is>
          <t>ACQ-11.17</t>
        </is>
      </c>
      <c r="C178" s="68" t="inlineStr">
        <is>
          <t>Format de réponse</t>
        </is>
      </c>
      <c r="D178" s="68" t="inlineStr">
        <is>
          <t>%</t>
        </is>
      </c>
      <c r="E178" s="68" t="inlineStr">
        <is>
          <t>Plusieurs champs : Visites sur mobile · Visites mobiles qui commandent</t>
        </is>
      </c>
    </row>
    <row r="179" ht="15" customHeight="1" s="53">
      <c r="A179" s="74" t="inlineStr">
        <is>
          <t>Importée → Demandée</t>
        </is>
      </c>
      <c r="B179" s="65" t="inlineStr">
        <is>
          <t>ACQ-15.05</t>
        </is>
      </c>
      <c r="C179" s="68" t="inlineStr">
        <is>
          <t>Mode : Importée → Demandée (le dirigeant la saisit)</t>
        </is>
      </c>
      <c r="D179" s="68" t="inlineStr">
        <is>
          <t>Importée</t>
        </is>
      </c>
      <c r="E179" s="68" t="inlineStr">
        <is>
          <t>Demandée</t>
        </is>
      </c>
    </row>
    <row r="180" ht="15" customHeight="1" s="53">
      <c r="A180" s="74" t="inlineStr">
        <is>
          <t>Importée → Demandée</t>
        </is>
      </c>
      <c r="B180" s="65" t="inlineStr">
        <is>
          <t>ACQ-22.09</t>
        </is>
      </c>
      <c r="C180" s="68" t="inlineStr">
        <is>
          <t>Mode : Importée → Demandée (le dirigeant la saisit)</t>
        </is>
      </c>
      <c r="D180" s="68" t="inlineStr">
        <is>
          <t>Importée</t>
        </is>
      </c>
      <c r="E180" s="68" t="inlineStr">
        <is>
          <t>Demandée</t>
        </is>
      </c>
    </row>
    <row r="181" ht="15" customHeight="1" s="53">
      <c r="A181" s="74" t="inlineStr">
        <is>
          <t>Importée → Demandée</t>
        </is>
      </c>
      <c r="B181" s="65" t="inlineStr">
        <is>
          <t>ACQ-22.09</t>
        </is>
      </c>
      <c r="C181" s="68" t="inlineStr">
        <is>
          <t>Format de réponse</t>
        </is>
      </c>
      <c r="D181" s="68" t="inlineStr">
        <is>
          <t>€ (7 colonnes)</t>
        </is>
      </c>
      <c r="E181" s="68" t="inlineStr">
        <is>
          <t>Tableau : Chiffre d'affaires moyen (lignes cadrage: D20)</t>
        </is>
      </c>
    </row>
    <row r="182" ht="15" customHeight="1" s="53">
      <c r="A182" s="74" t="inlineStr">
        <is>
          <t>Importée → Demandée</t>
        </is>
      </c>
      <c r="B182" s="65" t="inlineStr">
        <is>
          <t>ACQ-23.01</t>
        </is>
      </c>
      <c r="C182" s="68" t="inlineStr">
        <is>
          <t>Mode : Importée → Demandée (le dirigeant la saisit)</t>
        </is>
      </c>
      <c r="D182" s="68" t="inlineStr">
        <is>
          <t>Importée</t>
        </is>
      </c>
      <c r="E182" s="68" t="inlineStr">
        <is>
          <t>Demandée</t>
        </is>
      </c>
    </row>
    <row r="183" ht="35.05" customHeight="1" s="53">
      <c r="A183" s="74" t="inlineStr">
        <is>
          <t>Importée → Demandée</t>
        </is>
      </c>
      <c r="B183" s="65" t="inlineStr">
        <is>
          <t>ACQ-23.01</t>
        </is>
      </c>
      <c r="C183" s="68" t="inlineStr">
        <is>
          <t>Format de réponse</t>
        </is>
      </c>
      <c r="D183" s="68" t="inlineStr">
        <is>
          <t>12 montants</t>
        </is>
      </c>
      <c r="E183" s="68" t="inlineStr">
        <is>
          <t>Tableau : Chiffre d'affaires (lignes fixe: Le mois dernier / Il y a 2 mois / Il y a 3 mois / Il y a 4 mois / Il y a 5 mois / Il y a 6 mois / Il y a 7 mois / Il y a 8 mois / Il y a 9 mois / Il y a 10 mois / Il y a 11 mois / Il y a 12 mois)</t>
        </is>
      </c>
    </row>
    <row r="184" ht="15" customHeight="1" s="53">
      <c r="A184" s="74" t="inlineStr">
        <is>
          <t>Importée → Demandée</t>
        </is>
      </c>
      <c r="B184" s="65" t="inlineStr">
        <is>
          <t>ACQ-23.03</t>
        </is>
      </c>
      <c r="C184" s="68" t="inlineStr">
        <is>
          <t>Mode : Importée → Demandée (le dirigeant la saisit)</t>
        </is>
      </c>
      <c r="D184" s="68" t="inlineStr">
        <is>
          <t>Importée</t>
        </is>
      </c>
      <c r="E184" s="68" t="inlineStr">
        <is>
          <t>Demandée</t>
        </is>
      </c>
    </row>
    <row r="185" ht="46.25" customHeight="1" s="53">
      <c r="A185" s="74" t="inlineStr">
        <is>
          <t>Importée → Demandée</t>
        </is>
      </c>
      <c r="B185" s="65" t="inlineStr">
        <is>
          <t>ACQ-23.03</t>
        </is>
      </c>
      <c r="C185" s="68" t="inlineStr">
        <is>
          <t>Format de réponse</t>
        </is>
      </c>
      <c r="D185" s="68" t="inlineStr">
        <is>
          <t>12 montants</t>
        </is>
      </c>
      <c r="E185" s="68" t="inlineStr">
        <is>
          <t>Tableau : Chiffre d'affaires un an plus tôt (lignes fixe: Le mois dernier / Il y a 2 mois / Il y a 3 mois / Il y a 4 mois / Il y a 5 mois / Il y a 6 mois / Il y a 7 mois / Il y a 8 mois / Il y a 9 mois / Il y a 10 mois / Il y a 11 mois / Il y a 12 mois)</t>
        </is>
      </c>
    </row>
    <row r="186" ht="15" customHeight="1" s="53">
      <c r="A186" s="74" t="inlineStr">
        <is>
          <t>Importée → Demandée</t>
        </is>
      </c>
      <c r="B186" s="65" t="inlineStr">
        <is>
          <t>ACQ-23.04</t>
        </is>
      </c>
      <c r="C186" s="68" t="inlineStr">
        <is>
          <t>Mode : Importée → Demandée (le dirigeant la saisit)</t>
        </is>
      </c>
      <c r="D186" s="68" t="inlineStr">
        <is>
          <t>Importée</t>
        </is>
      </c>
      <c r="E186" s="68" t="inlineStr">
        <is>
          <t>Demandée</t>
        </is>
      </c>
    </row>
    <row r="187" ht="35.05" customHeight="1" s="53">
      <c r="A187" s="74" t="inlineStr">
        <is>
          <t>Importée → Demandée</t>
        </is>
      </c>
      <c r="B187" s="65" t="inlineStr">
        <is>
          <t>ACQ-23.04</t>
        </is>
      </c>
      <c r="C187" s="68" t="inlineStr">
        <is>
          <t>Format de réponse</t>
        </is>
      </c>
      <c r="D187" s="68" t="inlineStr">
        <is>
          <t>12 nombres</t>
        </is>
      </c>
      <c r="E187" s="68" t="inlineStr">
        <is>
          <t>Tableau : Nombre (lignes fixe: Le mois dernier / Il y a 2 mois / Il y a 3 mois / Il y a 4 mois / Il y a 5 mois / Il y a 6 mois / Il y a 7 mois / Il y a 8 mois / Il y a 9 mois / Il y a 10 mois / Il y a 11 mois / Il y a 12 mois)</t>
        </is>
      </c>
    </row>
    <row r="188" ht="15" customHeight="1" s="53">
      <c r="A188" s="74" t="inlineStr">
        <is>
          <t>Importée → Demandée</t>
        </is>
      </c>
      <c r="B188" s="65" t="inlineStr">
        <is>
          <t>COM-13.04</t>
        </is>
      </c>
      <c r="C188" s="68" t="inlineStr">
        <is>
          <t>Mode : Importée → Demandée (le dirigeant la saisit)</t>
        </is>
      </c>
      <c r="D188" s="68" t="inlineStr">
        <is>
          <t>Importée</t>
        </is>
      </c>
      <c r="E188" s="68" t="inlineStr">
        <is>
          <t>Demandée</t>
        </is>
      </c>
    </row>
    <row r="189" ht="23.85" customHeight="1" s="53">
      <c r="A189" s="74" t="inlineStr">
        <is>
          <t>Importée → Demandée</t>
        </is>
      </c>
      <c r="B189" s="65" t="inlineStr">
        <is>
          <t>COM-13.04</t>
        </is>
      </c>
      <c r="C189" s="68" t="inlineStr">
        <is>
          <t>Format de réponse</t>
        </is>
      </c>
      <c r="D189" s="68" t="inlineStr">
        <is>
          <t>% par source</t>
        </is>
      </c>
      <c r="E189" s="68" t="inlineStr">
        <is>
          <t>Tableau : Part des visites (lignes fixe: Recherche Google / Réseaux sociaux / Publicité / Accès direct / Autres sites)</t>
        </is>
      </c>
    </row>
    <row r="190" ht="15" customHeight="1" s="53">
      <c r="A190" s="74" t="inlineStr">
        <is>
          <t>Importée → Demandée</t>
        </is>
      </c>
      <c r="B190" s="65" t="inlineStr">
        <is>
          <t>COM-13.05</t>
        </is>
      </c>
      <c r="C190" s="68" t="inlineStr">
        <is>
          <t>Mode : Importée → Demandée (le dirigeant la saisit)</t>
        </is>
      </c>
      <c r="D190" s="68" t="inlineStr">
        <is>
          <t>Importée</t>
        </is>
      </c>
      <c r="E190" s="68" t="inlineStr">
        <is>
          <t>Demandée</t>
        </is>
      </c>
    </row>
    <row r="191" ht="15" customHeight="1" s="53">
      <c r="A191" s="74" t="inlineStr">
        <is>
          <t>Importée → Demandée</t>
        </is>
      </c>
      <c r="B191" s="65" t="inlineStr">
        <is>
          <t>COM-13.06</t>
        </is>
      </c>
      <c r="C191" s="68" t="inlineStr">
        <is>
          <t>Mode : Importée → Demandée (le dirigeant la saisit)</t>
        </is>
      </c>
      <c r="D191" s="68" t="inlineStr">
        <is>
          <t>Importée</t>
        </is>
      </c>
      <c r="E191" s="68" t="inlineStr">
        <is>
          <t>Demandée</t>
        </is>
      </c>
    </row>
    <row r="192" ht="15" customHeight="1" s="53">
      <c r="A192" s="74" t="inlineStr">
        <is>
          <t>Importée → Demandée</t>
        </is>
      </c>
      <c r="B192" s="65" t="inlineStr">
        <is>
          <t>COM-15.06</t>
        </is>
      </c>
      <c r="C192" s="68" t="inlineStr">
        <is>
          <t>Mode : Importée → Demandée (le dirigeant la saisit)</t>
        </is>
      </c>
      <c r="D192" s="68" t="inlineStr">
        <is>
          <t>Importée</t>
        </is>
      </c>
      <c r="E192" s="68" t="inlineStr">
        <is>
          <t>Demandée</t>
        </is>
      </c>
    </row>
    <row r="193" ht="23.85" customHeight="1" s="53">
      <c r="A193" s="74" t="inlineStr">
        <is>
          <t>Importée → Demandée</t>
        </is>
      </c>
      <c r="B193" s="65" t="inlineStr">
        <is>
          <t>COM-15.06</t>
        </is>
      </c>
      <c r="C193" s="68" t="inlineStr">
        <is>
          <t>Format de réponse</t>
        </is>
      </c>
      <c r="D193" s="68" t="inlineStr">
        <is>
          <t>% et nombres</t>
        </is>
      </c>
      <c r="E193" s="68" t="inlineStr">
        <is>
          <t>Plusieurs champs : Taux d'ouverture · Taux de clic · Désinscriptions · Réponses</t>
        </is>
      </c>
    </row>
    <row r="194" ht="15" customHeight="1" s="53">
      <c r="A194" s="74" t="inlineStr">
        <is>
          <t>Importée → Demandée</t>
        </is>
      </c>
      <c r="B194" s="65" t="inlineStr">
        <is>
          <t>COM-16.01</t>
        </is>
      </c>
      <c r="C194" s="68" t="inlineStr">
        <is>
          <t>Mode : Importée → Demandée (le dirigeant la saisit)</t>
        </is>
      </c>
      <c r="D194" s="68" t="inlineStr">
        <is>
          <t>Importée</t>
        </is>
      </c>
      <c r="E194" s="68" t="inlineStr">
        <is>
          <t>Demandée</t>
        </is>
      </c>
    </row>
    <row r="195" ht="15" customHeight="1" s="53">
      <c r="A195" s="74" t="inlineStr">
        <is>
          <t>Importée → Demandée</t>
        </is>
      </c>
      <c r="B195" s="65" t="inlineStr">
        <is>
          <t>COM-17.01</t>
        </is>
      </c>
      <c r="C195" s="68" t="inlineStr">
        <is>
          <t>Mode : Importée → Demandée (le dirigeant la saisit)</t>
        </is>
      </c>
      <c r="D195" s="68" t="inlineStr">
        <is>
          <t>Importée</t>
        </is>
      </c>
      <c r="E195" s="68" t="inlineStr">
        <is>
          <t>Demandée</t>
        </is>
      </c>
    </row>
    <row r="196" ht="35.05" customHeight="1" s="53">
      <c r="A196" s="74" t="inlineStr">
        <is>
          <t>Importée → Demandée</t>
        </is>
      </c>
      <c r="B196" s="65" t="inlineStr">
        <is>
          <t>COM-17.01</t>
        </is>
      </c>
      <c r="C196" s="68" t="inlineStr">
        <is>
          <t>Format de réponse</t>
        </is>
      </c>
      <c r="D196" s="68" t="inlineStr">
        <is>
          <t>Tableau par réseau (Tranches : moins de 500 · 500-2 000 · 2 000-5 000 · 5 000-10 000 · 10 000-50 000 · plus de 50 000 · je ne sais pas si non connecté)</t>
        </is>
      </c>
      <c r="E196" s="68" t="inlineStr">
        <is>
          <t>Tableau : Abonnés · Personnes touchées par mois (moyenne des 3 derniers mois) (lignes cadrage: D22)</t>
        </is>
      </c>
    </row>
    <row r="197" ht="15" customHeight="1" s="53">
      <c r="A197" s="74" t="inlineStr">
        <is>
          <t>Importée → Demandée</t>
        </is>
      </c>
      <c r="B197" s="65" t="inlineStr">
        <is>
          <t>COM-17.02</t>
        </is>
      </c>
      <c r="C197" s="68" t="inlineStr">
        <is>
          <t>Mode : Importée → Demandée (le dirigeant la saisit)</t>
        </is>
      </c>
      <c r="D197" s="68" t="inlineStr">
        <is>
          <t>Importée</t>
        </is>
      </c>
      <c r="E197" s="68" t="inlineStr">
        <is>
          <t>Demandée</t>
        </is>
      </c>
    </row>
    <row r="198" ht="15" customHeight="1" s="53">
      <c r="A198" s="74" t="inlineStr">
        <is>
          <t>Importée → Demandée</t>
        </is>
      </c>
      <c r="B198" s="65" t="inlineStr">
        <is>
          <t>COM-17.02</t>
        </is>
      </c>
      <c r="C198" s="68" t="inlineStr">
        <is>
          <t>Format de réponse</t>
        </is>
      </c>
      <c r="D198" s="68" t="inlineStr">
        <is>
          <t>Nombres par réseau</t>
        </is>
      </c>
      <c r="E198" s="68" t="inlineStr">
        <is>
          <t>Tableau : Nouveaux abonnés · Désabonnements (lignes cadrage: D22)</t>
        </is>
      </c>
    </row>
    <row r="199" ht="15" customHeight="1" s="53">
      <c r="A199" s="74" t="inlineStr">
        <is>
          <t>Importée → Demandée</t>
        </is>
      </c>
      <c r="B199" s="65" t="inlineStr">
        <is>
          <t>COM-17.03</t>
        </is>
      </c>
      <c r="C199" s="68" t="inlineStr">
        <is>
          <t>Mode : Importée → Demandée (le dirigeant la saisit)</t>
        </is>
      </c>
      <c r="D199" s="68" t="inlineStr">
        <is>
          <t>Importée</t>
        </is>
      </c>
      <c r="E199" s="68" t="inlineStr">
        <is>
          <t>Demandée</t>
        </is>
      </c>
    </row>
    <row r="200" ht="15" customHeight="1" s="53">
      <c r="A200" s="74" t="inlineStr">
        <is>
          <t>Importée → Demandée</t>
        </is>
      </c>
      <c r="B200" s="65" t="inlineStr">
        <is>
          <t>COM-17.03</t>
        </is>
      </c>
      <c r="C200" s="68" t="inlineStr">
        <is>
          <t>Format de réponse</t>
        </is>
      </c>
      <c r="D200" s="68" t="inlineStr">
        <is>
          <t>% par réseau</t>
        </is>
      </c>
      <c r="E200" s="68" t="inlineStr">
        <is>
          <t>Tableau : Part de non-abonnés (lignes cadrage: D22)</t>
        </is>
      </c>
    </row>
    <row r="201" ht="15" customHeight="1" s="53">
      <c r="A201" s="74" t="inlineStr">
        <is>
          <t>Importée → Demandée</t>
        </is>
      </c>
      <c r="B201" s="65" t="inlineStr">
        <is>
          <t>COM-18.01</t>
        </is>
      </c>
      <c r="C201" s="68" t="inlineStr">
        <is>
          <t>Mode : Importée → Demandée (le dirigeant la saisit)</t>
        </is>
      </c>
      <c r="D201" s="68" t="inlineStr">
        <is>
          <t>Importée</t>
        </is>
      </c>
      <c r="E201" s="68" t="inlineStr">
        <is>
          <t>Demandée</t>
        </is>
      </c>
    </row>
    <row r="202" ht="23.85" customHeight="1" s="53">
      <c r="A202" s="74" t="inlineStr">
        <is>
          <t>Importée → Demandée</t>
        </is>
      </c>
      <c r="B202" s="65" t="inlineStr">
        <is>
          <t>COM-18.01</t>
        </is>
      </c>
      <c r="C202" s="68" t="inlineStr">
        <is>
          <t>Format de réponse</t>
        </is>
      </c>
      <c r="D202" s="68" t="inlineStr">
        <is>
          <t>Tableau par réseau</t>
        </is>
      </c>
      <c r="E202" s="68" t="inlineStr">
        <is>
          <t>Tableau : J'aime · Commentaires · Partages · Enregistrements (lignes cadrage: D22)</t>
        </is>
      </c>
    </row>
    <row r="203" ht="15" customHeight="1" s="53">
      <c r="A203" s="74" t="inlineStr">
        <is>
          <t>Importée → Demandée</t>
        </is>
      </c>
      <c r="B203" s="65" t="inlineStr">
        <is>
          <t>COM-19.01</t>
        </is>
      </c>
      <c r="C203" s="68" t="inlineStr">
        <is>
          <t>Mode : Importée → Demandée (le dirigeant la saisit)</t>
        </is>
      </c>
      <c r="D203" s="68" t="inlineStr">
        <is>
          <t>Importée</t>
        </is>
      </c>
      <c r="E203" s="68" t="inlineStr">
        <is>
          <t>Demandée</t>
        </is>
      </c>
    </row>
    <row r="204" ht="15" customHeight="1" s="53">
      <c r="A204" s="74" t="inlineStr">
        <is>
          <t>Importée → Demandée</t>
        </is>
      </c>
      <c r="B204" s="65" t="inlineStr">
        <is>
          <t>COM-19.01</t>
        </is>
      </c>
      <c r="C204" s="68" t="inlineStr">
        <is>
          <t>Format de réponse</t>
        </is>
      </c>
      <c r="D204" s="68" t="inlineStr">
        <is>
          <t>Tableau par réseau</t>
        </is>
      </c>
      <c r="E204" s="68" t="inlineStr">
        <is>
          <t>Tableau : Clics par mois · Destination principale (lignes cadrage: D22)</t>
        </is>
      </c>
    </row>
    <row r="205" ht="15" customHeight="1" s="53">
      <c r="A205" s="74" t="inlineStr">
        <is>
          <t>Importée → Demandée</t>
        </is>
      </c>
      <c r="B205" s="65" t="inlineStr">
        <is>
          <t>COM-26.01</t>
        </is>
      </c>
      <c r="C205" s="68" t="inlineStr">
        <is>
          <t>Mode : Importée → Demandée (le dirigeant la saisit)</t>
        </is>
      </c>
      <c r="D205" s="68" t="inlineStr">
        <is>
          <t>Importée</t>
        </is>
      </c>
      <c r="E205" s="68" t="inlineStr">
        <is>
          <t>Demandée</t>
        </is>
      </c>
    </row>
    <row r="206" ht="23.85" customHeight="1" s="53">
      <c r="A206" s="74" t="inlineStr">
        <is>
          <t>Importée → Demandée</t>
        </is>
      </c>
      <c r="B206" s="65" t="inlineStr">
        <is>
          <t>COM-26.01</t>
        </is>
      </c>
      <c r="C206" s="68" t="inlineStr">
        <is>
          <t>Format de réponse</t>
        </is>
      </c>
      <c r="D206" s="68" t="inlineStr">
        <is>
          <t>Tableau (sinon répartition approximative en %)</t>
        </is>
      </c>
      <c r="E206" s="68" t="inlineStr">
        <is>
          <t>Tableau : Publications (lignes fixe: Vidéo courte / Vidéo longue / Carrousel / Photo / Texte / Story)</t>
        </is>
      </c>
    </row>
    <row r="207" ht="15" customHeight="1" s="53">
      <c r="A207" s="74" t="inlineStr">
        <is>
          <t>Importée → Demandée</t>
        </is>
      </c>
      <c r="B207" s="65" t="inlineStr">
        <is>
          <t>COM-33.01</t>
        </is>
      </c>
      <c r="C207" s="68" t="inlineStr">
        <is>
          <t>Mode : Importée → Demandée (le dirigeant la saisit)</t>
        </is>
      </c>
      <c r="D207" s="68" t="inlineStr">
        <is>
          <t>Importée</t>
        </is>
      </c>
      <c r="E207" s="68" t="inlineStr">
        <is>
          <t>Demandée</t>
        </is>
      </c>
    </row>
    <row r="208" ht="23.85" customHeight="1" s="53">
      <c r="A208" s="74" t="inlineStr">
        <is>
          <t>Importée → Demandée</t>
        </is>
      </c>
      <c r="B208" s="65" t="inlineStr">
        <is>
          <t>COM-33.01</t>
        </is>
      </c>
      <c r="C208" s="68" t="inlineStr">
        <is>
          <t>Format de réponse</t>
        </is>
      </c>
      <c r="D208" s="68" t="inlineStr">
        <is>
          <t>Liste de dates</t>
        </is>
      </c>
      <c r="E208" s="68" t="inlineStr">
        <is>
          <t>Tableau : Semaines avec une publication · Plus longue pause (lignes cadrage: D22)</t>
        </is>
      </c>
    </row>
    <row r="209" ht="15" customHeight="1" s="53">
      <c r="A209" s="74" t="inlineStr">
        <is>
          <t>Importée → Demandée</t>
        </is>
      </c>
      <c r="B209" s="65" t="inlineStr">
        <is>
          <t>COM-37.01</t>
        </is>
      </c>
      <c r="C209" s="68" t="inlineStr">
        <is>
          <t>Mode : Importée → Demandée (le dirigeant la saisit)</t>
        </is>
      </c>
      <c r="D209" s="68" t="inlineStr">
        <is>
          <t>Importée</t>
        </is>
      </c>
      <c r="E209" s="68" t="inlineStr">
        <is>
          <t>Demandée</t>
        </is>
      </c>
    </row>
    <row r="210" ht="15" customHeight="1" s="53">
      <c r="A210" s="74" t="inlineStr">
        <is>
          <t>Importée → Demandée</t>
        </is>
      </c>
      <c r="B210" s="65" t="inlineStr">
        <is>
          <t>COM-37.01</t>
        </is>
      </c>
      <c r="C210" s="68" t="inlineStr">
        <is>
          <t>Format de réponse</t>
        </is>
      </c>
      <c r="D210" s="68" t="inlineStr">
        <is>
          <t>Nombre par réseau</t>
        </is>
      </c>
      <c r="E210" s="68" t="inlineStr">
        <is>
          <t>Tableau : Abonnés il y a 6 mois (lignes cadrage: D22)</t>
        </is>
      </c>
    </row>
    <row r="211" ht="15" customHeight="1" s="53">
      <c r="A211" s="74" t="inlineStr">
        <is>
          <t>Importée → Demandée</t>
        </is>
      </c>
      <c r="B211" s="65" t="inlineStr">
        <is>
          <t>COM-39.01</t>
        </is>
      </c>
      <c r="C211" s="68" t="inlineStr">
        <is>
          <t>Mode : Importée → Demandée (le dirigeant la saisit)</t>
        </is>
      </c>
      <c r="D211" s="68" t="inlineStr">
        <is>
          <t>Importée</t>
        </is>
      </c>
      <c r="E211" s="68" t="inlineStr">
        <is>
          <t>Demandée</t>
        </is>
      </c>
    </row>
    <row r="212" ht="46.25" customHeight="1" s="53">
      <c r="A212" s="74" t="inlineStr">
        <is>
          <t>Importée → Demandée</t>
        </is>
      </c>
      <c r="B212" s="65" t="inlineStr">
        <is>
          <t>COM-39.01</t>
        </is>
      </c>
      <c r="C212" s="68" t="inlineStr">
        <is>
          <t>Format de réponse</t>
        </is>
      </c>
      <c r="D212" s="68" t="inlineStr">
        <is>
          <t>Tableau 10 lignes</t>
        </is>
      </c>
      <c r="E212" s="68" t="inlineStr">
        <is>
          <t>Tableau : Réseau · Personnes touchées · Réactions · Visites du profil · Nouveaux abonnés · Clics · Messages ou demandes (lignes fixe: Meilleure 1 / Meilleure 2 / Meilleure 3 / Moins bonne 1 / Moins bonne 2 / Moins bonne 3)</t>
        </is>
      </c>
    </row>
    <row r="213" ht="15" customHeight="1" s="53">
      <c r="A213" s="74" t="inlineStr">
        <is>
          <t>Importée → Demandée</t>
        </is>
      </c>
      <c r="B213" s="65" t="inlineStr">
        <is>
          <t>COM-39.02</t>
        </is>
      </c>
      <c r="C213" s="68" t="inlineStr">
        <is>
          <t>Mode : Importée → Demandée (le dirigeant la saisit)</t>
        </is>
      </c>
      <c r="D213" s="68" t="inlineStr">
        <is>
          <t>Importée</t>
        </is>
      </c>
      <c r="E213" s="68" t="inlineStr">
        <is>
          <t>Demandée</t>
        </is>
      </c>
    </row>
    <row r="214" ht="23.85" customHeight="1" s="53">
      <c r="A214" s="74" t="inlineStr">
        <is>
          <t>Importée → Demandée</t>
        </is>
      </c>
      <c r="B214" s="65" t="inlineStr">
        <is>
          <t>COM-39.02</t>
        </is>
      </c>
      <c r="C214" s="68" t="inlineStr">
        <is>
          <t>Format de réponse</t>
        </is>
      </c>
      <c r="D214" s="68" t="inlineStr">
        <is>
          <t>Connexion ou copier-coller</t>
        </is>
      </c>
      <c r="E214" s="68" t="inlineStr">
        <is>
          <t>Tableau : Texte · Lien (lignes fixe: Meilleure 1 / Meilleure 2 / Meilleure 3 / Moins bonne 1 / Moins bonne 2 / Moins bonne 3)</t>
        </is>
      </c>
    </row>
    <row r="215" ht="15" customHeight="1" s="53">
      <c r="A215" s="74" t="inlineStr">
        <is>
          <t>Importée → Demandée</t>
        </is>
      </c>
      <c r="B215" s="65" t="inlineStr">
        <is>
          <t>COM-39.03</t>
        </is>
      </c>
      <c r="C215" s="68" t="inlineStr">
        <is>
          <t>Mode : Importée → Demandée (le dirigeant la saisit)</t>
        </is>
      </c>
      <c r="D215" s="68" t="inlineStr">
        <is>
          <t>Importée</t>
        </is>
      </c>
      <c r="E215" s="68" t="inlineStr">
        <is>
          <t>Demandée</t>
        </is>
      </c>
    </row>
    <row r="216" ht="23.85" customHeight="1" s="53">
      <c r="A216" s="74" t="inlineStr">
        <is>
          <t>Importée → Demandée</t>
        </is>
      </c>
      <c r="B216" s="65" t="inlineStr">
        <is>
          <t>COM-39.03</t>
        </is>
      </c>
      <c r="C216" s="68" t="inlineStr">
        <is>
          <t>Format de réponse</t>
        </is>
      </c>
      <c r="D216" s="68" t="inlineStr">
        <is>
          <t>Nombres et %</t>
        </is>
      </c>
      <c r="E216" s="68" t="inlineStr">
        <is>
          <t>Plusieurs champs : Vues par vidéo · Secondes regardées en moyenne · Part vue jusqu'au bout</t>
        </is>
      </c>
    </row>
    <row r="217" ht="15" customHeight="1" s="53">
      <c r="A217" s="74" t="inlineStr">
        <is>
          <t>Importée → Demandée</t>
        </is>
      </c>
      <c r="B217" s="65" t="inlineStr">
        <is>
          <t>COM-42.02</t>
        </is>
      </c>
      <c r="C217" s="68" t="inlineStr">
        <is>
          <t>Mode : Importée → Demandée (le dirigeant la saisit)</t>
        </is>
      </c>
      <c r="D217" s="68" t="inlineStr">
        <is>
          <t>Importée</t>
        </is>
      </c>
      <c r="E217" s="68" t="inlineStr">
        <is>
          <t>Demandée</t>
        </is>
      </c>
    </row>
    <row r="218" ht="15" customHeight="1" s="53">
      <c r="A218" s="74" t="inlineStr">
        <is>
          <t>Importée → Demandée</t>
        </is>
      </c>
      <c r="B218" s="65" t="inlineStr">
        <is>
          <t>COM-44.03</t>
        </is>
      </c>
      <c r="C218" s="68" t="inlineStr">
        <is>
          <t>Mode : Importée → Demandée (le dirigeant la saisit)</t>
        </is>
      </c>
      <c r="D218" s="68" t="inlineStr">
        <is>
          <t>Importée</t>
        </is>
      </c>
      <c r="E218" s="68" t="inlineStr">
        <is>
          <t>Demandée</t>
        </is>
      </c>
    </row>
    <row r="219" ht="15" customHeight="1" s="53">
      <c r="A219" s="74" t="inlineStr">
        <is>
          <t>Importée → Demandée</t>
        </is>
      </c>
      <c r="B219" s="65" t="inlineStr">
        <is>
          <t>COM-44.03</t>
        </is>
      </c>
      <c r="C219" s="68" t="inlineStr">
        <is>
          <t>Format de réponse</t>
        </is>
      </c>
      <c r="D219" s="68" t="inlineStr">
        <is>
          <t>3 nombres</t>
        </is>
      </c>
      <c r="E219" s="68" t="inlineStr">
        <is>
          <t>Plusieurs champs : 5 étoiles · 4 étoiles · 3 étoiles ou moins</t>
        </is>
      </c>
    </row>
    <row r="220" ht="15" customHeight="1" s="53">
      <c r="A220" s="74" t="inlineStr">
        <is>
          <t>Importée → Demandée</t>
        </is>
      </c>
      <c r="B220" s="65" t="inlineStr">
        <is>
          <t>COM-44.04</t>
        </is>
      </c>
      <c r="C220" s="68" t="inlineStr">
        <is>
          <t>Mode : Importée → Demandée (le dirigeant la saisit)</t>
        </is>
      </c>
      <c r="D220" s="68" t="inlineStr">
        <is>
          <t>Importée</t>
        </is>
      </c>
      <c r="E220" s="68" t="inlineStr">
        <is>
          <t>Demandée</t>
        </is>
      </c>
    </row>
    <row r="221" ht="15" customHeight="1" s="53">
      <c r="A221" s="74" t="inlineStr">
        <is>
          <t>Importée → Demandée</t>
        </is>
      </c>
      <c r="B221" s="65" t="inlineStr">
        <is>
          <t>COM-44.04</t>
        </is>
      </c>
      <c r="C221" s="68" t="inlineStr">
        <is>
          <t>Format de réponse</t>
        </is>
      </c>
      <c r="D221" s="68" t="inlineStr">
        <is>
          <t>Connexion ou copier-coller</t>
        </is>
      </c>
      <c r="E221" s="68" t="inlineStr">
        <is>
          <t>Texte</t>
        </is>
      </c>
    </row>
    <row r="222" ht="15" customHeight="1" s="53">
      <c r="A222" s="74" t="inlineStr">
        <is>
          <t>Importée → Demandée</t>
        </is>
      </c>
      <c r="B222" s="65" t="inlineStr">
        <is>
          <t>COM-46.01</t>
        </is>
      </c>
      <c r="C222" s="68" t="inlineStr">
        <is>
          <t>Mode : Importée → Demandée (le dirigeant la saisit)</t>
        </is>
      </c>
      <c r="D222" s="68" t="inlineStr">
        <is>
          <t>Importée</t>
        </is>
      </c>
      <c r="E222" s="68" t="inlineStr">
        <is>
          <t>Demandée</t>
        </is>
      </c>
    </row>
    <row r="223" ht="23.85" customHeight="1" s="53">
      <c r="A223" s="74" t="inlineStr">
        <is>
          <t>Importée → Demandée</t>
        </is>
      </c>
      <c r="B223" s="65" t="inlineStr">
        <is>
          <t>COM-46.01</t>
        </is>
      </c>
      <c r="C223" s="68" t="inlineStr">
        <is>
          <t>Format de réponse</t>
        </is>
      </c>
      <c r="D223" s="68" t="inlineStr">
        <is>
          <t>Nombres et jours</t>
        </is>
      </c>
      <c r="E223" s="68" t="inlineStr">
        <is>
          <t>Plusieurs champs : Avis positifs avec une réponse · Avis négatifs avec une réponse · Délai moyen de réponse</t>
        </is>
      </c>
    </row>
    <row r="224" ht="23.85" customHeight="1" s="53">
      <c r="A224" s="74" t="inlineStr">
        <is>
          <t>Plus posée</t>
        </is>
      </c>
      <c r="B224" s="65" t="inlineStr">
        <is>
          <t>ACQ-06.02</t>
        </is>
      </c>
      <c r="C224" s="68" t="inlineStr">
        <is>
          <t>Mode : Calculée (plus de question : la banque la lit dans une autre réponse)</t>
        </is>
      </c>
      <c r="D224" s="68" t="inlineStr">
        <is>
          <t>Importée · essentiel</t>
        </is>
      </c>
      <c r="E224" s="68" t="inlineStr">
        <is>
          <t>Lue dans la réponse à ACQ-06.01 (champ « Note sur 5 »)</t>
        </is>
      </c>
    </row>
    <row r="225" ht="23.85" customHeight="1" s="53">
      <c r="A225" s="74" t="inlineStr">
        <is>
          <t>Plus posée</t>
        </is>
      </c>
      <c r="B225" s="65" t="inlineStr">
        <is>
          <t>ACQ-06.03</t>
        </is>
      </c>
      <c r="C225" s="68" t="inlineStr">
        <is>
          <t>Mode : Calculée (plus de question : la banque la lit dans une autre réponse)</t>
        </is>
      </c>
      <c r="D225" s="68" t="inlineStr">
        <is>
          <t>Importée · essentiel</t>
        </is>
      </c>
      <c r="E225" s="68" t="inlineStr">
        <is>
          <t>Lue dans la réponse à ACQ-06.01 (champ « Avis reçus sur les 6 derniers mois »)</t>
        </is>
      </c>
    </row>
    <row r="226" ht="23.85" customHeight="1" s="53">
      <c r="A226" s="74" t="inlineStr">
        <is>
          <t>Plus posée</t>
        </is>
      </c>
      <c r="B226" s="65" t="inlineStr">
        <is>
          <t>ACQ-06.05</t>
        </is>
      </c>
      <c r="C226" s="68" t="inlineStr">
        <is>
          <t>Mode : Calculée (plus de question : la banque la lit dans une autre réponse)</t>
        </is>
      </c>
      <c r="D226" s="68" t="inlineStr">
        <is>
          <t>Importée · essentiel</t>
        </is>
      </c>
      <c r="E226" s="68" t="inlineStr">
        <is>
          <t>Lue dans la réponse à ACQ-06.04 (champ « Vues de votre fiche », total sur 3 mois) ÷ 3</t>
        </is>
      </c>
    </row>
    <row r="227" ht="23.85" customHeight="1" s="53">
      <c r="A227" s="74" t="inlineStr">
        <is>
          <t>Plus posée</t>
        </is>
      </c>
      <c r="B227" s="65" t="inlineStr">
        <is>
          <t>ACQ-09.03</t>
        </is>
      </c>
      <c r="C227" s="68" t="inlineStr">
        <is>
          <t>Mode : Calculée (plus de question : la banque la lit dans une autre réponse)</t>
        </is>
      </c>
      <c r="D227" s="68" t="inlineStr">
        <is>
          <t>Demandée · essentiel</t>
        </is>
      </c>
      <c r="E227" s="68" t="inlineStr">
        <is>
          <t>Lue dans la réponse à ACQ-09.02 (champ « Absents sans prévenir »)</t>
        </is>
      </c>
    </row>
    <row r="228" ht="23.85" customHeight="1" s="53">
      <c r="A228" s="74" t="inlineStr">
        <is>
          <t>Plus posée</t>
        </is>
      </c>
      <c r="B228" s="65" t="inlineStr">
        <is>
          <t>ACQ-10.02</t>
        </is>
      </c>
      <c r="C228" s="68" t="inlineStr">
        <is>
          <t>Mode : Calculée (plus de question : la banque la lit dans une autre réponse)</t>
        </is>
      </c>
      <c r="D228" s="68" t="inlineStr">
        <is>
          <t>Demandée · essentiel</t>
        </is>
      </c>
      <c r="E228" s="68" t="inlineStr">
        <is>
          <t>Lue dans la réponse à ACQ-10.01 (champ « Montant total par mois »)</t>
        </is>
      </c>
    </row>
    <row r="229" ht="23.85" customHeight="1" s="53">
      <c r="A229" s="74" t="inlineStr">
        <is>
          <t>Plus posée</t>
        </is>
      </c>
      <c r="B229" s="65" t="inlineStr">
        <is>
          <t>ACQ-10.04</t>
        </is>
      </c>
      <c r="C229" s="68" t="inlineStr">
        <is>
          <t>Mode : Calculée (plus de question : la banque la lit dans une autre réponse)</t>
        </is>
      </c>
      <c r="D229" s="68" t="inlineStr">
        <is>
          <t>Demandée · essentiel</t>
        </is>
      </c>
      <c r="E229" s="68" t="inlineStr">
        <is>
          <t>Lue dans la réponse à ACQ-10.03 (champ « Montant total par mois »)</t>
        </is>
      </c>
    </row>
    <row r="230" ht="23.85" customHeight="1" s="53">
      <c r="A230" s="74" t="inlineStr">
        <is>
          <t>Plus posée</t>
        </is>
      </c>
      <c r="B230" s="65" t="inlineStr">
        <is>
          <t>ACQ-13.06</t>
        </is>
      </c>
      <c r="C230" s="68" t="inlineStr">
        <is>
          <t>Mode : Calculée (plus de question : la banque la lit dans une autre réponse)</t>
        </is>
      </c>
      <c r="D230" s="68" t="inlineStr">
        <is>
          <t>Demandée · essentiel</t>
        </is>
      </c>
      <c r="E230" s="68" t="inlineStr">
        <is>
          <t>Lue dans la réponse à ACQ-13.04 (champ « Hausse », en %) : questions fusionnées</t>
        </is>
      </c>
    </row>
    <row r="231" ht="23.85" customHeight="1" s="53">
      <c r="A231" s="74" t="inlineStr">
        <is>
          <t>Plus posée</t>
        </is>
      </c>
      <c r="B231" s="65" t="inlineStr">
        <is>
          <t>ACQ-17.01</t>
        </is>
      </c>
      <c r="C231" s="68" t="inlineStr">
        <is>
          <t>Mode : Calculée (plus de question : la banque la lit dans une autre réponse)</t>
        </is>
      </c>
      <c r="D231" s="68" t="inlineStr">
        <is>
          <t>Demandée · essentiel</t>
        </is>
      </c>
      <c r="E231" s="68" t="inlineStr">
        <is>
          <t>Somme de ACQ-01.03 (clients différents par catégorie, sur les 12 derniers mois)</t>
        </is>
      </c>
    </row>
    <row r="232" ht="23.85" customHeight="1" s="53">
      <c r="A232" s="74" t="inlineStr">
        <is>
          <t>Plus posée</t>
        </is>
      </c>
      <c r="B232" s="65" t="inlineStr">
        <is>
          <t>ACQ-17.03</t>
        </is>
      </c>
      <c r="C232" s="68" t="inlineStr">
        <is>
          <t>Mode : Calculée (plus de question : la banque la lit dans une autre réponse)</t>
        </is>
      </c>
      <c r="D232" s="68" t="inlineStr">
        <is>
          <t>Demandée · essentiel</t>
        </is>
      </c>
      <c r="E232" s="68" t="inlineStr">
        <is>
          <t>Ventes sur 12 mois (somme de ACQ-23.04) ÷ clients différents (ACQ-17.01)</t>
        </is>
      </c>
    </row>
    <row r="233" ht="23.85" customHeight="1" s="53">
      <c r="A233" s="74" t="inlineStr">
        <is>
          <t>Plus posée</t>
        </is>
      </c>
      <c r="B233" s="65" t="inlineStr">
        <is>
          <t>ACQ-17.11</t>
        </is>
      </c>
      <c r="C233" s="68" t="inlineStr">
        <is>
          <t>Mode : Calculée (plus de question : la banque la lit dans une autre réponse)</t>
        </is>
      </c>
      <c r="D233" s="68" t="inlineStr">
        <is>
          <t>Demandée · essentiel</t>
        </is>
      </c>
      <c r="E233" s="68" t="inlineStr">
        <is>
          <t>Lue dans la réponse à ACQ-17.10 (champ « Total payé par mois ») : questions fusionnées</t>
        </is>
      </c>
    </row>
    <row r="234" ht="23.85" customHeight="1" s="53">
      <c r="A234" s="74" t="inlineStr">
        <is>
          <t>Plus posée</t>
        </is>
      </c>
      <c r="B234" s="65" t="inlineStr">
        <is>
          <t>ACQ-21.05</t>
        </is>
      </c>
      <c r="C234" s="68" t="inlineStr">
        <is>
          <t>Mode : Calculée (plus de question : la banque la lit dans une autre réponse)</t>
        </is>
      </c>
      <c r="D234" s="68" t="inlineStr">
        <is>
          <t>Demandée · essentiel</t>
        </is>
      </c>
      <c r="E234" s="68" t="inlineStr">
        <is>
          <t>Lue dans la réponse à ACQ-21.04 (champ « Heures facturées ») : questions fusionnées</t>
        </is>
      </c>
    </row>
    <row r="235" ht="23.85" customHeight="1" s="53">
      <c r="A235" s="74" t="inlineStr">
        <is>
          <t>Plus posée</t>
        </is>
      </c>
      <c r="B235" s="65" t="inlineStr">
        <is>
          <t>ACQ-21.07</t>
        </is>
      </c>
      <c r="C235" s="68" t="inlineStr">
        <is>
          <t>Mode : Calculée (plus de question : la banque la lit dans une autre réponse)</t>
        </is>
      </c>
      <c r="D235" s="68" t="inlineStr">
        <is>
          <t>Demandée · approfondi</t>
        </is>
      </c>
      <c r="E235" s="68" t="inlineStr">
        <is>
          <t>Reprise de ACQ-19.03 (délai avant démarrage) et ACQ-19.04 (projets en attente) : déjà demandées</t>
        </is>
      </c>
    </row>
    <row r="236" ht="23.85" customHeight="1" s="53">
      <c r="A236" s="74" t="inlineStr">
        <is>
          <t>Plus posée</t>
        </is>
      </c>
      <c r="B236" s="65" t="inlineStr">
        <is>
          <t>ACQ-22.06</t>
        </is>
      </c>
      <c r="C236" s="68" t="inlineStr">
        <is>
          <t>Mode : Calculée (plus de question : la banque la lit dans une autre réponse)</t>
        </is>
      </c>
      <c r="D236" s="68" t="inlineStr">
        <is>
          <t>Demandée · essentiel</t>
        </is>
      </c>
      <c r="E236" s="68" t="inlineStr">
        <is>
          <t>Rendez-vous par mois (ACQ-09.01) ÷ 4,33</t>
        </is>
      </c>
    </row>
    <row r="237" ht="15" customHeight="1" s="53">
      <c r="A237" s="74" t="inlineStr">
        <is>
          <t>Condition</t>
        </is>
      </c>
      <c r="B237" s="65" t="inlineStr">
        <is>
          <t>ACQ-08.03</t>
        </is>
      </c>
      <c r="C237" s="68" t="inlineStr">
        <is>
          <t>Condition d'affichage</t>
        </is>
      </c>
      <c r="D237" s="68" t="inlineStr">
        <is>
          <t>—</t>
        </is>
      </c>
      <c r="E237" s="68" t="inlineStr">
        <is>
          <t>D37 · si vous manquez des appels</t>
        </is>
      </c>
    </row>
    <row r="238" ht="15" customHeight="1" s="53">
      <c r="A238" s="74" t="inlineStr">
        <is>
          <t>Condition</t>
        </is>
      </c>
      <c r="B238" s="65" t="inlineStr">
        <is>
          <t>ACQ-10.07</t>
        </is>
      </c>
      <c r="C238" s="68" t="inlineStr">
        <is>
          <t>Condition d'affichage</t>
        </is>
      </c>
      <c r="D238" s="68" t="inlineStr">
        <is>
          <t>D06 · si devis ou propositions</t>
        </is>
      </c>
      <c r="E238" s="68" t="inlineStr">
        <is>
          <t>D36 · si vous relancez vos devis</t>
        </is>
      </c>
    </row>
    <row r="239" ht="15" customHeight="1" s="53">
      <c r="A239" s="74" t="inlineStr">
        <is>
          <t>Condition</t>
        </is>
      </c>
      <c r="B239" s="65" t="inlineStr">
        <is>
          <t>ACQ-10.10</t>
        </is>
      </c>
      <c r="C239" s="68" t="inlineStr">
        <is>
          <t>Condition d'affichage</t>
        </is>
      </c>
      <c r="D239" s="68" t="inlineStr">
        <is>
          <t>D06 · si devis ou propositions</t>
        </is>
      </c>
      <c r="E239" s="68" t="inlineStr">
        <is>
          <t>D36 · si vous relancez vos devis</t>
        </is>
      </c>
    </row>
    <row r="240" ht="15" customHeight="1" s="53">
      <c r="A240" s="74" t="inlineStr">
        <is>
          <t>Condition</t>
        </is>
      </c>
      <c r="B240" s="65" t="inlineStr">
        <is>
          <t>ACQ-10.11</t>
        </is>
      </c>
      <c r="C240" s="68" t="inlineStr">
        <is>
          <t>Condition d'affichage</t>
        </is>
      </c>
      <c r="D240" s="68" t="inlineStr">
        <is>
          <t>D06 · si devis ou propositions</t>
        </is>
      </c>
      <c r="E240" s="68" t="inlineStr">
        <is>
          <t>D36 · si vous relancez vos devis</t>
        </is>
      </c>
    </row>
    <row r="241" ht="15" customHeight="1" s="53">
      <c r="A241" s="74" t="inlineStr">
        <is>
          <t>Condition</t>
        </is>
      </c>
      <c r="B241" s="65" t="inlineStr">
        <is>
          <t>ACQ-14.02</t>
        </is>
      </c>
      <c r="C241" s="68" t="inlineStr">
        <is>
          <t>Condition d'affichage</t>
        </is>
      </c>
      <c r="D241" s="68" t="inlineStr">
        <is>
          <t>—</t>
        </is>
      </c>
      <c r="E241" s="68" t="inlineStr">
        <is>
          <t>D35 · si vous accordez des remises</t>
        </is>
      </c>
    </row>
    <row r="242" ht="15" customHeight="1" s="53">
      <c r="A242" s="74" t="inlineStr">
        <is>
          <t>Condition</t>
        </is>
      </c>
      <c r="B242" s="65" t="inlineStr">
        <is>
          <t>ACQ-14.04</t>
        </is>
      </c>
      <c r="C242" s="68" t="inlineStr">
        <is>
          <t>Condition d'affichage</t>
        </is>
      </c>
      <c r="D242" s="68" t="inlineStr">
        <is>
          <t>—</t>
        </is>
      </c>
      <c r="E242" s="68" t="inlineStr">
        <is>
          <t>D35 · si vous accordez des remises</t>
        </is>
      </c>
    </row>
    <row r="243" ht="15" customHeight="1" s="53">
      <c r="A243" s="74" t="inlineStr">
        <is>
          <t>Condition</t>
        </is>
      </c>
      <c r="B243" s="65" t="inlineStr">
        <is>
          <t>ACQ-15.02</t>
        </is>
      </c>
      <c r="C243" s="68" t="inlineStr">
        <is>
          <t>Condition d'affichage</t>
        </is>
      </c>
      <c r="D243" s="68" t="inlineStr">
        <is>
          <t>—</t>
        </is>
      </c>
      <c r="E243" s="68" t="inlineStr">
        <is>
          <t>D32 · si vous proposez un produit ou un service en plus</t>
        </is>
      </c>
    </row>
    <row r="244" ht="15" customHeight="1" s="53">
      <c r="A244" s="74" t="inlineStr">
        <is>
          <t>Condition</t>
        </is>
      </c>
      <c r="B244" s="65" t="inlineStr">
        <is>
          <t>ACQ-15.03</t>
        </is>
      </c>
      <c r="C244" s="68" t="inlineStr">
        <is>
          <t>Condition d'affichage</t>
        </is>
      </c>
      <c r="D244" s="68" t="inlineStr">
        <is>
          <t>—</t>
        </is>
      </c>
      <c r="E244" s="68" t="inlineStr">
        <is>
          <t>D32 · si vous proposez un produit ou un service en plus</t>
        </is>
      </c>
    </row>
    <row r="245" ht="15" customHeight="1" s="53">
      <c r="A245" s="74" t="inlineStr">
        <is>
          <t>Condition</t>
        </is>
      </c>
      <c r="B245" s="65" t="inlineStr">
        <is>
          <t>ACQ-17.14</t>
        </is>
      </c>
      <c r="C245" s="68" t="inlineStr">
        <is>
          <t>Condition d'affichage</t>
        </is>
      </c>
      <c r="D245" s="68" t="inlineStr">
        <is>
          <t>—</t>
        </is>
      </c>
      <c r="E245" s="68" t="inlineStr">
        <is>
          <t>D38 · si des clients résilient</t>
        </is>
      </c>
    </row>
    <row r="246" ht="15" customHeight="1" s="53">
      <c r="A246" s="74" t="inlineStr">
        <is>
          <t>Condition</t>
        </is>
      </c>
      <c r="B246" s="65" t="inlineStr">
        <is>
          <t>ACQ-21.01</t>
        </is>
      </c>
      <c r="C246" s="68" t="inlineStr">
        <is>
          <t>Condition d'affichage</t>
        </is>
      </c>
      <c r="D246" s="68" t="inlineStr">
        <is>
          <t>—</t>
        </is>
      </c>
      <c r="E246" s="68" t="inlineStr">
        <is>
          <t>D02 · si au moins un salarié</t>
        </is>
      </c>
    </row>
    <row r="247" ht="15" customHeight="1" s="53">
      <c r="A247" s="74" t="inlineStr">
        <is>
          <t>Condition</t>
        </is>
      </c>
      <c r="B247" s="65" t="inlineStr">
        <is>
          <t>COM-15.04</t>
        </is>
      </c>
      <c r="C247" s="68" t="inlineStr">
        <is>
          <t>Condition d'affichage</t>
        </is>
      </c>
      <c r="D247" s="68" t="inlineStr">
        <is>
          <t>D24 · si fichier de contacts</t>
        </is>
      </c>
      <c r="E247" s="68" t="inlineStr">
        <is>
          <t>D58 · si vous écrivez à votre fichier</t>
        </is>
      </c>
    </row>
    <row r="248" ht="15" customHeight="1" s="53">
      <c r="A248" s="74" t="inlineStr">
        <is>
          <t>Condition</t>
        </is>
      </c>
      <c r="B248" s="65" t="inlineStr">
        <is>
          <t>COM-15.06</t>
        </is>
      </c>
      <c r="C248" s="68" t="inlineStr">
        <is>
          <t>Condition d'affichage</t>
        </is>
      </c>
      <c r="D248" s="68" t="inlineStr">
        <is>
          <t>D24 · si fichier de contacts</t>
        </is>
      </c>
      <c r="E248" s="68" t="inlineStr">
        <is>
          <t>D58 · si vous écrivez à votre fichier</t>
        </is>
      </c>
    </row>
    <row r="249" ht="15" customHeight="1" s="53">
      <c r="A249" s="74" t="inlineStr">
        <is>
          <t>Condition</t>
        </is>
      </c>
      <c r="B249" s="65" t="inlineStr">
        <is>
          <t>COM-23.01</t>
        </is>
      </c>
      <c r="C249" s="68" t="inlineStr">
        <is>
          <t>Condition d'affichage</t>
        </is>
      </c>
      <c r="D249" s="68" t="inlineStr">
        <is>
          <t>D22 · une ligne par messagerie utilisée</t>
        </is>
      </c>
      <c r="E249" s="68" t="inlineStr">
        <is>
          <t>—</t>
        </is>
      </c>
    </row>
    <row r="250" ht="15" customHeight="1" s="53">
      <c r="A250" s="74" t="inlineStr">
        <is>
          <t>Condition</t>
        </is>
      </c>
      <c r="B250" s="65" t="inlineStr">
        <is>
          <t>COM-23.02</t>
        </is>
      </c>
      <c r="C250" s="68" t="inlineStr">
        <is>
          <t>Condition d'affichage</t>
        </is>
      </c>
      <c r="D250" s="68" t="inlineStr">
        <is>
          <t>—</t>
        </is>
      </c>
      <c r="E250" s="68" t="inlineStr">
        <is>
          <t>D59 · si vous recevez des messages</t>
        </is>
      </c>
    </row>
    <row r="251" ht="15" customHeight="1" s="53">
      <c r="A251" s="74" t="inlineStr">
        <is>
          <t>Condition</t>
        </is>
      </c>
      <c r="B251" s="65" t="inlineStr">
        <is>
          <t>COM-23.03</t>
        </is>
      </c>
      <c r="C251" s="68" t="inlineStr">
        <is>
          <t>Condition d'affichage</t>
        </is>
      </c>
      <c r="D251" s="68" t="inlineStr">
        <is>
          <t>—</t>
        </is>
      </c>
      <c r="E251" s="68" t="inlineStr">
        <is>
          <t>D59 · si vous recevez des messages</t>
        </is>
      </c>
    </row>
    <row r="252" ht="15" customHeight="1" s="53">
      <c r="A252" s="74" t="inlineStr">
        <is>
          <t>Condition</t>
        </is>
      </c>
      <c r="B252" s="65" t="inlineStr">
        <is>
          <t>COM-31.02</t>
        </is>
      </c>
      <c r="C252" s="68" t="inlineStr">
        <is>
          <t>Condition d'affichage</t>
        </is>
      </c>
      <c r="D252" s="68" t="inlineStr">
        <is>
          <t>—</t>
        </is>
      </c>
      <c r="E252" s="68" t="inlineStr">
        <is>
          <t>D60 · si vous consacrez du temps à la communication</t>
        </is>
      </c>
    </row>
    <row r="253" ht="15" customHeight="1" s="53">
      <c r="A253" s="74" t="inlineStr">
        <is>
          <t>Condition</t>
        </is>
      </c>
      <c r="B253" s="65" t="inlineStr">
        <is>
          <t>COM-35.02</t>
        </is>
      </c>
      <c r="C253" s="68" t="inlineStr">
        <is>
          <t>Condition d'affichage</t>
        </is>
      </c>
      <c r="D253" s="68" t="inlineStr">
        <is>
          <t>D21 · si vous publiez déjà</t>
        </is>
      </c>
      <c r="E253" s="68" t="inlineStr">
        <is>
          <t>—</t>
        </is>
      </c>
    </row>
    <row r="254" ht="23.85" customHeight="1" s="53">
      <c r="A254" s="74" t="inlineStr">
        <is>
          <t>Condition</t>
        </is>
      </c>
      <c r="B254" s="65" t="inlineStr">
        <is>
          <t>COM-39.01</t>
        </is>
      </c>
      <c r="C254" s="68" t="inlineStr">
        <is>
          <t>Condition d'affichage</t>
        </is>
      </c>
      <c r="D254" s="68" t="inlineStr">
        <is>
          <t>D26 · statistiques connectées (sinon 3 meilleures et 3 moins bonnes)</t>
        </is>
      </c>
      <c r="E254" s="68" t="inlineStr">
        <is>
          <t>D26 · saisie si les statistiques ne sont pas connectées</t>
        </is>
      </c>
    </row>
    <row r="255" ht="15" customHeight="1" s="53">
      <c r="A255" s="74" t="inlineStr">
        <is>
          <t>Condition</t>
        </is>
      </c>
      <c r="B255" s="65" t="inlineStr">
        <is>
          <t>COM-39.03</t>
        </is>
      </c>
      <c r="C255" s="68" t="inlineStr">
        <is>
          <t>Condition d'affichage</t>
        </is>
      </c>
      <c r="D255" s="68" t="inlineStr">
        <is>
          <t>D26 · statistiques connectées</t>
        </is>
      </c>
      <c r="E255" s="68" t="inlineStr">
        <is>
          <t>D26 + D63 · si accès aux statistiques et vidéos publiées</t>
        </is>
      </c>
    </row>
    <row r="256" ht="15" customHeight="1" s="53">
      <c r="A256" s="74" t="inlineStr">
        <is>
          <t>Condition</t>
        </is>
      </c>
      <c r="B256" s="65" t="inlineStr">
        <is>
          <t>COM-44.03</t>
        </is>
      </c>
      <c r="C256" s="68" t="inlineStr">
        <is>
          <t>Condition d'affichage</t>
        </is>
      </c>
      <c r="D256" s="68" t="inlineStr">
        <is>
          <t>—</t>
        </is>
      </c>
      <c r="E256" s="68" t="inlineStr">
        <is>
          <t>D61 · si vous avez des avis</t>
        </is>
      </c>
    </row>
    <row r="257" ht="15" customHeight="1" s="53">
      <c r="A257" s="74" t="inlineStr">
        <is>
          <t>Condition</t>
        </is>
      </c>
      <c r="B257" s="65" t="inlineStr">
        <is>
          <t>COM-44.04</t>
        </is>
      </c>
      <c r="C257" s="68" t="inlineStr">
        <is>
          <t>Condition d'affichage</t>
        </is>
      </c>
      <c r="D257" s="68" t="inlineStr">
        <is>
          <t>—</t>
        </is>
      </c>
      <c r="E257" s="68" t="inlineStr">
        <is>
          <t>D61 · si vous avez des avis</t>
        </is>
      </c>
    </row>
    <row r="258" ht="15" customHeight="1" s="53">
      <c r="A258" s="74" t="inlineStr">
        <is>
          <t>Condition</t>
        </is>
      </c>
      <c r="B258" s="65" t="inlineStr">
        <is>
          <t>COM-46.01</t>
        </is>
      </c>
      <c r="C258" s="68" t="inlineStr">
        <is>
          <t>Condition d'affichage</t>
        </is>
      </c>
      <c r="D258" s="68" t="inlineStr">
        <is>
          <t>—</t>
        </is>
      </c>
      <c r="E258" s="68" t="inlineStr">
        <is>
          <t>D61 · si vous avez des avis</t>
        </is>
      </c>
    </row>
    <row r="259" ht="15" customHeight="1" s="53">
      <c r="A259" s="74" t="inlineStr">
        <is>
          <t>Condition</t>
        </is>
      </c>
      <c r="B259" s="65" t="inlineStr">
        <is>
          <t>COM-46.02</t>
        </is>
      </c>
      <c r="C259" s="68" t="inlineStr">
        <is>
          <t>Condition d'affichage</t>
        </is>
      </c>
      <c r="D259" s="68" t="inlineStr">
        <is>
          <t>—</t>
        </is>
      </c>
      <c r="E259" s="68" t="inlineStr">
        <is>
          <t>D61 · si vous avez des avis</t>
        </is>
      </c>
    </row>
    <row r="260" ht="15" customHeight="1" s="53">
      <c r="A260" s="74" t="inlineStr">
        <is>
          <t>Condition</t>
        </is>
      </c>
      <c r="B260" s="65" t="inlineStr">
        <is>
          <t>FIN-05.02</t>
        </is>
      </c>
      <c r="C260" s="68" t="inlineStr">
        <is>
          <t>Condition d'affichage</t>
        </is>
      </c>
      <c r="D260" s="68" t="inlineStr">
        <is>
          <t>—</t>
        </is>
      </c>
      <c r="E260" s="68" t="inlineStr">
        <is>
          <t>Pas posée si les agents Acquisition et Comm sont faits : calculée</t>
        </is>
      </c>
    </row>
    <row r="261" ht="15" customHeight="1" s="53">
      <c r="A261" s="74" t="inlineStr">
        <is>
          <t>Condition</t>
        </is>
      </c>
      <c r="B261" s="65" t="inlineStr">
        <is>
          <t>FIN-05.04</t>
        </is>
      </c>
      <c r="C261" s="68" t="inlineStr">
        <is>
          <t>Condition d'affichage</t>
        </is>
      </c>
      <c r="D261" s="68" t="inlineStr">
        <is>
          <t>—</t>
        </is>
      </c>
      <c r="E261" s="68" t="inlineStr">
        <is>
          <t>D31 · sauf micro-entreprise</t>
        </is>
      </c>
    </row>
    <row r="262" ht="15" customHeight="1" s="53">
      <c r="A262" s="74" t="inlineStr">
        <is>
          <t>Condition</t>
        </is>
      </c>
      <c r="B262" s="65" t="inlineStr">
        <is>
          <t>FIN-10.02</t>
        </is>
      </c>
      <c r="C262" s="68" t="inlineStr">
        <is>
          <t>Condition d'affichage</t>
        </is>
      </c>
      <c r="D262" s="68" t="inlineStr">
        <is>
          <t>—</t>
        </is>
      </c>
      <c r="E262" s="68" t="inlineStr">
        <is>
          <t>D40 · si reprises, retours ou gestes</t>
        </is>
      </c>
    </row>
    <row r="263" ht="15" customHeight="1" s="53">
      <c r="A263" s="74" t="inlineStr">
        <is>
          <t>Condition</t>
        </is>
      </c>
      <c r="B263" s="65" t="inlineStr">
        <is>
          <t>FIN-10.03</t>
        </is>
      </c>
      <c r="C263" s="68" t="inlineStr">
        <is>
          <t>Condition d'affichage</t>
        </is>
      </c>
      <c r="D263" s="68" t="inlineStr">
        <is>
          <t>—</t>
        </is>
      </c>
      <c r="E263" s="68" t="inlineStr">
        <is>
          <t>D48 · si vous avez des reprises</t>
        </is>
      </c>
    </row>
    <row r="264" ht="15" customHeight="1" s="53">
      <c r="A264" s="74" t="inlineStr">
        <is>
          <t>Condition</t>
        </is>
      </c>
      <c r="B264" s="65" t="inlineStr">
        <is>
          <t>FIN-10.04</t>
        </is>
      </c>
      <c r="C264" s="68" t="inlineStr">
        <is>
          <t>Condition d'affichage</t>
        </is>
      </c>
      <c r="D264" s="68" t="inlineStr">
        <is>
          <t>—</t>
        </is>
      </c>
      <c r="E264" s="68" t="inlineStr">
        <is>
          <t>D41 · si vous avez des retours</t>
        </is>
      </c>
    </row>
    <row r="265" ht="15" customHeight="1" s="53">
      <c r="A265" s="74" t="inlineStr">
        <is>
          <t>Condition</t>
        </is>
      </c>
      <c r="B265" s="65" t="inlineStr">
        <is>
          <t>FIN-10.05</t>
        </is>
      </c>
      <c r="C265" s="68" t="inlineStr">
        <is>
          <t>Condition d'affichage</t>
        </is>
      </c>
      <c r="D265" s="68" t="inlineStr">
        <is>
          <t>—</t>
        </is>
      </c>
      <c r="E265" s="68" t="inlineStr">
        <is>
          <t>D40 · si reprises, retours ou gestes</t>
        </is>
      </c>
    </row>
    <row r="266" ht="15" customHeight="1" s="53">
      <c r="A266" s="74" t="inlineStr">
        <is>
          <t>Condition</t>
        </is>
      </c>
      <c r="B266" s="65" t="inlineStr">
        <is>
          <t>FIN-41.02</t>
        </is>
      </c>
      <c r="C266" s="68" t="inlineStr">
        <is>
          <t>Condition d'affichage</t>
        </is>
      </c>
      <c r="D266" s="68" t="inlineStr">
        <is>
          <t>D07 · si stock</t>
        </is>
      </c>
      <c r="E266" s="68" t="inlineStr">
        <is>
          <t>D42 · si vous avez des ruptures</t>
        </is>
      </c>
    </row>
    <row r="267" ht="15" customHeight="1" s="53">
      <c r="A267" s="74" t="inlineStr">
        <is>
          <t>Condition</t>
        </is>
      </c>
      <c r="B267" s="65" t="inlineStr">
        <is>
          <t>RH-04.02</t>
        </is>
      </c>
      <c r="C267" s="68" t="inlineStr">
        <is>
          <t>Condition d'affichage</t>
        </is>
      </c>
      <c r="D267" s="68" t="inlineStr">
        <is>
          <t>—</t>
        </is>
      </c>
      <c r="E267" s="68" t="inlineStr">
        <is>
          <t>D44 · si vous avez confié des tâches</t>
        </is>
      </c>
    </row>
    <row r="268" ht="15" customHeight="1" s="53">
      <c r="A268" s="74" t="inlineStr">
        <is>
          <t>Condition</t>
        </is>
      </c>
      <c r="B268" s="65" t="inlineStr">
        <is>
          <t>RH-04.03</t>
        </is>
      </c>
      <c r="C268" s="68" t="inlineStr">
        <is>
          <t>Condition d'affichage</t>
        </is>
      </c>
      <c r="D268" s="68" t="inlineStr">
        <is>
          <t>—</t>
        </is>
      </c>
      <c r="E268" s="68" t="inlineStr">
        <is>
          <t>D45 · si vous avez dû reprendre des tâches en main</t>
        </is>
      </c>
    </row>
    <row r="269" ht="15" customHeight="1" s="53">
      <c r="A269" s="74" t="inlineStr">
        <is>
          <t>Condition</t>
        </is>
      </c>
      <c r="B269" s="65" t="inlineStr">
        <is>
          <t>RH-04.04</t>
        </is>
      </c>
      <c r="C269" s="68" t="inlineStr">
        <is>
          <t>Condition d'affichage</t>
        </is>
      </c>
      <c r="D269" s="68" t="inlineStr">
        <is>
          <t>—</t>
        </is>
      </c>
      <c r="E269" s="68" t="inlineStr">
        <is>
          <t>D45 · si vous avez dû reprendre des tâches en main</t>
        </is>
      </c>
    </row>
    <row r="270" ht="15" customHeight="1" s="53">
      <c r="A270" s="74" t="inlineStr">
        <is>
          <t>Condition</t>
        </is>
      </c>
      <c r="B270" s="65" t="inlineStr">
        <is>
          <t>RH-04.05</t>
        </is>
      </c>
      <c r="C270" s="68" t="inlineStr">
        <is>
          <t>Condition d'affichage</t>
        </is>
      </c>
      <c r="D270" s="68" t="inlineStr">
        <is>
          <t>—</t>
        </is>
      </c>
      <c r="E270" s="68" t="inlineStr">
        <is>
          <t>D45 · si vous avez dû reprendre des tâches en main</t>
        </is>
      </c>
    </row>
    <row r="271" ht="15" customHeight="1" s="53">
      <c r="A271" s="74" t="inlineStr">
        <is>
          <t>Condition</t>
        </is>
      </c>
      <c r="B271" s="65" t="inlineStr">
        <is>
          <t>RH-06.06</t>
        </is>
      </c>
      <c r="C271" s="68" t="inlineStr">
        <is>
          <t>Condition d'affichage</t>
        </is>
      </c>
      <c r="D271" s="68" t="inlineStr">
        <is>
          <t>—</t>
        </is>
      </c>
      <c r="E271" s="68" t="inlineStr">
        <is>
          <t>D46 · s'il y a des heures supplémentaires</t>
        </is>
      </c>
    </row>
    <row r="272" ht="15" customHeight="1" s="53">
      <c r="A272" s="74" t="inlineStr">
        <is>
          <t>Condition</t>
        </is>
      </c>
      <c r="B272" s="65" t="inlineStr">
        <is>
          <t>RH-06.07</t>
        </is>
      </c>
      <c r="C272" s="68" t="inlineStr">
        <is>
          <t>Condition d'affichage</t>
        </is>
      </c>
      <c r="D272" s="68" t="inlineStr">
        <is>
          <t>—</t>
        </is>
      </c>
      <c r="E272" s="68" t="inlineStr">
        <is>
          <t>D46 · s'il y a des heures supplémentaires</t>
        </is>
      </c>
    </row>
    <row r="273" ht="15" customHeight="1" s="53">
      <c r="A273" s="74" t="inlineStr">
        <is>
          <t>Condition</t>
        </is>
      </c>
      <c r="B273" s="65" t="inlineStr">
        <is>
          <t>RH-16.02</t>
        </is>
      </c>
      <c r="C273" s="68" t="inlineStr">
        <is>
          <t>Condition d'affichage</t>
        </is>
      </c>
      <c r="D273" s="68" t="inlineStr">
        <is>
          <t>—</t>
        </is>
      </c>
      <c r="E273" s="68" t="inlineStr">
        <is>
          <t>D49 · si vous avez des reprises</t>
        </is>
      </c>
    </row>
    <row r="274" ht="15" customHeight="1" s="53">
      <c r="A274" s="74" t="inlineStr">
        <is>
          <t>Condition</t>
        </is>
      </c>
      <c r="B274" s="65" t="inlineStr">
        <is>
          <t>RH-16.03</t>
        </is>
      </c>
      <c r="C274" s="68" t="inlineStr">
        <is>
          <t>Condition d'affichage</t>
        </is>
      </c>
      <c r="D274" s="68" t="inlineStr">
        <is>
          <t>—</t>
        </is>
      </c>
      <c r="E274" s="68" t="inlineStr">
        <is>
          <t>D49 · si vous avez des reprises</t>
        </is>
      </c>
    </row>
    <row r="275" ht="15" customHeight="1" s="53">
      <c r="A275" s="74" t="inlineStr">
        <is>
          <t>Condition</t>
        </is>
      </c>
      <c r="B275" s="65" t="inlineStr">
        <is>
          <t>RH-16.04</t>
        </is>
      </c>
      <c r="C275" s="68" t="inlineStr">
        <is>
          <t>Condition d'affichage</t>
        </is>
      </c>
      <c r="D275" s="68" t="inlineStr">
        <is>
          <t>—</t>
        </is>
      </c>
      <c r="E275" s="68" t="inlineStr">
        <is>
          <t>D49 · si vous avez des reprises</t>
        </is>
      </c>
    </row>
    <row r="276" ht="15" customHeight="1" s="53">
      <c r="A276" s="74" t="inlineStr">
        <is>
          <t>Condition</t>
        </is>
      </c>
      <c r="B276" s="65" t="inlineStr">
        <is>
          <t>RH-19.02</t>
        </is>
      </c>
      <c r="C276" s="68" t="inlineStr">
        <is>
          <t>Condition d'affichage</t>
        </is>
      </c>
      <c r="D276" s="68" t="inlineStr">
        <is>
          <t>—</t>
        </is>
      </c>
      <c r="E276" s="68" t="inlineStr">
        <is>
          <t>D50 · si vous faites des réunions</t>
        </is>
      </c>
    </row>
    <row r="277" ht="15" customHeight="1" s="53">
      <c r="A277" s="74" t="inlineStr">
        <is>
          <t>Condition</t>
        </is>
      </c>
      <c r="B277" s="65" t="inlineStr">
        <is>
          <t>RH-19.04</t>
        </is>
      </c>
      <c r="C277" s="68" t="inlineStr">
        <is>
          <t>Condition d'affichage</t>
        </is>
      </c>
      <c r="D277" s="68" t="inlineStr">
        <is>
          <t>—</t>
        </is>
      </c>
      <c r="E277" s="68" t="inlineStr">
        <is>
          <t>D50 · si vous faites des réunions</t>
        </is>
      </c>
    </row>
    <row r="278" ht="15" customHeight="1" s="53">
      <c r="A278" s="74" t="inlineStr">
        <is>
          <t>Condition</t>
        </is>
      </c>
      <c r="B278" s="65" t="inlineStr">
        <is>
          <t>RH-26.01</t>
        </is>
      </c>
      <c r="C278" s="68" t="inlineStr">
        <is>
          <t>Condition d'affichage</t>
        </is>
      </c>
      <c r="D278" s="68" t="inlineStr">
        <is>
          <t>—</t>
        </is>
      </c>
      <c r="E278" s="68" t="inlineStr">
        <is>
          <t>D53 · si l'équipe a été formée</t>
        </is>
      </c>
    </row>
    <row r="279" ht="15" customHeight="1" s="53">
      <c r="A279" s="74" t="inlineStr">
        <is>
          <t>Condition</t>
        </is>
      </c>
      <c r="B279" s="65" t="inlineStr">
        <is>
          <t>RH-32.03</t>
        </is>
      </c>
      <c r="C279" s="68" t="inlineStr">
        <is>
          <t>Condition d'affichage</t>
        </is>
      </c>
      <c r="D279" s="68" t="inlineStr">
        <is>
          <t>—</t>
        </is>
      </c>
      <c r="E279" s="68" t="inlineStr">
        <is>
          <t>D54 · s'il y a eu des départs</t>
        </is>
      </c>
    </row>
    <row r="280" ht="15" customHeight="1" s="53">
      <c r="A280" s="74" t="inlineStr">
        <is>
          <t>Condition</t>
        </is>
      </c>
      <c r="B280" s="65" t="inlineStr">
        <is>
          <t>RH-32.04</t>
        </is>
      </c>
      <c r="C280" s="68" t="inlineStr">
        <is>
          <t>Condition d'affichage</t>
        </is>
      </c>
      <c r="D280" s="68" t="inlineStr">
        <is>
          <t>—</t>
        </is>
      </c>
      <c r="E280" s="68" t="inlineStr">
        <is>
          <t>D54 · s'il y a eu des départs</t>
        </is>
      </c>
    </row>
    <row r="281" ht="15" customHeight="1" s="53">
      <c r="A281" s="74" t="inlineStr">
        <is>
          <t>Condition</t>
        </is>
      </c>
      <c r="B281" s="65" t="inlineStr">
        <is>
          <t>RH-34.03</t>
        </is>
      </c>
      <c r="C281" s="68" t="inlineStr">
        <is>
          <t>Condition d'affichage</t>
        </is>
      </c>
      <c r="D281" s="68" t="inlineStr">
        <is>
          <t>—</t>
        </is>
      </c>
      <c r="E281" s="68" t="inlineStr">
        <is>
          <t>D55 · s'il y a eu des absences</t>
        </is>
      </c>
    </row>
    <row r="282" ht="15" customHeight="1" s="53">
      <c r="A282" s="74" t="inlineStr">
        <is>
          <t>Condition</t>
        </is>
      </c>
      <c r="B282" s="65" t="inlineStr">
        <is>
          <t>RH-37.02</t>
        </is>
      </c>
      <c r="C282" s="68" t="inlineStr">
        <is>
          <t>Condition d'affichage</t>
        </is>
      </c>
      <c r="D282" s="68" t="inlineStr">
        <is>
          <t>—</t>
        </is>
      </c>
      <c r="E282" s="68" t="inlineStr">
        <is>
          <t>D57 · s'il y a une personne clé</t>
        </is>
      </c>
    </row>
    <row r="283" ht="15" customHeight="1" s="53">
      <c r="A283" s="74" t="inlineStr">
        <is>
          <t>Condition</t>
        </is>
      </c>
      <c r="B283" s="65" t="inlineStr">
        <is>
          <t>RH-38.01</t>
        </is>
      </c>
      <c r="C283" s="68" t="inlineStr">
        <is>
          <t>Condition d'affichage</t>
        </is>
      </c>
      <c r="D283" s="68" t="inlineStr">
        <is>
          <t>—</t>
        </is>
      </c>
      <c r="E283" s="68" t="inlineStr">
        <is>
          <t>D57 · s'il y a une personne clé</t>
        </is>
      </c>
    </row>
    <row r="284" ht="15" customHeight="1" s="53">
      <c r="A284" s="74" t="inlineStr">
        <is>
          <t>Condition</t>
        </is>
      </c>
      <c r="B284" s="65" t="inlineStr">
        <is>
          <t>RH-38.02</t>
        </is>
      </c>
      <c r="C284" s="68" t="inlineStr">
        <is>
          <t>Condition d'affichage</t>
        </is>
      </c>
      <c r="D284" s="68" t="inlineStr">
        <is>
          <t>—</t>
        </is>
      </c>
      <c r="E284" s="68" t="inlineStr">
        <is>
          <t>D57 · s'il y a une personne clé</t>
        </is>
      </c>
    </row>
    <row r="285" ht="15" customHeight="1" s="53">
      <c r="A285" s="74" t="inlineStr">
        <is>
          <t>Niveau</t>
        </is>
      </c>
      <c r="B285" s="65" t="inlineStr">
        <is>
          <t>ACQ-11.04</t>
        </is>
      </c>
      <c r="C285" s="68" t="inlineStr">
        <is>
          <t>Niveau</t>
        </is>
      </c>
      <c r="D285" s="68" t="inlineStr">
        <is>
          <t>essentiel</t>
        </is>
      </c>
      <c r="E285" s="68" t="inlineStr">
        <is>
          <t>approfondi</t>
        </is>
      </c>
    </row>
    <row r="286" ht="15" customHeight="1" s="53">
      <c r="A286" s="74" t="inlineStr">
        <is>
          <t>Niveau</t>
        </is>
      </c>
      <c r="B286" s="65" t="inlineStr">
        <is>
          <t>COM-35.02</t>
        </is>
      </c>
      <c r="C286" s="68" t="inlineStr">
        <is>
          <t>Niveau</t>
        </is>
      </c>
      <c r="D286" s="68" t="inlineStr">
        <is>
          <t>approfondi</t>
        </is>
      </c>
      <c r="E286" s="68" t="inlineStr">
        <is>
          <t>essentiel</t>
        </is>
      </c>
    </row>
    <row r="287" ht="15" customHeight="1" s="53">
      <c r="A287" s="74" t="inlineStr">
        <is>
          <t>Niveau</t>
        </is>
      </c>
      <c r="B287" s="65" t="inlineStr">
        <is>
          <t>FIN-06.03</t>
        </is>
      </c>
      <c r="C287" s="68" t="inlineStr">
        <is>
          <t>Niveau</t>
        </is>
      </c>
      <c r="D287" s="68" t="inlineStr">
        <is>
          <t>approfondi</t>
        </is>
      </c>
      <c r="E287" s="68" t="inlineStr">
        <is>
          <t>essentiel</t>
        </is>
      </c>
    </row>
    <row r="288" ht="15" customHeight="1" s="53">
      <c r="A288" s="74" t="inlineStr">
        <is>
          <t>Niveau</t>
        </is>
      </c>
      <c r="B288" s="65" t="inlineStr">
        <is>
          <t>FIN-08.03</t>
        </is>
      </c>
      <c r="C288" s="68" t="inlineStr">
        <is>
          <t>Niveau</t>
        </is>
      </c>
      <c r="D288" s="68" t="inlineStr">
        <is>
          <t>essentiel</t>
        </is>
      </c>
      <c r="E288" s="68" t="inlineStr">
        <is>
          <t>approfondi</t>
        </is>
      </c>
    </row>
    <row r="289" ht="15" customHeight="1" s="53">
      <c r="A289" s="74" t="inlineStr">
        <is>
          <t>Niveau</t>
        </is>
      </c>
      <c r="B289" s="65" t="inlineStr">
        <is>
          <t>FIN-09.01</t>
        </is>
      </c>
      <c r="C289" s="68" t="inlineStr">
        <is>
          <t>Niveau</t>
        </is>
      </c>
      <c r="D289" s="68" t="inlineStr">
        <is>
          <t>essentiel</t>
        </is>
      </c>
      <c r="E289" s="68" t="inlineStr">
        <is>
          <t>approfondi</t>
        </is>
      </c>
    </row>
    <row r="290" ht="15" customHeight="1" s="53">
      <c r="A290" s="74" t="inlineStr">
        <is>
          <t>Niveau</t>
        </is>
      </c>
      <c r="B290" s="65" t="inlineStr">
        <is>
          <t>FIN-10.02</t>
        </is>
      </c>
      <c r="C290" s="68" t="inlineStr">
        <is>
          <t>Niveau</t>
        </is>
      </c>
      <c r="D290" s="68" t="inlineStr">
        <is>
          <t>essentiel</t>
        </is>
      </c>
      <c r="E290" s="68" t="inlineStr">
        <is>
          <t>approfondi</t>
        </is>
      </c>
    </row>
    <row r="291" ht="15" customHeight="1" s="53">
      <c r="A291" s="74" t="inlineStr">
        <is>
          <t>Niveau</t>
        </is>
      </c>
      <c r="B291" s="65" t="inlineStr">
        <is>
          <t>FIN-10.03</t>
        </is>
      </c>
      <c r="C291" s="68" t="inlineStr">
        <is>
          <t>Niveau</t>
        </is>
      </c>
      <c r="D291" s="68" t="inlineStr">
        <is>
          <t>essentiel</t>
        </is>
      </c>
      <c r="E291" s="68" t="inlineStr">
        <is>
          <t>approfondi</t>
        </is>
      </c>
    </row>
    <row r="292" ht="15" customHeight="1" s="53">
      <c r="A292" s="74" t="inlineStr">
        <is>
          <t>Niveau</t>
        </is>
      </c>
      <c r="B292" s="65" t="inlineStr">
        <is>
          <t>FIN-16.02</t>
        </is>
      </c>
      <c r="C292" s="68" t="inlineStr">
        <is>
          <t>Niveau</t>
        </is>
      </c>
      <c r="D292" s="68" t="inlineStr">
        <is>
          <t>essentiel</t>
        </is>
      </c>
      <c r="E292" s="68" t="inlineStr">
        <is>
          <t>approfondi</t>
        </is>
      </c>
    </row>
    <row r="293" ht="15" customHeight="1" s="53">
      <c r="A293" s="74" t="inlineStr">
        <is>
          <t>Niveau</t>
        </is>
      </c>
      <c r="B293" s="65" t="inlineStr">
        <is>
          <t>FIN-16.03</t>
        </is>
      </c>
      <c r="C293" s="68" t="inlineStr">
        <is>
          <t>Niveau</t>
        </is>
      </c>
      <c r="D293" s="68" t="inlineStr">
        <is>
          <t>essentiel</t>
        </is>
      </c>
      <c r="E293" s="68" t="inlineStr">
        <is>
          <t>approfondi</t>
        </is>
      </c>
    </row>
    <row r="294" ht="15" customHeight="1" s="53">
      <c r="A294" s="74" t="inlineStr">
        <is>
          <t>Niveau</t>
        </is>
      </c>
      <c r="B294" s="65" t="inlineStr">
        <is>
          <t>FIN-18.02</t>
        </is>
      </c>
      <c r="C294" s="68" t="inlineStr">
        <is>
          <t>Niveau</t>
        </is>
      </c>
      <c r="D294" s="68" t="inlineStr">
        <is>
          <t>essentiel</t>
        </is>
      </c>
      <c r="E294" s="68" t="inlineStr">
        <is>
          <t>approfondi</t>
        </is>
      </c>
    </row>
    <row r="295" ht="15" customHeight="1" s="53">
      <c r="A295" s="74" t="inlineStr">
        <is>
          <t>Niveau</t>
        </is>
      </c>
      <c r="B295" s="65" t="inlineStr">
        <is>
          <t>FIN-18.03</t>
        </is>
      </c>
      <c r="C295" s="68" t="inlineStr">
        <is>
          <t>Niveau</t>
        </is>
      </c>
      <c r="D295" s="68" t="inlineStr">
        <is>
          <t>essentiel</t>
        </is>
      </c>
      <c r="E295" s="68" t="inlineStr">
        <is>
          <t>approfondi</t>
        </is>
      </c>
    </row>
    <row r="296" ht="15" customHeight="1" s="53">
      <c r="A296" s="74" t="inlineStr">
        <is>
          <t>Niveau</t>
        </is>
      </c>
      <c r="B296" s="65" t="inlineStr">
        <is>
          <t>FIN-24.04</t>
        </is>
      </c>
      <c r="C296" s="68" t="inlineStr">
        <is>
          <t>Niveau</t>
        </is>
      </c>
      <c r="D296" s="68" t="inlineStr">
        <is>
          <t>essentiel</t>
        </is>
      </c>
      <c r="E296" s="68" t="inlineStr">
        <is>
          <t>approfondi</t>
        </is>
      </c>
    </row>
    <row r="297" ht="15" customHeight="1" s="53">
      <c r="A297" s="74" t="inlineStr">
        <is>
          <t>Niveau</t>
        </is>
      </c>
      <c r="B297" s="65" t="inlineStr">
        <is>
          <t>FIN-34.03</t>
        </is>
      </c>
      <c r="C297" s="68" t="inlineStr">
        <is>
          <t>Niveau</t>
        </is>
      </c>
      <c r="D297" s="68" t="inlineStr">
        <is>
          <t>essentiel</t>
        </is>
      </c>
      <c r="E297" s="68" t="inlineStr">
        <is>
          <t>approfondi</t>
        </is>
      </c>
    </row>
    <row r="298" ht="15" customHeight="1" s="53">
      <c r="A298" s="74" t="inlineStr">
        <is>
          <t>Niveau</t>
        </is>
      </c>
      <c r="B298" s="65" t="inlineStr">
        <is>
          <t>FIN-41.02</t>
        </is>
      </c>
      <c r="C298" s="68" t="inlineStr">
        <is>
          <t>Niveau</t>
        </is>
      </c>
      <c r="D298" s="68" t="inlineStr">
        <is>
          <t>essentiel</t>
        </is>
      </c>
      <c r="E298" s="68" t="inlineStr">
        <is>
          <t>approfondi</t>
        </is>
      </c>
    </row>
    <row r="299" ht="15" customHeight="1" s="53">
      <c r="A299" s="74" t="inlineStr">
        <is>
          <t>Niveau</t>
        </is>
      </c>
      <c r="B299" s="65" t="inlineStr">
        <is>
          <t>RH-03.03</t>
        </is>
      </c>
      <c r="C299" s="68" t="inlineStr">
        <is>
          <t>Niveau</t>
        </is>
      </c>
      <c r="D299" s="68" t="inlineStr">
        <is>
          <t>essentiel</t>
        </is>
      </c>
      <c r="E299" s="68" t="inlineStr">
        <is>
          <t>approfondi</t>
        </is>
      </c>
    </row>
    <row r="300" ht="15" customHeight="1" s="53">
      <c r="A300" s="74" t="inlineStr">
        <is>
          <t>Niveau</t>
        </is>
      </c>
      <c r="B300" s="65" t="inlineStr">
        <is>
          <t>RH-03.04</t>
        </is>
      </c>
      <c r="C300" s="68" t="inlineStr">
        <is>
          <t>Niveau</t>
        </is>
      </c>
      <c r="D300" s="68" t="inlineStr">
        <is>
          <t>essentiel</t>
        </is>
      </c>
      <c r="E300" s="68" t="inlineStr">
        <is>
          <t>approfondi</t>
        </is>
      </c>
    </row>
    <row r="301" ht="15" customHeight="1" s="53">
      <c r="A301" s="74" t="inlineStr">
        <is>
          <t>Niveau</t>
        </is>
      </c>
      <c r="B301" s="65" t="inlineStr">
        <is>
          <t>RH-04.03</t>
        </is>
      </c>
      <c r="C301" s="68" t="inlineStr">
        <is>
          <t>Niveau</t>
        </is>
      </c>
      <c r="D301" s="68" t="inlineStr">
        <is>
          <t>essentiel</t>
        </is>
      </c>
      <c r="E301" s="68" t="inlineStr">
        <is>
          <t>approfondi</t>
        </is>
      </c>
    </row>
    <row r="302" ht="15" customHeight="1" s="53">
      <c r="A302" s="74" t="inlineStr">
        <is>
          <t>Niveau</t>
        </is>
      </c>
      <c r="B302" s="65" t="inlineStr">
        <is>
          <t>RH-08.05</t>
        </is>
      </c>
      <c r="C302" s="68" t="inlineStr">
        <is>
          <t>Niveau</t>
        </is>
      </c>
      <c r="D302" s="68" t="inlineStr">
        <is>
          <t>essentiel</t>
        </is>
      </c>
      <c r="E302" s="68" t="inlineStr">
        <is>
          <t>approfondi</t>
        </is>
      </c>
    </row>
    <row r="303" ht="15" customHeight="1" s="53">
      <c r="A303" s="74" t="inlineStr">
        <is>
          <t>Niveau</t>
        </is>
      </c>
      <c r="B303" s="65" t="inlineStr">
        <is>
          <t>RH-09.02</t>
        </is>
      </c>
      <c r="C303" s="68" t="inlineStr">
        <is>
          <t>Niveau</t>
        </is>
      </c>
      <c r="D303" s="68" t="inlineStr">
        <is>
          <t>essentiel</t>
        </is>
      </c>
      <c r="E303" s="68" t="inlineStr">
        <is>
          <t>approfondi</t>
        </is>
      </c>
    </row>
    <row r="304" ht="15" customHeight="1" s="53">
      <c r="A304" s="74" t="inlineStr">
        <is>
          <t>Niveau</t>
        </is>
      </c>
      <c r="B304" s="65" t="inlineStr">
        <is>
          <t>RH-09.03</t>
        </is>
      </c>
      <c r="C304" s="68" t="inlineStr">
        <is>
          <t>Niveau</t>
        </is>
      </c>
      <c r="D304" s="68" t="inlineStr">
        <is>
          <t>essentiel</t>
        </is>
      </c>
      <c r="E304" s="68" t="inlineStr">
        <is>
          <t>approfondi</t>
        </is>
      </c>
    </row>
    <row r="305" ht="15" customHeight="1" s="53">
      <c r="A305" s="74" t="inlineStr">
        <is>
          <t>Niveau</t>
        </is>
      </c>
      <c r="B305" s="65" t="inlineStr">
        <is>
          <t>RH-10.03</t>
        </is>
      </c>
      <c r="C305" s="68" t="inlineStr">
        <is>
          <t>Niveau</t>
        </is>
      </c>
      <c r="D305" s="68" t="inlineStr">
        <is>
          <t>essentiel</t>
        </is>
      </c>
      <c r="E305" s="68" t="inlineStr">
        <is>
          <t>approfondi</t>
        </is>
      </c>
    </row>
    <row r="306" ht="15" customHeight="1" s="53">
      <c r="A306" s="74" t="inlineStr">
        <is>
          <t>Niveau</t>
        </is>
      </c>
      <c r="B306" s="65" t="inlineStr">
        <is>
          <t>RH-16.02</t>
        </is>
      </c>
      <c r="C306" s="68" t="inlineStr">
        <is>
          <t>Niveau</t>
        </is>
      </c>
      <c r="D306" s="68" t="inlineStr">
        <is>
          <t>essentiel</t>
        </is>
      </c>
      <c r="E306" s="68" t="inlineStr">
        <is>
          <t>approfondi</t>
        </is>
      </c>
    </row>
    <row r="307" ht="15" customHeight="1" s="53">
      <c r="A307" s="74" t="inlineStr">
        <is>
          <t>Niveau</t>
        </is>
      </c>
      <c r="B307" s="65" t="inlineStr">
        <is>
          <t>RH-17.01</t>
        </is>
      </c>
      <c r="C307" s="68" t="inlineStr">
        <is>
          <t>Niveau</t>
        </is>
      </c>
      <c r="D307" s="68" t="inlineStr">
        <is>
          <t>essentiel</t>
        </is>
      </c>
      <c r="E307" s="68" t="inlineStr">
        <is>
          <t>approfondi</t>
        </is>
      </c>
    </row>
    <row r="308" ht="15" customHeight="1" s="53">
      <c r="A308" s="74" t="inlineStr">
        <is>
          <t>Profils ou tailles</t>
        </is>
      </c>
      <c r="B308" s="65" t="inlineStr">
        <is>
          <t>ACQ-10.01</t>
        </is>
      </c>
      <c r="C308" s="68" t="inlineStr">
        <is>
          <t>Profils ou tailles concernés</t>
        </is>
      </c>
      <c r="D308" s="68" t="inlineStr">
        <is>
          <t>chantier, b2b</t>
        </is>
      </c>
      <c r="E308" s="68" t="inlineStr">
        <is>
          <t>rdv, commerce, ecommerce, restaurant, chantier, b2b, abonnement</t>
        </is>
      </c>
    </row>
    <row r="309" ht="15" customHeight="1" s="53">
      <c r="A309" s="74" t="inlineStr">
        <is>
          <t>Profils ou tailles</t>
        </is>
      </c>
      <c r="B309" s="65" t="inlineStr">
        <is>
          <t>ACQ-10.03</t>
        </is>
      </c>
      <c r="C309" s="68" t="inlineStr">
        <is>
          <t>Profils ou tailles concernés</t>
        </is>
      </c>
      <c r="D309" s="68" t="inlineStr">
        <is>
          <t>chantier, b2b</t>
        </is>
      </c>
      <c r="E309" s="68" t="inlineStr">
        <is>
          <t>rdv, commerce, ecommerce, restaurant, chantier, b2b, abonnement</t>
        </is>
      </c>
    </row>
    <row r="310" ht="15" customHeight="1" s="53">
      <c r="A310" s="74" t="inlineStr">
        <is>
          <t>Profils ou tailles</t>
        </is>
      </c>
      <c r="B310" s="65" t="inlineStr">
        <is>
          <t>ACQ-10.05</t>
        </is>
      </c>
      <c r="C310" s="68" t="inlineStr">
        <is>
          <t>Profils ou tailles concernés</t>
        </is>
      </c>
      <c r="D310" s="68" t="inlineStr">
        <is>
          <t>chantier, b2b</t>
        </is>
      </c>
      <c r="E310" s="68" t="inlineStr">
        <is>
          <t>rdv, commerce, ecommerce, restaurant, chantier, b2b, abonnement</t>
        </is>
      </c>
    </row>
    <row r="311" ht="15" customHeight="1" s="53">
      <c r="A311" s="74" t="inlineStr">
        <is>
          <t>Profils ou tailles</t>
        </is>
      </c>
      <c r="B311" s="65" t="inlineStr">
        <is>
          <t>ACQ-10.06</t>
        </is>
      </c>
      <c r="C311" s="68" t="inlineStr">
        <is>
          <t>Profils ou tailles concernés</t>
        </is>
      </c>
      <c r="D311" s="68" t="inlineStr">
        <is>
          <t>chantier, b2b</t>
        </is>
      </c>
      <c r="E311" s="68" t="inlineStr">
        <is>
          <t>rdv, commerce, ecommerce, restaurant, chantier, b2b, abonnement</t>
        </is>
      </c>
    </row>
    <row r="312" ht="15" customHeight="1" s="53">
      <c r="A312" s="74" t="inlineStr">
        <is>
          <t>Profils ou tailles</t>
        </is>
      </c>
      <c r="B312" s="65" t="inlineStr">
        <is>
          <t>ACQ-10.07</t>
        </is>
      </c>
      <c r="C312" s="68" t="inlineStr">
        <is>
          <t>Profils ou tailles concernés</t>
        </is>
      </c>
      <c r="D312" s="68" t="inlineStr">
        <is>
          <t>chantier, b2b</t>
        </is>
      </c>
      <c r="E312" s="68" t="inlineStr">
        <is>
          <t>rdv, commerce, ecommerce, restaurant, chantier, b2b, abonnement</t>
        </is>
      </c>
    </row>
    <row r="313" ht="15" customHeight="1" s="53">
      <c r="A313" s="74" t="inlineStr">
        <is>
          <t>Profils ou tailles</t>
        </is>
      </c>
      <c r="B313" s="65" t="inlineStr">
        <is>
          <t>ACQ-10.08</t>
        </is>
      </c>
      <c r="C313" s="68" t="inlineStr">
        <is>
          <t>Profils ou tailles concernés</t>
        </is>
      </c>
      <c r="D313" s="68" t="inlineStr">
        <is>
          <t>chantier, b2b</t>
        </is>
      </c>
      <c r="E313" s="68" t="inlineStr">
        <is>
          <t>rdv, commerce, ecommerce, restaurant, chantier, b2b, abonnement</t>
        </is>
      </c>
    </row>
    <row r="314" ht="15" customHeight="1" s="53">
      <c r="A314" s="74" t="inlineStr">
        <is>
          <t>Profils ou tailles</t>
        </is>
      </c>
      <c r="B314" s="65" t="inlineStr">
        <is>
          <t>ACQ-10.09</t>
        </is>
      </c>
      <c r="C314" s="68" t="inlineStr">
        <is>
          <t>Profils ou tailles concernés</t>
        </is>
      </c>
      <c r="D314" s="68" t="inlineStr">
        <is>
          <t>chantier, b2b</t>
        </is>
      </c>
      <c r="E314" s="68" t="inlineStr">
        <is>
          <t>rdv, commerce, ecommerce, restaurant, chantier, b2b, abonnement</t>
        </is>
      </c>
    </row>
    <row r="315" ht="15" customHeight="1" s="53">
      <c r="A315" s="74" t="inlineStr">
        <is>
          <t>Profils ou tailles</t>
        </is>
      </c>
      <c r="B315" s="65" t="inlineStr">
        <is>
          <t>ACQ-10.10</t>
        </is>
      </c>
      <c r="C315" s="68" t="inlineStr">
        <is>
          <t>Profils ou tailles concernés</t>
        </is>
      </c>
      <c r="D315" s="68" t="inlineStr">
        <is>
          <t>chantier, b2b</t>
        </is>
      </c>
      <c r="E315" s="68" t="inlineStr">
        <is>
          <t>rdv, commerce, ecommerce, restaurant, chantier, b2b, abonnement</t>
        </is>
      </c>
    </row>
    <row r="316" ht="15" customHeight="1" s="53">
      <c r="A316" s="74" t="inlineStr">
        <is>
          <t>Profils ou tailles</t>
        </is>
      </c>
      <c r="B316" s="65" t="inlineStr">
        <is>
          <t>ACQ-10.11</t>
        </is>
      </c>
      <c r="C316" s="68" t="inlineStr">
        <is>
          <t>Profils ou tailles concernés</t>
        </is>
      </c>
      <c r="D316" s="68" t="inlineStr">
        <is>
          <t>chantier, b2b</t>
        </is>
      </c>
      <c r="E316" s="68" t="inlineStr">
        <is>
          <t>rdv, commerce, ecommerce, restaurant, chantier, b2b, abonnement</t>
        </is>
      </c>
    </row>
    <row r="317" ht="15" customHeight="1" s="53">
      <c r="A317" s="74" t="inlineStr">
        <is>
          <t>Profils ou tailles</t>
        </is>
      </c>
      <c r="B317" s="65" t="inlineStr">
        <is>
          <t>ACQ-12.01</t>
        </is>
      </c>
      <c r="C317" s="68" t="inlineStr">
        <is>
          <t>Profils ou tailles concernés</t>
        </is>
      </c>
      <c r="D317" s="68" t="inlineStr">
        <is>
          <t>chantier, b2b</t>
        </is>
      </c>
      <c r="E317" s="68" t="inlineStr">
        <is>
          <t>rdv, commerce, ecommerce, restaurant, chantier, b2b, abonnement</t>
        </is>
      </c>
    </row>
    <row r="318" ht="15" customHeight="1" s="53">
      <c r="A318" s="74" t="inlineStr">
        <is>
          <t>Profils ou tailles</t>
        </is>
      </c>
      <c r="B318" s="65" t="inlineStr">
        <is>
          <t>ACQ-12.02</t>
        </is>
      </c>
      <c r="C318" s="68" t="inlineStr">
        <is>
          <t>Profils ou tailles concernés</t>
        </is>
      </c>
      <c r="D318" s="68" t="inlineStr">
        <is>
          <t>chantier, b2b</t>
        </is>
      </c>
      <c r="E318" s="68" t="inlineStr">
        <is>
          <t>rdv, commerce, ecommerce, restaurant, chantier, b2b, abonnement</t>
        </is>
      </c>
    </row>
    <row r="319" ht="15" customHeight="1" s="53">
      <c r="A319" s="74" t="inlineStr">
        <is>
          <t>Profils ou tailles</t>
        </is>
      </c>
      <c r="B319" s="65" t="inlineStr">
        <is>
          <t>ACQ-12.03</t>
        </is>
      </c>
      <c r="C319" s="68" t="inlineStr">
        <is>
          <t>Profils ou tailles concernés</t>
        </is>
      </c>
      <c r="D319" s="68" t="inlineStr">
        <is>
          <t>b2b</t>
        </is>
      </c>
      <c r="E319" s="68" t="inlineStr">
        <is>
          <t>rdv, commerce, ecommerce, restaurant, chantier, b2b, abonnement</t>
        </is>
      </c>
    </row>
    <row r="320" ht="15" customHeight="1" s="53">
      <c r="A320" s="74" t="inlineStr">
        <is>
          <t>Profils ou tailles</t>
        </is>
      </c>
      <c r="B320" s="65" t="inlineStr">
        <is>
          <t>ACQ-12.04</t>
        </is>
      </c>
      <c r="C320" s="68" t="inlineStr">
        <is>
          <t>Profils ou tailles concernés</t>
        </is>
      </c>
      <c r="D320" s="68" t="inlineStr">
        <is>
          <t>b2b</t>
        </is>
      </c>
      <c r="E320" s="68" t="inlineStr">
        <is>
          <t>rdv, commerce, ecommerce, restaurant, chantier, b2b, abonnement</t>
        </is>
      </c>
    </row>
    <row r="321" ht="15" customHeight="1" s="53">
      <c r="A321" s="74" t="inlineStr">
        <is>
          <t>Profils ou tailles</t>
        </is>
      </c>
      <c r="B321" s="65" t="inlineStr">
        <is>
          <t>COM-44.04</t>
        </is>
      </c>
      <c r="C321" s="68" t="inlineStr">
        <is>
          <t>Profils ou tailles concernés</t>
        </is>
      </c>
      <c r="D321" s="68" t="inlineStr">
        <is>
          <t>ecommerce</t>
        </is>
      </c>
      <c r="E321" s="68" t="inlineStr">
        <is>
          <t>rdv, commerce, ecommerce, restaurant, chantier, b2b, abonnement</t>
        </is>
      </c>
    </row>
    <row r="322" ht="15" customHeight="1" s="53">
      <c r="A322" s="74" t="inlineStr">
        <is>
          <t>Profils ou tailles</t>
        </is>
      </c>
      <c r="B322" s="65" t="inlineStr">
        <is>
          <t>FIN-08.06</t>
        </is>
      </c>
      <c r="C322" s="68" t="inlineStr">
        <is>
          <t>Profils ou tailles concernés</t>
        </is>
      </c>
      <c r="D322" s="68" t="inlineStr">
        <is>
          <t>commerce, ecommerce, restaurant, chantier</t>
        </is>
      </c>
      <c r="E322" s="68" t="inlineStr">
        <is>
          <t>rdv, commerce, ecommerce, restaurant, chantier, b2b, abonnement</t>
        </is>
      </c>
    </row>
    <row r="323" ht="15" customHeight="1" s="53">
      <c r="A323" s="74" t="inlineStr">
        <is>
          <t>Profils ou tailles</t>
        </is>
      </c>
      <c r="B323" s="65" t="inlineStr">
        <is>
          <t>FIN-19.01</t>
        </is>
      </c>
      <c r="C323" s="68" t="inlineStr">
        <is>
          <t>Profils ou tailles concernés</t>
        </is>
      </c>
      <c r="D323" s="68" t="inlineStr">
        <is>
          <t>chantier, b2b</t>
        </is>
      </c>
      <c r="E323" s="68" t="inlineStr">
        <is>
          <t>rdv, commerce, ecommerce, restaurant, chantier, b2b, abonnement</t>
        </is>
      </c>
    </row>
    <row r="324" ht="15" customHeight="1" s="53">
      <c r="A324" s="74" t="inlineStr">
        <is>
          <t>Profils ou tailles</t>
        </is>
      </c>
      <c r="B324" s="65" t="inlineStr">
        <is>
          <t>FIN-19.02</t>
        </is>
      </c>
      <c r="C324" s="68" t="inlineStr">
        <is>
          <t>Profils ou tailles concernés</t>
        </is>
      </c>
      <c r="D324" s="68" t="inlineStr">
        <is>
          <t>chantier, b2b</t>
        </is>
      </c>
      <c r="E324" s="68" t="inlineStr">
        <is>
          <t>rdv, commerce, ecommerce, restaurant, chantier, b2b, abonnement</t>
        </is>
      </c>
    </row>
    <row r="325" ht="15" customHeight="1" s="53">
      <c r="A325" s="74" t="inlineStr">
        <is>
          <t>Profils ou tailles</t>
        </is>
      </c>
      <c r="B325" s="65" t="inlineStr">
        <is>
          <t>FIN-37.01</t>
        </is>
      </c>
      <c r="C325" s="68" t="inlineStr">
        <is>
          <t>Profils ou tailles concernés</t>
        </is>
      </c>
      <c r="D325" s="68" t="inlineStr">
        <is>
          <t>commerce, ecommerce, restaurant, chantier</t>
        </is>
      </c>
      <c r="E325" s="68" t="inlineStr">
        <is>
          <t>rdv, commerce, ecommerce, restaurant, chantier, b2b, abonnement</t>
        </is>
      </c>
    </row>
    <row r="326" ht="15" customHeight="1" s="53">
      <c r="A326" s="74" t="inlineStr">
        <is>
          <t>Profils ou tailles</t>
        </is>
      </c>
      <c r="B326" s="65" t="inlineStr">
        <is>
          <t>FIN-37.02</t>
        </is>
      </c>
      <c r="C326" s="68" t="inlineStr">
        <is>
          <t>Profils ou tailles concernés</t>
        </is>
      </c>
      <c r="D326" s="68" t="inlineStr">
        <is>
          <t>commerce, ecommerce, restaurant, chantier</t>
        </is>
      </c>
      <c r="E326" s="68" t="inlineStr">
        <is>
          <t>rdv, commerce, ecommerce, restaurant, chantier, b2b, abonnement</t>
        </is>
      </c>
    </row>
    <row r="327" ht="15" customHeight="1" s="53">
      <c r="A327" s="74" t="inlineStr">
        <is>
          <t>Profils ou tailles</t>
        </is>
      </c>
      <c r="B327" s="65" t="inlineStr">
        <is>
          <t>FIN-37.03</t>
        </is>
      </c>
      <c r="C327" s="68" t="inlineStr">
        <is>
          <t>Profils ou tailles concernés</t>
        </is>
      </c>
      <c r="D327" s="68" t="inlineStr">
        <is>
          <t>commerce, ecommerce, restaurant, chantier</t>
        </is>
      </c>
      <c r="E327" s="68" t="inlineStr">
        <is>
          <t>rdv, commerce, ecommerce, restaurant, chantier, b2b, abonnement</t>
        </is>
      </c>
    </row>
    <row r="328" ht="15" customHeight="1" s="53">
      <c r="A328" s="74" t="inlineStr">
        <is>
          <t>Profils ou tailles</t>
        </is>
      </c>
      <c r="B328" s="65" t="inlineStr">
        <is>
          <t>FIN-37.04</t>
        </is>
      </c>
      <c r="C328" s="68" t="inlineStr">
        <is>
          <t>Profils ou tailles concernés</t>
        </is>
      </c>
      <c r="D328" s="68" t="inlineStr">
        <is>
          <t>commerce, ecommerce, restaurant, chantier</t>
        </is>
      </c>
      <c r="E328" s="68" t="inlineStr">
        <is>
          <t>rdv, commerce, ecommerce, restaurant, chantier, b2b, abonnement</t>
        </is>
      </c>
    </row>
    <row r="329" ht="15" customHeight="1" s="53">
      <c r="A329" s="74" t="inlineStr">
        <is>
          <t>Profils ou tailles</t>
        </is>
      </c>
      <c r="B329" s="65" t="inlineStr">
        <is>
          <t>FIN-39.01</t>
        </is>
      </c>
      <c r="C329" s="68" t="inlineStr">
        <is>
          <t>Profils ou tailles concernés</t>
        </is>
      </c>
      <c r="D329" s="68" t="inlineStr">
        <is>
          <t>commerce, ecommerce, restaurant, chantier</t>
        </is>
      </c>
      <c r="E329" s="68" t="inlineStr">
        <is>
          <t>rdv, commerce, ecommerce, restaurant, chantier, b2b, abonnement</t>
        </is>
      </c>
    </row>
    <row r="330" ht="15" customHeight="1" s="53">
      <c r="A330" s="74" t="inlineStr">
        <is>
          <t>Profils ou tailles</t>
        </is>
      </c>
      <c r="B330" s="65" t="inlineStr">
        <is>
          <t>FIN-39.02</t>
        </is>
      </c>
      <c r="C330" s="68" t="inlineStr">
        <is>
          <t>Profils ou tailles concernés</t>
        </is>
      </c>
      <c r="D330" s="68" t="inlineStr">
        <is>
          <t>commerce, ecommerce, restaurant, chantier</t>
        </is>
      </c>
      <c r="E330" s="68" t="inlineStr">
        <is>
          <t>rdv, commerce, ecommerce, restaurant, chantier, b2b, abonnement</t>
        </is>
      </c>
    </row>
    <row r="331" ht="15" customHeight="1" s="53">
      <c r="A331" s="74" t="inlineStr">
        <is>
          <t>Profils ou tailles</t>
        </is>
      </c>
      <c r="B331" s="65" t="inlineStr">
        <is>
          <t>FIN-39.03</t>
        </is>
      </c>
      <c r="C331" s="68" t="inlineStr">
        <is>
          <t>Profils ou tailles concernés</t>
        </is>
      </c>
      <c r="D331" s="68" t="inlineStr">
        <is>
          <t>commerce, ecommerce, restaurant, chantier</t>
        </is>
      </c>
      <c r="E331" s="68" t="inlineStr">
        <is>
          <t>rdv, commerce, ecommerce, restaurant, chantier, b2b, abonnement</t>
        </is>
      </c>
    </row>
    <row r="332" ht="15" customHeight="1" s="53">
      <c r="A332" s="74" t="inlineStr">
        <is>
          <t>Profils ou tailles</t>
        </is>
      </c>
      <c r="B332" s="65" t="inlineStr">
        <is>
          <t>FIN-40.01</t>
        </is>
      </c>
      <c r="C332" s="68" t="inlineStr">
        <is>
          <t>Profils ou tailles concernés</t>
        </is>
      </c>
      <c r="D332" s="68" t="inlineStr">
        <is>
          <t>commerce, ecommerce, restaurant, chantier</t>
        </is>
      </c>
      <c r="E332" s="68" t="inlineStr">
        <is>
          <t>rdv, commerce, ecommerce, restaurant, chantier, b2b, abonnement</t>
        </is>
      </c>
    </row>
    <row r="333" ht="15" customHeight="1" s="53">
      <c r="A333" s="74" t="inlineStr">
        <is>
          <t>Profils ou tailles</t>
        </is>
      </c>
      <c r="B333" s="65" t="inlineStr">
        <is>
          <t>FIN-40.02</t>
        </is>
      </c>
      <c r="C333" s="68" t="inlineStr">
        <is>
          <t>Profils ou tailles concernés</t>
        </is>
      </c>
      <c r="D333" s="68" t="inlineStr">
        <is>
          <t>commerce, ecommerce, restaurant, chantier</t>
        </is>
      </c>
      <c r="E333" s="68" t="inlineStr">
        <is>
          <t>rdv, commerce, ecommerce, restaurant, chantier, b2b, abonnement</t>
        </is>
      </c>
    </row>
    <row r="334" ht="15" customHeight="1" s="53">
      <c r="A334" s="74" t="inlineStr">
        <is>
          <t>Profils ou tailles</t>
        </is>
      </c>
      <c r="B334" s="65" t="inlineStr">
        <is>
          <t>FIN-41.01</t>
        </is>
      </c>
      <c r="C334" s="68" t="inlineStr">
        <is>
          <t>Profils ou tailles concernés</t>
        </is>
      </c>
      <c r="D334" s="68" t="inlineStr">
        <is>
          <t>commerce, ecommerce, restaurant, chantier</t>
        </is>
      </c>
      <c r="E334" s="68" t="inlineStr">
        <is>
          <t>rdv, commerce, ecommerce, restaurant, chantier, b2b, abonnement</t>
        </is>
      </c>
    </row>
    <row r="335" ht="15" customHeight="1" s="53">
      <c r="A335" s="74" t="inlineStr">
        <is>
          <t>Profils ou tailles</t>
        </is>
      </c>
      <c r="B335" s="65" t="inlineStr">
        <is>
          <t>FIN-41.02</t>
        </is>
      </c>
      <c r="C335" s="68" t="inlineStr">
        <is>
          <t>Profils ou tailles concernés</t>
        </is>
      </c>
      <c r="D335" s="68" t="inlineStr">
        <is>
          <t>commerce, ecommerce, restaurant, chantier</t>
        </is>
      </c>
      <c r="E335" s="68" t="inlineStr">
        <is>
          <t>rdv, commerce, ecommerce, restaurant, chantier, b2b, abonnement</t>
        </is>
      </c>
    </row>
    <row r="336" ht="15" customHeight="1" s="53">
      <c r="A336" s="74" t="inlineStr">
        <is>
          <t>Profils ou tailles</t>
        </is>
      </c>
      <c r="B336" s="65" t="inlineStr">
        <is>
          <t>FIN-42.01</t>
        </is>
      </c>
      <c r="C336" s="68" t="inlineStr">
        <is>
          <t>Profils ou tailles concernés</t>
        </is>
      </c>
      <c r="D336" s="68" t="inlineStr">
        <is>
          <t>commerce, ecommerce, restaurant, chantier</t>
        </is>
      </c>
      <c r="E336" s="68" t="inlineStr">
        <is>
          <t>rdv, commerce, ecommerce, restaurant, chantier, b2b, abonnement</t>
        </is>
      </c>
    </row>
    <row r="337" ht="15" customHeight="1" s="53">
      <c r="A337" s="74" t="inlineStr">
        <is>
          <t>Profils ou tailles</t>
        </is>
      </c>
      <c r="B337" s="65" t="inlineStr">
        <is>
          <t>FIN-43.02</t>
        </is>
      </c>
      <c r="C337" s="68" t="inlineStr">
        <is>
          <t>Profils ou tailles concernés</t>
        </is>
      </c>
      <c r="D337" s="68" t="inlineStr">
        <is>
          <t>commerce, ecommerce, restaurant, chantier</t>
        </is>
      </c>
      <c r="E337" s="68" t="inlineStr">
        <is>
          <t>rdv, commerce, ecommerce, restaurant, chantier, b2b, abonnement</t>
        </is>
      </c>
    </row>
    <row r="338" ht="15" customHeight="1" s="53">
      <c r="A338" s="74" t="inlineStr">
        <is>
          <t>Profils ou tailles</t>
        </is>
      </c>
      <c r="B338" s="65" t="inlineStr">
        <is>
          <t>FIN-44.01</t>
        </is>
      </c>
      <c r="C338" s="68" t="inlineStr">
        <is>
          <t>Profils ou tailles concernés</t>
        </is>
      </c>
      <c r="D338" s="68" t="inlineStr">
        <is>
          <t>commerce, ecommerce, restaurant, chantier</t>
        </is>
      </c>
      <c r="E338" s="68" t="inlineStr">
        <is>
          <t>rdv, commerce, ecommerce, restaurant, chantier, b2b, abonnement</t>
        </is>
      </c>
    </row>
    <row r="339" ht="15" customHeight="1" s="53">
      <c r="A339" s="74" t="inlineStr">
        <is>
          <t>Profils ou tailles</t>
        </is>
      </c>
      <c r="B339" s="65" t="inlineStr">
        <is>
          <t>FIN-45.01</t>
        </is>
      </c>
      <c r="C339" s="68" t="inlineStr">
        <is>
          <t>Profils ou tailles concernés</t>
        </is>
      </c>
      <c r="D339" s="68" t="inlineStr">
        <is>
          <t>commerce, ecommerce, restaurant, chantier</t>
        </is>
      </c>
      <c r="E339" s="68" t="inlineStr">
        <is>
          <t>rdv, commerce, ecommerce, restaurant, chantier, b2b, abonnement</t>
        </is>
      </c>
    </row>
    <row r="340" ht="15" customHeight="1" s="53">
      <c r="A340" s="74" t="inlineStr">
        <is>
          <t>Profils ou tailles</t>
        </is>
      </c>
      <c r="B340" s="65" t="inlineStr">
        <is>
          <t>FIN-45.02</t>
        </is>
      </c>
      <c r="C340" s="68" t="inlineStr">
        <is>
          <t>Profils ou tailles concernés</t>
        </is>
      </c>
      <c r="D340" s="68" t="inlineStr">
        <is>
          <t>commerce, ecommerce, restaurant, chantier</t>
        </is>
      </c>
      <c r="E340" s="68" t="inlineStr">
        <is>
          <t>rdv, commerce, ecommerce, restaurant, chantier, b2b, abonnement</t>
        </is>
      </c>
    </row>
    <row r="341" ht="15" customHeight="1" s="53">
      <c r="A341" s="74" t="inlineStr">
        <is>
          <t>Profils ou tailles</t>
        </is>
      </c>
      <c r="B341" s="65" t="inlineStr">
        <is>
          <t>FIN-45.03</t>
        </is>
      </c>
      <c r="C341" s="68" t="inlineStr">
        <is>
          <t>Profils ou tailles concernés</t>
        </is>
      </c>
      <c r="D341" s="68" t="inlineStr">
        <is>
          <t>commerce, ecommerce, restaurant, chantier</t>
        </is>
      </c>
      <c r="E341" s="68" t="inlineStr">
        <is>
          <t>rdv, commerce, ecommerce, restaurant, chantier, b2b, abonnement</t>
        </is>
      </c>
    </row>
    <row r="342" ht="15" customHeight="1" s="53">
      <c r="A342" s="74" t="inlineStr">
        <is>
          <t>Profils ou tailles</t>
        </is>
      </c>
      <c r="B342" s="65" t="inlineStr">
        <is>
          <t>RH-37.01</t>
        </is>
      </c>
      <c r="C342" s="68" t="inlineStr">
        <is>
          <t>Profils ou tailles concernés</t>
        </is>
      </c>
      <c r="D342" s="68" t="inlineStr">
        <is>
          <t>seul, equipe_2_5, structure_6_plus</t>
        </is>
      </c>
      <c r="E342" s="68" t="inlineStr">
        <is>
          <t>equipe_2_5, structure_6_plus</t>
        </is>
      </c>
    </row>
    <row r="343" ht="15" customHeight="1" s="53">
      <c r="A343" s="74" t="inlineStr">
        <is>
          <t>Profils ou tailles</t>
        </is>
      </c>
      <c r="B343" s="65" t="inlineStr">
        <is>
          <t>RH-37.02</t>
        </is>
      </c>
      <c r="C343" s="68" t="inlineStr">
        <is>
          <t>Profils ou tailles concernés</t>
        </is>
      </c>
      <c r="D343" s="68" t="inlineStr">
        <is>
          <t>seul, equipe_2_5, structure_6_plus</t>
        </is>
      </c>
      <c r="E343" s="68" t="inlineStr">
        <is>
          <t>equipe_2_5, structure_6_plus</t>
        </is>
      </c>
    </row>
    <row r="344" ht="15" customHeight="1" s="53">
      <c r="A344" s="74" t="inlineStr">
        <is>
          <t>Profils ou tailles</t>
        </is>
      </c>
      <c r="B344" s="65" t="inlineStr">
        <is>
          <t>RH-38.01</t>
        </is>
      </c>
      <c r="C344" s="68" t="inlineStr">
        <is>
          <t>Profils ou tailles concernés</t>
        </is>
      </c>
      <c r="D344" s="68" t="inlineStr">
        <is>
          <t>seul, equipe_2_5, structure_6_plus</t>
        </is>
      </c>
      <c r="E344" s="68" t="inlineStr">
        <is>
          <t>equipe_2_5, structure_6_plus</t>
        </is>
      </c>
    </row>
    <row r="345" ht="15" customHeight="1" s="53">
      <c r="A345" s="74" t="inlineStr">
        <is>
          <t>Profils ou tailles</t>
        </is>
      </c>
      <c r="B345" s="65" t="inlineStr">
        <is>
          <t>RH-38.02</t>
        </is>
      </c>
      <c r="C345" s="68" t="inlineStr">
        <is>
          <t>Profils ou tailles concernés</t>
        </is>
      </c>
      <c r="D345" s="68" t="inlineStr">
        <is>
          <t>seul, equipe_2_5, structure_6_plus</t>
        </is>
      </c>
      <c r="E345" s="68" t="inlineStr">
        <is>
          <t>equipe_2_5, structure_6_plus</t>
        </is>
      </c>
    </row>
    <row r="346" ht="15" customHeight="1" s="53">
      <c r="A346" s="74" t="inlineStr">
        <is>
          <t>Format aligné</t>
        </is>
      </c>
      <c r="B346" s="65" t="inlineStr">
        <is>
          <t>ACQ-09.02</t>
        </is>
      </c>
      <c r="C346" s="68" t="inlineStr">
        <is>
          <t>Format de réponse (la banque l'emporte)</t>
        </is>
      </c>
      <c r="D346" s="68" t="inlineStr">
        <is>
          <t>Nombre</t>
        </is>
      </c>
      <c r="E346" s="68" t="inlineStr">
        <is>
          <t>Plusieurs champs : Annulés en vous prévenant · Absents sans prévenir</t>
        </is>
      </c>
    </row>
    <row r="347" ht="15" customHeight="1" s="53">
      <c r="A347" s="74" t="inlineStr">
        <is>
          <t>Format aligné</t>
        </is>
      </c>
      <c r="B347" s="65" t="inlineStr">
        <is>
          <t>ACQ-10.01</t>
        </is>
      </c>
      <c r="C347" s="68" t="inlineStr">
        <is>
          <t>Format de réponse (la banque l'emporte)</t>
        </is>
      </c>
      <c r="D347" s="68" t="inlineStr">
        <is>
          <t>Nombre</t>
        </is>
      </c>
      <c r="E347" s="68" t="inlineStr">
        <is>
          <t>Plusieurs champs : Nombre par mois · Montant total par mois</t>
        </is>
      </c>
    </row>
    <row r="348" ht="15" customHeight="1" s="53">
      <c r="A348" s="74" t="inlineStr">
        <is>
          <t>Format aligné</t>
        </is>
      </c>
      <c r="B348" s="65" t="inlineStr">
        <is>
          <t>ACQ-10.03</t>
        </is>
      </c>
      <c r="C348" s="68" t="inlineStr">
        <is>
          <t>Format de réponse (la banque l'emporte)</t>
        </is>
      </c>
      <c r="D348" s="68" t="inlineStr">
        <is>
          <t>Nombre</t>
        </is>
      </c>
      <c r="E348" s="68" t="inlineStr">
        <is>
          <t>Plusieurs champs : Nombre par mois · Montant total par mois</t>
        </is>
      </c>
    </row>
    <row r="349" ht="15" customHeight="1" s="53">
      <c r="A349" s="74" t="inlineStr">
        <is>
          <t>Format aligné</t>
        </is>
      </c>
      <c r="B349" s="65" t="inlineStr">
        <is>
          <t>ACQ-13.03</t>
        </is>
      </c>
      <c r="C349" s="68" t="inlineStr">
        <is>
          <t>Format de réponse (la banque l'emporte)</t>
        </is>
      </c>
      <c r="D349" s="68" t="inlineStr">
        <is>
          <t>€ par heure</t>
        </is>
      </c>
      <c r="E349" s="68" t="inlineStr">
        <is>
          <t>Plusieurs champs : Tarif · Par</t>
        </is>
      </c>
    </row>
    <row r="350" ht="15" customHeight="1" s="53">
      <c r="A350" s="74" t="inlineStr">
        <is>
          <t>Format aligné</t>
        </is>
      </c>
      <c r="B350" s="65" t="inlineStr">
        <is>
          <t>ACQ-13.04</t>
        </is>
      </c>
      <c r="C350" s="68" t="inlineStr">
        <is>
          <t>Format de réponse (la banque l'emporte)</t>
        </is>
      </c>
      <c r="D350" s="68" t="inlineStr">
        <is>
          <t>Mois et année</t>
        </is>
      </c>
      <c r="E350" s="68" t="inlineStr">
        <is>
          <t>Plusieurs champs : Date de la hausse · Hausse</t>
        </is>
      </c>
    </row>
    <row r="351" ht="15" customHeight="1" s="53">
      <c r="A351" s="74" t="inlineStr">
        <is>
          <t>Format aligné</t>
        </is>
      </c>
      <c r="B351" s="65" t="inlineStr">
        <is>
          <t>ACQ-17.10</t>
        </is>
      </c>
      <c r="C351" s="68" t="inlineStr">
        <is>
          <t>Format de réponse (la banque l'emporte)</t>
        </is>
      </c>
      <c r="D351" s="68" t="inlineStr">
        <is>
          <t>Nombre</t>
        </is>
      </c>
      <c r="E351" s="68" t="inlineStr">
        <is>
          <t>Plusieurs champs : Clients sous contrat ou abonnés · Total payé par mois</t>
        </is>
      </c>
    </row>
    <row r="352" ht="35.05" customHeight="1" s="53">
      <c r="A352" s="74" t="inlineStr">
        <is>
          <t>Format aligné</t>
        </is>
      </c>
      <c r="B352" s="65" t="inlineStr">
        <is>
          <t>ACQ-21.01</t>
        </is>
      </c>
      <c r="C352" s="68" t="inlineStr">
        <is>
          <t>Format de réponse (la banque l'emporte)</t>
        </is>
      </c>
      <c r="D352" s="68" t="inlineStr">
        <is>
          <t>Nombre</t>
        </is>
      </c>
      <c r="E352" s="68" t="inlineStr">
        <is>
          <t>Tableau : Personnes · Dont à temps partiel (lignes fixe: Le travail pour les clients / Trouver et suivre les clients / Administratif et gestion / Encadrement de l'équipe)</t>
        </is>
      </c>
    </row>
    <row r="353" ht="15" customHeight="1" s="53">
      <c r="A353" s="74" t="inlineStr">
        <is>
          <t>Format aligné</t>
        </is>
      </c>
      <c r="B353" s="65" t="inlineStr">
        <is>
          <t>ACQ-21.04</t>
        </is>
      </c>
      <c r="C353" s="68" t="inlineStr">
        <is>
          <t>Format de réponse (la banque l'emporte)</t>
        </is>
      </c>
      <c r="D353" s="68" t="inlineStr">
        <is>
          <t>Heures</t>
        </is>
      </c>
      <c r="E353" s="68" t="inlineStr">
        <is>
          <t>Plusieurs champs : Heures travaillées · Heures facturées</t>
        </is>
      </c>
    </row>
    <row r="354" ht="23.85" customHeight="1" s="53">
      <c r="A354" s="74" t="inlineStr">
        <is>
          <t>Format aligné</t>
        </is>
      </c>
      <c r="B354" s="65" t="inlineStr">
        <is>
          <t>COM-23.02</t>
        </is>
      </c>
      <c r="C354" s="68" t="inlineStr">
        <is>
          <t>Format de réponse (la banque l'emporte)</t>
        </is>
      </c>
      <c r="D354" s="68" t="inlineStr">
        <is>
          <t>Tranches : moins d'1 h · moins de 24 h · plus d'un jour · jamais · je ne sais pas</t>
        </is>
      </c>
      <c r="E354" s="68" t="inlineStr">
        <is>
          <t>Tableau : Part des messages (lignes fixe: En moins d'1 heure / D'1 heure à 24 heures / Après plus d'un jour / Jamais)</t>
        </is>
      </c>
    </row>
    <row r="355" ht="23.85" customHeight="1" s="53">
      <c r="A355" s="74" t="inlineStr">
        <is>
          <t>Format aligné</t>
        </is>
      </c>
      <c r="B355" s="65" t="inlineStr">
        <is>
          <t>COM-32.01</t>
        </is>
      </c>
      <c r="C355" s="68" t="inlineStr">
        <is>
          <t>Format de réponse (la banque l'emporte)</t>
        </is>
      </c>
      <c r="D355" s="68" t="inlineStr">
        <is>
          <t>€</t>
        </is>
      </c>
      <c r="E355" s="68" t="inlineStr">
        <is>
          <t>Plusieurs champs : Création de contenu : photographe, vidéaste, graphiste · Agence ou prestataire marketing · Outils marketing</t>
        </is>
      </c>
    </row>
    <row r="356" ht="15" customHeight="1" s="53">
      <c r="A356" s="74" t="inlineStr">
        <is>
          <t>Format aligné</t>
        </is>
      </c>
      <c r="B356" s="65" t="inlineStr">
        <is>
          <t>FIN-07.04</t>
        </is>
      </c>
      <c r="C356" s="68" t="inlineStr">
        <is>
          <t>Format de réponse (la banque l'emporte)</t>
        </is>
      </c>
      <c r="D356" s="68" t="inlineStr">
        <is>
          <t>€</t>
        </is>
      </c>
      <c r="E356" s="68" t="inlineStr">
        <is>
          <t>Plusieurs champs : Tarif · Par</t>
        </is>
      </c>
    </row>
    <row r="357" ht="15" customHeight="1" s="53">
      <c r="A357" s="74" t="inlineStr">
        <is>
          <t>Format aligné</t>
        </is>
      </c>
      <c r="B357" s="65" t="inlineStr">
        <is>
          <t>RH-04.01</t>
        </is>
      </c>
      <c r="C357" s="68" t="inlineStr">
        <is>
          <t>Format de réponse (la banque l'emporte)</t>
        </is>
      </c>
      <c r="D357" s="68" t="inlineStr">
        <is>
          <t>Tranches : 0 · 1-5 · 6-15 · plus de 15 · je ne sais pas</t>
        </is>
      </c>
      <c r="E357" s="68" t="inlineStr">
        <is>
          <t>Nombre</t>
        </is>
      </c>
    </row>
    <row r="358" ht="15" customHeight="1" s="53">
      <c r="A358" s="74" t="inlineStr">
        <is>
          <t>Format aligné</t>
        </is>
      </c>
      <c r="B358" s="65" t="inlineStr">
        <is>
          <t>RH-05.01</t>
        </is>
      </c>
      <c r="C358" s="68" t="inlineStr">
        <is>
          <t>Format de réponse (la banque l'emporte)</t>
        </is>
      </c>
      <c r="D358" s="68" t="inlineStr">
        <is>
          <t>Heures</t>
        </is>
      </c>
      <c r="E358" s="68" t="inlineStr">
        <is>
          <t>Plusieurs champs : Jours · Heures</t>
        </is>
      </c>
    </row>
    <row r="359" ht="15" customHeight="1" s="53">
      <c r="A359" s="74" t="inlineStr">
        <is>
          <t>Format aligné</t>
        </is>
      </c>
      <c r="B359" s="65" t="inlineStr">
        <is>
          <t>RH-05.04</t>
        </is>
      </c>
      <c r="C359" s="68" t="inlineStr">
        <is>
          <t>Format de réponse (la banque l'emporte)</t>
        </is>
      </c>
      <c r="D359" s="68" t="inlineStr">
        <is>
          <t>Nombre</t>
        </is>
      </c>
      <c r="E359" s="68" t="inlineStr">
        <is>
          <t>Plusieurs champs : Soirs · Jours de week-end</t>
        </is>
      </c>
    </row>
    <row r="360" ht="35.05" customHeight="1" s="53">
      <c r="A360" s="74" t="inlineStr">
        <is>
          <t>Libellé aligné</t>
        </is>
      </c>
      <c r="B360" s="65" t="inlineStr">
        <is>
          <t>ACQ-01.01</t>
        </is>
      </c>
      <c r="C360" s="68" t="inlineStr">
        <is>
          <t>Libellé (« Donnée »)</t>
        </is>
      </c>
      <c r="D360" s="68" t="inlineStr">
        <is>
          <t>Types de clients (ex. particuliers, professionnels, collectivités), jusqu'à 4</t>
        </is>
      </c>
      <c r="E360" s="68" t="inlineStr">
        <is>
          <t>Types de clients (ex. particuliers, professionnels, collectivités), jusqu'à 4 — partagée avec Comm (COM-02.01, COM-09.03) : posée par le premier agent qui en a besoin</t>
        </is>
      </c>
    </row>
    <row r="361" ht="46.25" customHeight="1" s="53">
      <c r="A361" s="74" t="inlineStr">
        <is>
          <t>Libellé aligné</t>
        </is>
      </c>
      <c r="B361" s="65" t="inlineStr">
        <is>
          <t>ACQ-03.01</t>
        </is>
      </c>
      <c r="C361" s="68" t="inlineStr">
        <is>
          <t>Libellé (« Donnée »)</t>
        </is>
      </c>
      <c r="D361" s="68" t="inlineStr">
        <is>
          <t>Canaux qui amènent des clients : bouche-à-oreille, fiche Google, site, réseaux sociaux, publicité, plateformes, partenaires, prospection, passage, salons</t>
        </is>
      </c>
      <c r="E361" s="68" t="inlineStr">
        <is>
          <t>Canaux qui amènent des clients : bouche-à-oreille, fiche Google, site, réseaux sociaux, publicité, plateformes, partenaires, prospection, passage, salons — partagée avec Comm (COM-12.01) : posée par le premier agent qui en a besoin</t>
        </is>
      </c>
    </row>
    <row r="362" ht="23.85" customHeight="1" s="53">
      <c r="A362" s="74" t="inlineStr">
        <is>
          <t>Libellé aligné</t>
        </is>
      </c>
      <c r="B362" s="65" t="inlineStr">
        <is>
          <t>ACQ-03.02</t>
        </is>
      </c>
      <c r="C362" s="68" t="inlineStr">
        <is>
          <t>Libellé (« Donnée »)</t>
        </is>
      </c>
      <c r="D362" s="68" t="inlineStr">
        <is>
          <t>Demandes par mois, par canal</t>
        </is>
      </c>
      <c r="E362" s="68" t="inlineStr">
        <is>
          <t>Part des demandes par canal (le nombre par canal est calculé : ACQ-02.01 × part)</t>
        </is>
      </c>
    </row>
    <row r="363" ht="23.85" customHeight="1" s="53">
      <c r="A363" s="74" t="inlineStr">
        <is>
          <t>Libellé aligné</t>
        </is>
      </c>
      <c r="B363" s="65" t="inlineStr">
        <is>
          <t>ACQ-03.03</t>
        </is>
      </c>
      <c r="C363" s="68" t="inlineStr">
        <is>
          <t>Libellé (« Donnée »)</t>
        </is>
      </c>
      <c r="D363" s="68" t="inlineStr">
        <is>
          <t>Nouveaux clients par mois, par canal</t>
        </is>
      </c>
      <c r="E363" s="68" t="inlineStr">
        <is>
          <t>Part des nouveaux clients par canal (le nombre par canal est calculé avec le total ACQ-11.01 quand il est posé)</t>
        </is>
      </c>
    </row>
    <row r="364" ht="23.85" customHeight="1" s="53">
      <c r="A364" s="74" t="inlineStr">
        <is>
          <t>Libellé aligné</t>
        </is>
      </c>
      <c r="B364" s="65" t="inlineStr">
        <is>
          <t>ACQ-06.01</t>
        </is>
      </c>
      <c r="C364" s="68" t="inlineStr">
        <is>
          <t>Libellé (« Donnée »)</t>
        </is>
      </c>
      <c r="D364" s="68" t="inlineStr">
        <is>
          <t>Nombre d'avis Google</t>
        </is>
      </c>
      <c r="E364" s="68" t="inlineStr">
        <is>
          <t>Avis Google : nombre, note, avis des 6 derniers mois (regroupe ACQ-06.01, 06.02 et 06.03) — partagée avec COM-44.01</t>
        </is>
      </c>
    </row>
    <row r="365" ht="46.25" customHeight="1" s="53">
      <c r="A365" s="74" t="inlineStr">
        <is>
          <t>Libellé aligné</t>
        </is>
      </c>
      <c r="B365" s="65" t="inlineStr">
        <is>
          <t>ACQ-06.04</t>
        </is>
      </c>
      <c r="C365" s="68" t="inlineStr">
        <is>
          <t>Libellé (« Donnée »)</t>
        </is>
      </c>
      <c r="D365" s="68" t="inlineStr">
        <is>
          <t>Actions depuis la fiche par mois : appels, itinéraires, clics vers le site</t>
        </is>
      </c>
      <c r="E365" s="68" t="inlineStr">
        <is>
          <t>Vues de la fiche Google et actions (appels, itinéraires, clics vers le site), en totaux sur 3 mois : le moteur divise par 3 pour avoir le mois. Le passage des vues aux actions est la conversion de la fiche. Regroupe ACQ-06.04 et 06.05 — partagée avec COM-14.02</t>
        </is>
      </c>
    </row>
    <row r="366" ht="35.05" customHeight="1" s="53">
      <c r="A366" s="74" t="inlineStr">
        <is>
          <t>Libellé aligné</t>
        </is>
      </c>
      <c r="B366" s="65" t="inlineStr">
        <is>
          <t>ACQ-06.06</t>
        </is>
      </c>
      <c r="C366" s="68" t="inlineStr">
        <is>
          <t>Libellé (« Donnée »)</t>
        </is>
      </c>
      <c r="D366" s="68" t="inlineStr">
        <is>
          <t>Nombre d'avis et note des 2 concurrents les plus proches</t>
        </is>
      </c>
      <c r="E366" s="68" t="inlineStr">
        <is>
          <t>Avis et note des 2 concurrents qui apparaissent en premier sur « métier + ville » : repère local pour l'objectif d'avis (plus parlant qu'une moyenne nationale)</t>
        </is>
      </c>
    </row>
    <row r="367" ht="15" customHeight="1" s="53">
      <c r="A367" s="74" t="inlineStr">
        <is>
          <t>Libellé aligné</t>
        </is>
      </c>
      <c r="B367" s="65" t="inlineStr">
        <is>
          <t>ACQ-06.07</t>
        </is>
      </c>
      <c r="C367" s="68" t="inlineStr">
        <is>
          <t>Libellé (« Donnée »)</t>
        </is>
      </c>
      <c r="D367" s="68" t="inlineStr">
        <is>
          <t>Visites du site par mois</t>
        </is>
      </c>
      <c r="E367" s="68" t="inlineStr">
        <is>
          <t>Visites du site par mois — partagée avec COM-13.01</t>
        </is>
      </c>
    </row>
    <row r="368" ht="35.05" customHeight="1" s="53">
      <c r="A368" s="74" t="inlineStr">
        <is>
          <t>Libellé aligné</t>
        </is>
      </c>
      <c r="B368" s="65" t="inlineStr">
        <is>
          <t>ACQ-07.05</t>
        </is>
      </c>
      <c r="C368" s="68" t="inlineStr">
        <is>
          <t>Libellé (« Donnée »)</t>
        </is>
      </c>
      <c r="D368" s="68" t="inlineStr">
        <is>
          <t>Budget marketing total il y a 12 mois, même périmètre qu'aujourd'hui : publicité, agence, contenu, outils (hors commissions)</t>
        </is>
      </c>
      <c r="E368" s="68" t="inlineStr">
        <is>
          <t>Budget marketing total il y a 12 mois, même périmètre qu'aujourd'hui : publicité, agence, contenu, outils (hors commissions) — partagée avec Comm (COM-32.07) : posée par le premier agent qui en a besoin</t>
        </is>
      </c>
    </row>
    <row r="369" ht="15" customHeight="1" s="53">
      <c r="A369" s="74" t="inlineStr">
        <is>
          <t>Libellé aligné</t>
        </is>
      </c>
      <c r="B369" s="65" t="inlineStr">
        <is>
          <t>ACQ-08.02</t>
        </is>
      </c>
      <c r="C369" s="68" t="inlineStr">
        <is>
          <t>Libellé (« Donnée »)</t>
        </is>
      </c>
      <c r="D369" s="68" t="inlineStr">
        <is>
          <t>Appels manqués par semaine</t>
        </is>
      </c>
      <c r="E369" s="68" t="inlineStr">
        <is>
          <t>Appels manqués par semaine — déclencheur D37</t>
        </is>
      </c>
    </row>
    <row r="370" ht="23.85" customHeight="1" s="53">
      <c r="A370" s="74" t="inlineStr">
        <is>
          <t>Libellé aligné</t>
        </is>
      </c>
      <c r="B370" s="65" t="inlineStr">
        <is>
          <t>ACQ-09.02</t>
        </is>
      </c>
      <c r="C370" s="68" t="inlineStr">
        <is>
          <t>Libellé (« Donnée »)</t>
        </is>
      </c>
      <c r="D370" s="68" t="inlineStr">
        <is>
          <t>Annulations prévenues par mois</t>
        </is>
      </c>
      <c r="E370" s="68" t="inlineStr">
        <is>
          <t>Rendez-vous annulés avec prévenance et absences sans prévenir, par mois (regroupe les anciennes ACQ-09.02 et ACQ-09.03)</t>
        </is>
      </c>
    </row>
    <row r="371" ht="23.85" customHeight="1" s="53">
      <c r="A371" s="74" t="inlineStr">
        <is>
          <t>Libellé aligné</t>
        </is>
      </c>
      <c r="B371" s="65" t="inlineStr">
        <is>
          <t>ACQ-10.01</t>
        </is>
      </c>
      <c r="C371" s="68" t="inlineStr">
        <is>
          <t>Libellé (« Donnée »)</t>
        </is>
      </c>
      <c r="D371" s="68" t="inlineStr">
        <is>
          <t>Devis envoyés par mois</t>
        </is>
      </c>
      <c r="E371" s="68" t="inlineStr">
        <is>
          <t>Devis envoyés par mois : nombre et montant total (regroupe les anciennes ACQ-10.01 et ACQ-10.02)</t>
        </is>
      </c>
    </row>
    <row r="372" ht="23.85" customHeight="1" s="53">
      <c r="A372" s="74" t="inlineStr">
        <is>
          <t>Libellé aligné</t>
        </is>
      </c>
      <c r="B372" s="65" t="inlineStr">
        <is>
          <t>ACQ-10.03</t>
        </is>
      </c>
      <c r="C372" s="68" t="inlineStr">
        <is>
          <t>Libellé (« Donnée »)</t>
        </is>
      </c>
      <c r="D372" s="68" t="inlineStr">
        <is>
          <t>Devis acceptés par mois</t>
        </is>
      </c>
      <c r="E372" s="68" t="inlineStr">
        <is>
          <t>Devis acceptés par mois : nombre et montant total (regroupe les anciennes ACQ-10.03 et ACQ-10.04)</t>
        </is>
      </c>
    </row>
    <row r="373" ht="15" customHeight="1" s="53">
      <c r="A373" s="74" t="inlineStr">
        <is>
          <t>Libellé aligné</t>
        </is>
      </c>
      <c r="B373" s="65" t="inlineStr">
        <is>
          <t>ACQ-10.06</t>
        </is>
      </c>
      <c r="C373" s="68" t="inlineStr">
        <is>
          <t>Libellé (« Donnée »)</t>
        </is>
      </c>
      <c r="D373" s="68" t="inlineStr">
        <is>
          <t>Part des devis sans réponse que vous relancez</t>
        </is>
      </c>
      <c r="E373" s="68" t="inlineStr">
        <is>
          <t>Part des devis sans réponse que vous relancez — déclencheur D36</t>
        </is>
      </c>
    </row>
    <row r="374" ht="23.85" customHeight="1" s="53">
      <c r="A374" s="74" t="inlineStr">
        <is>
          <t>Libellé aligné</t>
        </is>
      </c>
      <c r="B374" s="65" t="inlineStr">
        <is>
          <t>ACQ-11.07</t>
        </is>
      </c>
      <c r="C374" s="68" t="inlineStr">
        <is>
          <t>Libellé (« Donnée »)</t>
        </is>
      </c>
      <c r="D374" s="68" t="inlineStr">
        <is>
          <t>Couverts par mois, midi et soir</t>
        </is>
      </c>
      <c r="E374" s="68" t="inlineStr">
        <is>
          <t>Couverts moyens par service, midi et soir (couverts par mois calculés : × services par semaine × 4,33)</t>
        </is>
      </c>
    </row>
    <row r="375" ht="23.85" customHeight="1" s="53">
      <c r="A375" s="74" t="inlineStr">
        <is>
          <t>Libellé aligné</t>
        </is>
      </c>
      <c r="B375" s="65" t="inlineStr">
        <is>
          <t>ACQ-12.03</t>
        </is>
      </c>
      <c r="C375" s="68" t="inlineStr">
        <is>
          <t>Libellé (« Donnée »)</t>
        </is>
      </c>
      <c r="D375" s="68" t="inlineStr">
        <is>
          <t>Affaires en cours aujourd'hui : nombre et montant total</t>
        </is>
      </c>
      <c r="E375" s="68" t="inlineStr">
        <is>
          <t>Affaires en discussion pas encore chiffrées : nombre et montant estimé (les devis en attente sont en ACQ-10.08)</t>
        </is>
      </c>
    </row>
    <row r="376" ht="23.85" customHeight="1" s="53">
      <c r="A376" s="74" t="inlineStr">
        <is>
          <t>Libellé aligné</t>
        </is>
      </c>
      <c r="B376" s="65" t="inlineStr">
        <is>
          <t>ACQ-13.04</t>
        </is>
      </c>
      <c r="C376" s="68" t="inlineStr">
        <is>
          <t>Libellé (« Donnée »)</t>
        </is>
      </c>
      <c r="D376" s="68" t="inlineStr">
        <is>
          <t>Date de votre dernière hausse de prix</t>
        </is>
      </c>
      <c r="E376" s="68" t="inlineStr">
        <is>
          <t>Date et montant de la dernière hausse de prix — partagée avec FIN-04.01 : posée une seule fois</t>
        </is>
      </c>
    </row>
    <row r="377" ht="15" customHeight="1" s="53">
      <c r="A377" s="74" t="inlineStr">
        <is>
          <t>Libellé aligné</t>
        </is>
      </c>
      <c r="B377" s="65" t="inlineStr">
        <is>
          <t>ACQ-14.01</t>
        </is>
      </c>
      <c r="C377" s="68" t="inlineStr">
        <is>
          <t>Libellé (« Donnée »)</t>
        </is>
      </c>
      <c r="D377" s="68" t="inlineStr">
        <is>
          <t>Part des ventes avec remise ou geste commercial</t>
        </is>
      </c>
      <c r="E377" s="68" t="inlineStr">
        <is>
          <t>Part des ventes avec remise ou geste commercial — déclencheur D35</t>
        </is>
      </c>
    </row>
    <row r="378" ht="15" customHeight="1" s="53">
      <c r="A378" s="74" t="inlineStr">
        <is>
          <t>Libellé aligné</t>
        </is>
      </c>
      <c r="B378" s="65" t="inlineStr">
        <is>
          <t>ACQ-15.01</t>
        </is>
      </c>
      <c r="C378" s="68" t="inlineStr">
        <is>
          <t>Libellé (« Donnée »)</t>
        </is>
      </c>
      <c r="D378" s="68" t="inlineStr">
        <is>
          <t>Vente complémentaire proposée à chaque client</t>
        </is>
      </c>
      <c r="E378" s="68" t="inlineStr">
        <is>
          <t>Vente complémentaire proposée à chaque client — déclencheur D32</t>
        </is>
      </c>
    </row>
    <row r="379" ht="15" customHeight="1" s="53">
      <c r="A379" s="74" t="inlineStr">
        <is>
          <t>Libellé aligné</t>
        </is>
      </c>
      <c r="B379" s="65" t="inlineStr">
        <is>
          <t>ACQ-15.04</t>
        </is>
      </c>
      <c r="C379" s="68" t="inlineStr">
        <is>
          <t>Libellé (« Donnée »)</t>
        </is>
      </c>
      <c r="D379" s="68" t="inlineStr">
        <is>
          <t>Offre haut de gamme existante, et sa part des ventes</t>
        </is>
      </c>
      <c r="E379" s="68" t="inlineStr">
        <is>
          <t>Offre haut de gamme — déclencheur D34</t>
        </is>
      </c>
    </row>
    <row r="380" ht="23.85" customHeight="1" s="53">
      <c r="A380" s="74" t="inlineStr">
        <is>
          <t>Libellé aligné</t>
        </is>
      </c>
      <c r="B380" s="65" t="inlineStr">
        <is>
          <t>ACQ-16.03</t>
        </is>
      </c>
      <c r="C380" s="68" t="inlineStr">
        <is>
          <t>Libellé (« Donnée »)</t>
        </is>
      </c>
      <c r="D380" s="68" t="inlineStr">
        <is>
          <t>Tendance de chacun sur 12 mois : en hausse, stable, en baisse</t>
        </is>
      </c>
      <c r="E380" s="68" t="inlineStr">
        <is>
          <t>CA des 5 plus gros clients sur les 12 mois précédents (évolution calculée avec ACQ-16.01, au lieu d'une tendance)</t>
        </is>
      </c>
    </row>
    <row r="381" ht="23.85" customHeight="1" s="53">
      <c r="A381" s="74" t="inlineStr">
        <is>
          <t>Libellé aligné</t>
        </is>
      </c>
      <c r="B381" s="65" t="inlineStr">
        <is>
          <t>ACQ-17.10</t>
        </is>
      </c>
      <c r="C381" s="68" t="inlineStr">
        <is>
          <t>Libellé (« Donnée »)</t>
        </is>
      </c>
      <c r="D381" s="68" t="inlineStr">
        <is>
          <t>Abonnés actifs aujourd'hui</t>
        </is>
      </c>
      <c r="E381" s="68" t="inlineStr">
        <is>
          <t>Clients sous contrat ou abonnés et revenu mensuel total — partagée avec FIN-05.07 : posée une seule fois</t>
        </is>
      </c>
    </row>
    <row r="382" ht="15" customHeight="1" s="53">
      <c r="A382" s="74" t="inlineStr">
        <is>
          <t>Libellé aligné</t>
        </is>
      </c>
      <c r="B382" s="65" t="inlineStr">
        <is>
          <t>ACQ-17.13</t>
        </is>
      </c>
      <c r="C382" s="68" t="inlineStr">
        <is>
          <t>Libellé (« Donnée »)</t>
        </is>
      </c>
      <c r="D382" s="68" t="inlineStr">
        <is>
          <t>Résiliations par mois</t>
        </is>
      </c>
      <c r="E382" s="68" t="inlineStr">
        <is>
          <t>Résiliations par mois — déclencheur D38</t>
        </is>
      </c>
    </row>
    <row r="383" ht="23.85" customHeight="1" s="53">
      <c r="A383" s="74" t="inlineStr">
        <is>
          <t>Libellé aligné</t>
        </is>
      </c>
      <c r="B383" s="65" t="inlineStr">
        <is>
          <t>ACQ-18.02</t>
        </is>
      </c>
      <c r="C383" s="68" t="inlineStr">
        <is>
          <t>Libellé (« Donnée »)</t>
        </is>
      </c>
      <c r="D383" s="68" t="inlineStr">
        <is>
          <t>Programme de parrainage avec récompense, et montant de la récompense</t>
        </is>
      </c>
      <c r="E383" s="68" t="inlineStr">
        <is>
          <t>Programme de parrainage — déclencheur D17</t>
        </is>
      </c>
    </row>
    <row r="384" ht="57.45" customHeight="1" s="53">
      <c r="A384" s="74" t="inlineStr">
        <is>
          <t>Libellé aligné</t>
        </is>
      </c>
      <c r="B384" s="65" t="inlineStr">
        <is>
          <t>ACQ-20.02</t>
        </is>
      </c>
      <c r="C384" s="68" t="inlineStr">
        <is>
          <t>Libellé (« Donnée »)</t>
        </is>
      </c>
      <c r="D384" s="68" t="inlineStr">
        <is>
          <t>Fréquence à laquelle vous regardez vos chiffres, par domaine — commerciaux (demandes, ventes), financiers (trésorerie, marge), statistiques de communication : chaque jour, chaque semaine, chaque mois, chaque trimestre, rarement, jamais</t>
        </is>
      </c>
      <c r="E384" s="68" t="inlineStr">
        <is>
          <t>Fréquence de lecture des chiffres par domaine — la ligne financière est partagée avec FIN-34.02, la ligne communication avec COM-43.01 : chaque ligne n'est posée qu'une fois</t>
        </is>
      </c>
    </row>
    <row r="385" ht="57.45" customHeight="1" s="53">
      <c r="A385" s="74" t="inlineStr">
        <is>
          <t>Libellé aligné</t>
        </is>
      </c>
      <c r="B385" s="65" t="inlineStr">
        <is>
          <t>ACQ-21.01</t>
        </is>
      </c>
      <c r="C385" s="68" t="inlineStr">
        <is>
          <t>Libellé (« Donnée »)</t>
        </is>
      </c>
      <c r="D385" s="68" t="inlineStr">
        <is>
          <t>Personnes au contact des clients ou en production, en équivalent temps plein</t>
        </is>
      </c>
      <c r="E385" s="68" t="inlineStr">
        <is>
          <t>Personnes par domaine de travail, dont à temps partiel (le travail pour les clients, trouver et suivre les clients, administratif, encadrement) — partagée entre ACQ-21.01 et RH-46.01 : posée une seule fois ; l'équivalent temps plein au contact des clients se calcule avec les deux premières lignes</t>
        </is>
      </c>
    </row>
    <row r="386" ht="23.85" customHeight="1" s="53">
      <c r="A386" s="74" t="inlineStr">
        <is>
          <t>Libellé aligné</t>
        </is>
      </c>
      <c r="B386" s="65" t="inlineStr">
        <is>
          <t>ACQ-21.04</t>
        </is>
      </c>
      <c r="C386" s="68" t="inlineStr">
        <is>
          <t>Libellé (« Donnée »)</t>
        </is>
      </c>
      <c r="D386" s="68" t="inlineStr">
        <is>
          <t>Heures travaillées par mois par l'équipe de production</t>
        </is>
      </c>
      <c r="E386" s="68" t="inlineStr">
        <is>
          <t>Heures travaillées et facturées par mois — partagée avec FIN-07.03 : posée une seule fois</t>
        </is>
      </c>
    </row>
    <row r="387" ht="23.85" customHeight="1" s="53">
      <c r="A387" s="74" t="inlineStr">
        <is>
          <t>Libellé aligné</t>
        </is>
      </c>
      <c r="B387" s="65" t="inlineStr">
        <is>
          <t>ACQ-22.01</t>
        </is>
      </c>
      <c r="C387" s="68" t="inlineStr">
        <is>
          <t>Libellé (« Donnée »)</t>
        </is>
      </c>
      <c r="D387" s="68" t="inlineStr">
        <is>
          <t>Jours d'ouverture (e-commerce : jours où le service client répond)</t>
        </is>
      </c>
      <c r="E387" s="68" t="inlineStr">
        <is>
          <t>Jours d'ouverture — déclencheur D20 (lignes des tableaux « cadrage: D20 »)</t>
        </is>
      </c>
    </row>
    <row r="388" ht="46.25" customHeight="1" s="53">
      <c r="A388" s="74" t="inlineStr">
        <is>
          <t>Libellé aligné</t>
        </is>
      </c>
      <c r="B388" s="65" t="inlineStr">
        <is>
          <t>ACQ-22.10</t>
        </is>
      </c>
      <c r="C388" s="68" t="inlineStr">
        <is>
          <t>Libellé (« Donnée »)</t>
        </is>
      </c>
      <c r="D388" s="68" t="inlineStr">
        <is>
          <t>Demandes perdues par mois, par motif : pas de créneau, manque de temps, personnel absent, manque de stock, délai trop long, prix (les demandes restées sans réponse sont déjà comptées à l'écran réactivité)</t>
        </is>
      </c>
      <c r="E388" s="68" t="inlineStr">
        <is>
          <t>Demandes perdues par mois faute de disponibilité, par motif (le prix est en ACQ-11.04, les demandes sans réponse en ACQ-08) — partagée avec RH-43.02</t>
        </is>
      </c>
    </row>
    <row r="389" ht="23.85" customHeight="1" s="53">
      <c r="A389" s="74" t="inlineStr">
        <is>
          <t>Libellé aligné</t>
        </is>
      </c>
      <c r="B389" s="65" t="inlineStr">
        <is>
          <t>ACQ-23.01</t>
        </is>
      </c>
      <c r="C389" s="68" t="inlineStr">
        <is>
          <t>Libellé (« Donnée »)</t>
        </is>
      </c>
      <c r="D389" s="68" t="inlineStr">
        <is>
          <t>CA de chacun des 12 derniers mois (partagé avec FIN-14 et RH-11)</t>
        </is>
      </c>
      <c r="E389" s="68" t="inlineStr">
        <is>
          <t>CA de chacun des 12 derniers mois — partagée avec FIN-14.01 et RH-11.01</t>
        </is>
      </c>
    </row>
    <row r="390" ht="23.85" customHeight="1" s="53">
      <c r="A390" s="74" t="inlineStr">
        <is>
          <t>Libellé aligné</t>
        </is>
      </c>
      <c r="B390" s="65" t="inlineStr">
        <is>
          <t>COM-05.01</t>
        </is>
      </c>
      <c r="C390" s="68" t="inlineStr">
        <is>
          <t>Libellé (« Donnée »)</t>
        </is>
      </c>
      <c r="D390" s="68" t="inlineStr">
        <is>
          <t>Garantie ou engagement proposé : satisfait ou remboursé, délai garanti, essai gratuit, aucun</t>
        </is>
      </c>
      <c r="E390" s="68" t="inlineStr">
        <is>
          <t>Garantie proposée — déclencheur D56</t>
        </is>
      </c>
    </row>
    <row r="391" ht="23.85" customHeight="1" s="53">
      <c r="A391" s="74" t="inlineStr">
        <is>
          <t>Libellé aligné</t>
        </is>
      </c>
      <c r="B391" s="65" t="inlineStr">
        <is>
          <t>COM-09.03</t>
        </is>
      </c>
      <c r="C391" s="68" t="inlineStr">
        <is>
          <t>Libellé (« Donnée »)</t>
        </is>
      </c>
      <c r="D391" s="68" t="inlineStr">
        <is>
          <t>Types de clients et offres représentés par ces preuves</t>
        </is>
      </c>
      <c r="E391" s="68" t="inlineStr">
        <is>
          <t>Catégories de clients représentées par au moins une preuve (les offres sont en COM-09.08)</t>
        </is>
      </c>
    </row>
    <row r="392" ht="35.05" customHeight="1" s="53">
      <c r="A392" s="74" t="inlineStr">
        <is>
          <t>Libellé aligné</t>
        </is>
      </c>
      <c r="B392" s="65" t="inlineStr">
        <is>
          <t>COM-12.01</t>
        </is>
      </c>
      <c r="C392" s="68" t="inlineStr">
        <is>
          <t>Libellé (« Donnée »)</t>
        </is>
      </c>
      <c r="D392" s="68" t="inlineStr">
        <is>
          <t>Demandes, nouveaux clients et part du CA venant des réseaux sociaux, du site et de la fiche Google (lignes du tableau des canaux)</t>
        </is>
      </c>
      <c r="E392" s="68" t="inlineStr">
        <is>
          <t>Part des demandes, des nouveaux clients et du CA par canal — partagée avec ACQ-03.02, ACQ-03.03 et ACQ-03.04 : posée ici seulement si l'agent Acquisition ne l'a pas fait</t>
        </is>
      </c>
    </row>
    <row r="393" ht="23.85" customHeight="1" s="53">
      <c r="A393" s="74" t="inlineStr">
        <is>
          <t>Libellé aligné</t>
        </is>
      </c>
      <c r="B393" s="65" t="inlineStr">
        <is>
          <t>COM-15.03</t>
        </is>
      </c>
      <c r="C393" s="68" t="inlineStr">
        <is>
          <t>Libellé (« Donnée »)</t>
        </is>
      </c>
      <c r="D393" s="68" t="inlineStr">
        <is>
          <t>Date du dernier envoi à ce fichier, et nombre d'envois sur les 6 derniers mois</t>
        </is>
      </c>
      <c r="E393" s="68" t="inlineStr">
        <is>
          <t>Date du dernier envoi à ce fichier, et nombre d'envois sur les 6 derniers mois — déclencheur D58</t>
        </is>
      </c>
    </row>
    <row r="394" ht="46.25" customHeight="1" s="53">
      <c r="A394" s="74" t="inlineStr">
        <is>
          <t>Libellé aligné</t>
        </is>
      </c>
      <c r="B394" s="65" t="inlineStr">
        <is>
          <t>COM-21.01</t>
        </is>
      </c>
      <c r="C394" s="68" t="inlineStr">
        <is>
          <t>Libellé (« Donnée »)</t>
        </is>
      </c>
      <c r="D394" s="68" t="inlineStr">
        <is>
          <t>Votre offre d'appel (contenu gratuit contre des coordonnées) : guide, diagnostic, estimation, audit, checklist, livre blanc, simulateur, consultation gratuite, échantillon, essai, webinaire, autre</t>
        </is>
      </c>
      <c r="E394" s="68" t="inlineStr">
        <is>
          <t>Offre d'appel — déclencheur D25 (« Non, rien » masque COM-21.02 à 21.04)</t>
        </is>
      </c>
    </row>
    <row r="395" ht="46.25" customHeight="1" s="53">
      <c r="A395" s="74" t="inlineStr">
        <is>
          <t>Libellé aligné</t>
        </is>
      </c>
      <c r="B395" s="65" t="inlineStr">
        <is>
          <t>COM-23.01</t>
        </is>
      </c>
      <c r="C395" s="68" t="inlineStr">
        <is>
          <t>Libellé (« Donnée »)</t>
        </is>
      </c>
      <c r="D395" s="68" t="inlineStr">
        <is>
          <t>Pour chaque messagerie utilisée (Instagram, LinkedIn, Facebook, WhatsApp, Messenger, chat du site) : messages reçus par mois, dont demandes commerciales, dont service après-vente</t>
        </is>
      </c>
      <c r="E395" s="68" t="inlineStr">
        <is>
          <t>Pour chaque messagerie utilisée (Instagram, LinkedIn, Facebook, WhatsApp, Messenger, chat du site) : messages reçus par mois, dont demandes commerciales, dont service après-vente — déclencheur D59</t>
        </is>
      </c>
    </row>
    <row r="396" ht="57.45" customHeight="1" s="53">
      <c r="A396" s="74" t="inlineStr">
        <is>
          <t>Libellé aligné</t>
        </is>
      </c>
      <c r="B396" s="65" t="inlineStr">
        <is>
          <t>COM-26.01</t>
        </is>
      </c>
      <c r="C396" s="68" t="inlineStr">
        <is>
          <t>Libellé (« Donnée »)</t>
        </is>
      </c>
      <c r="D396" s="68" t="inlineStr">
        <is>
          <t>Publications des 3 derniers mois, par réseau, par format (vidéo courte, vidéo longue, carrousel, photo, texte, story) et par type (commercial, pédagogique, preuve ou cas client, coulisses, actualité, dirigeant, avant / après, marque employeur)</t>
        </is>
      </c>
      <c r="E396" s="68" t="inlineStr">
        <is>
          <t>Publications des 3 derniers mois, par réseau, par format (vidéo courte, vidéo longue, carrousel, photo, texte, story) et par type (commercial, pédagogique, preuve ou cas client, coulisses, actualité, dirigeant, avant / après, marque employeur) — déclencheur D63</t>
        </is>
      </c>
    </row>
    <row r="397" ht="57.45" customHeight="1" s="53">
      <c r="A397" s="74" t="inlineStr">
        <is>
          <t>Libellé aligné</t>
        </is>
      </c>
      <c r="B397" s="65" t="inlineStr">
        <is>
          <t>COM-31.01</t>
        </is>
      </c>
      <c r="C397" s="68" t="inlineStr">
        <is>
          <t>Libellé (« Donnée »)</t>
        </is>
      </c>
      <c r="D397" s="68" t="inlineStr">
        <is>
          <t>Heures par semaine consacrées à la communication, par tâche : idées et rédaction ; visuels, tournage, montage ; publication et programmation ; réponses aux commentaires, messages et avis ; emails et site ; statistiques et prestataires</t>
        </is>
      </c>
      <c r="E397" s="68" t="inlineStr">
        <is>
          <t>Heures par semaine consacrées à la communication, par tâche : idées et rédaction ; visuels, tournage, montage ; publication et programmation ; réponses aux commentaires, messages et avis ; emails et site ; statistiques et prestataires — déclencheur D60</t>
        </is>
      </c>
    </row>
    <row r="398" ht="35.05" customHeight="1" s="53">
      <c r="A398" s="74" t="inlineStr">
        <is>
          <t>Libellé aligné</t>
        </is>
      </c>
      <c r="B398" s="65" t="inlineStr">
        <is>
          <t>COM-32.01</t>
        </is>
      </c>
      <c r="C398" s="68" t="inlineStr">
        <is>
          <t>Libellé (« Donnée »)</t>
        </is>
      </c>
      <c r="D398" s="68" t="inlineStr">
        <is>
          <t>Création de contenu, agence et outils marketing par mois</t>
        </is>
      </c>
      <c r="E398" s="68" t="inlineStr">
        <is>
          <t>Création de contenu, agence et outils marketing par mois — partagée avec ACQ-07.03, ACQ-07.01 et ACQ-07.04 (un champ pour chacune) : posée ici seulement si l'agent Acquisition ne l'a pas fait</t>
        </is>
      </c>
    </row>
    <row r="399" ht="46.25" customHeight="1" s="53">
      <c r="A399" s="74" t="inlineStr">
        <is>
          <t>Libellé aligné</t>
        </is>
      </c>
      <c r="B399" s="65" t="inlineStr">
        <is>
          <t>COM-32.03</t>
        </is>
      </c>
      <c r="C399" s="68" t="inlineStr">
        <is>
          <t>Libellé (« Donnée »)</t>
        </is>
      </c>
      <c r="D399" s="68" t="inlineStr">
        <is>
          <t>Budget communication total il y a 12 mois, même périmètre qu'aujourd'hui : contenu, agence, outils, community manager, influence, impression (sans la publicité)</t>
        </is>
      </c>
      <c r="E399" s="68" t="inlineStr">
        <is>
          <t>Dépenses d'il y a 12 mois sur les seuls postes propres à la Comm (community manager, influence, impression) ; contenu, agence, outils et publicité d'il y a 12 mois = ACQ-07.05, partagée</t>
        </is>
      </c>
    </row>
    <row r="400" ht="35.05" customHeight="1" s="53">
      <c r="A400" s="74" t="inlineStr">
        <is>
          <t>Libellé aligné</t>
        </is>
      </c>
      <c r="B400" s="65" t="inlineStr">
        <is>
          <t>COM-33.01</t>
        </is>
      </c>
      <c r="C400" s="68" t="inlineStr">
        <is>
          <t>Libellé (« Donnée »)</t>
        </is>
      </c>
      <c r="D400" s="68" t="inlineStr">
        <is>
          <t>Dates de vos publications des 3 derniers mois</t>
        </is>
      </c>
      <c r="E400" s="68" t="inlineStr">
        <is>
          <t>Régularité par réseau : semaines publiées sur 12 et plus longue pause (remplace la saisie des dates et COM-10.02 quand le réseau n'est pas connecté)</t>
        </is>
      </c>
    </row>
    <row r="401" ht="23.85" customHeight="1" s="53">
      <c r="A401" s="74" t="inlineStr">
        <is>
          <t>Libellé aligné</t>
        </is>
      </c>
      <c r="B401" s="65" t="inlineStr">
        <is>
          <t>COM-35.02</t>
        </is>
      </c>
      <c r="C401" s="68" t="inlineStr">
        <is>
          <t>Libellé (« Donnée »)</t>
        </is>
      </c>
      <c r="D401" s="68" t="inlineStr">
        <is>
          <t>Ressources disponibles : banque de photos et vidéos, modèles (templates), contenus intemporels</t>
        </is>
      </c>
      <c r="E401" s="68" t="inlineStr">
        <is>
          <t>Ressources disponibles pour produire (posée aussi dans le parcours mise en place : elle sert l'agent de création)</t>
        </is>
      </c>
    </row>
    <row r="402" ht="46.25" customHeight="1" s="53">
      <c r="A402" s="74" t="inlineStr">
        <is>
          <t>Libellé aligné</t>
        </is>
      </c>
      <c r="B402" s="65" t="inlineStr">
        <is>
          <t>COM-39.01</t>
        </is>
      </c>
      <c r="C402" s="68" t="inlineStr">
        <is>
          <t>Libellé (« Donnée »)</t>
        </is>
      </c>
      <c r="D402" s="68" t="inlineStr">
        <is>
          <t>Statistiques des 10 dernières publications : portée ou vues, réactions, commentaires, partages, sauvegardes, clics, visites du profil, abonnements, messages et contacts générés</t>
        </is>
      </c>
      <c r="E402" s="68" t="inlineStr">
        <is>
          <t>Résultats des 3 meilleures et 3 moins bonnes publications (les 10 dernières sont lues automatiquement si le réseau est connecté)</t>
        </is>
      </c>
    </row>
    <row r="403" ht="23.85" customHeight="1" s="53">
      <c r="A403" s="74" t="inlineStr">
        <is>
          <t>Libellé aligné</t>
        </is>
      </c>
      <c r="B403" s="65" t="inlineStr">
        <is>
          <t>COM-44.01</t>
        </is>
      </c>
      <c r="C403" s="68" t="inlineStr">
        <is>
          <t>Libellé (« Donnée »)</t>
        </is>
      </c>
      <c r="D403" s="68" t="inlineStr">
        <is>
          <t>Nombre d'avis, note, avis des 6 derniers mois (Google et plateforme principale)</t>
        </is>
      </c>
      <c r="E403" s="68" t="inlineStr">
        <is>
          <t>Avis Google : nombre, note, avis des 6 derniers mois — partagée avec ACQ-06.01 (la plateforme principale est ACQ-06.08) — déclencheur D61</t>
        </is>
      </c>
    </row>
    <row r="404" ht="35.05" customHeight="1" s="53">
      <c r="A404" s="74" t="inlineStr">
        <is>
          <t>Libellé aligné</t>
        </is>
      </c>
      <c r="B404" s="65" t="inlineStr">
        <is>
          <t>COM-44.04</t>
        </is>
      </c>
      <c r="C404" s="68" t="inlineStr">
        <is>
          <t>Libellé (« Donnée »)</t>
        </is>
      </c>
      <c r="D404" s="68" t="inlineStr">
        <is>
          <t>Texte des derniers avis de votre boutique ou de votre plateforme principale (Trustpilot, Avis Vérifiés, marketplace)</t>
        </is>
      </c>
      <c r="E404" s="68" t="inlineStr">
        <is>
          <t>Texte des 20 derniers avis (fiche Google, boutique ou plateforme) : thèmes positifs, motifs négatifs, et témoignages réutilisables par l'agent de création</t>
        </is>
      </c>
    </row>
    <row r="405" ht="35.05" customHeight="1" s="53">
      <c r="A405" s="74" t="inlineStr">
        <is>
          <t>Libellé aligné</t>
        </is>
      </c>
      <c r="B405" s="65" t="inlineStr">
        <is>
          <t>COM-45.01</t>
        </is>
      </c>
      <c r="C405" s="68" t="inlineStr">
        <is>
          <t>Libellé (« Donnée »)</t>
        </is>
      </c>
      <c r="D405" s="68" t="inlineStr">
        <is>
          <t>Vous demandez un avis : à chaque client, parfois, jamais — et comment (lien, QR code, message automatique)</t>
        </is>
      </c>
      <c r="E405" s="68" t="inlineStr">
        <is>
          <t>Demande d'avis — déclencheur D62</t>
        </is>
      </c>
    </row>
    <row r="406" ht="35.05" customHeight="1" s="53">
      <c r="A406" s="74" t="inlineStr">
        <is>
          <t>Libellé aligné</t>
        </is>
      </c>
      <c r="B406" s="65" t="inlineStr">
        <is>
          <t>COM-48.02</t>
        </is>
      </c>
      <c r="C406" s="68" t="inlineStr">
        <is>
          <t>Libellé (« Donnée »)</t>
        </is>
      </c>
      <c r="D406" s="68" t="inlineStr">
        <is>
          <t>Collaborations avec des créateurs de contenu sur la période : nombre, coût, ventes générées (code promo, lien suivi)</t>
        </is>
      </c>
      <c r="E406" s="68" t="inlineStr">
        <is>
          <t>Collaborations avec des créateurs et ventes suivies (le coût est la ligne « Influence » de COM-32.02)</t>
        </is>
      </c>
    </row>
    <row r="407" ht="23.85" customHeight="1" s="53">
      <c r="A407" s="74" t="inlineStr">
        <is>
          <t>Libellé aligné</t>
        </is>
      </c>
      <c r="B407" s="65" t="inlineStr">
        <is>
          <t>FIN-09.02</t>
        </is>
      </c>
      <c r="C407" s="68" t="inlineStr">
        <is>
          <t>Libellé (« Donnée »)</t>
        </is>
      </c>
      <c r="D407" s="68" t="inlineStr">
        <is>
          <t>Contrats dont le prix a augmenté sur 12 mois (case à cocher dans le tableau)</t>
        </is>
      </c>
      <c r="E407" s="68" t="inlineStr">
        <is>
          <t>Nombre de contrats dont le prix a augmenté sur 12 mois</t>
        </is>
      </c>
    </row>
    <row r="408" ht="46.25" customHeight="1" s="53">
      <c r="A408" s="74" t="inlineStr">
        <is>
          <t>Libellé aligné</t>
        </is>
      </c>
      <c r="B408" s="65" t="inlineStr">
        <is>
          <t>FIN-10.01</t>
        </is>
      </c>
      <c r="C408" s="68" t="inlineStr">
        <is>
          <t>Libellé (« Donnée »)</t>
        </is>
      </c>
      <c r="D408" s="68" t="inlineStr">
        <is>
          <t>Par mois : nombre de reprises, de retours et de gestes commerciaux ; coût direct moyen d'une reprise (matière, déplacement) et d'un geste commercial (le nombre de reprises est partagé avec RH-16)</t>
        </is>
      </c>
      <c r="E408" s="68" t="inlineStr">
        <is>
          <t>Par mois : nombre de reprises, de retours et de gestes commerciaux ; coût direct moyen d'une reprise (matière, déplacement) et d'un geste commercial (le nombre de reprises est partagé avec RH-16) — déclencheur D40</t>
        </is>
      </c>
    </row>
    <row r="409" ht="15" customHeight="1" s="53">
      <c r="A409" s="74" t="inlineStr">
        <is>
          <t>Libellé aligné</t>
        </is>
      </c>
      <c r="B409" s="65" t="inlineStr">
        <is>
          <t>FIN-20.03</t>
        </is>
      </c>
      <c r="C409" s="68" t="inlineStr">
        <is>
          <t>Libellé (« Donnée »)</t>
        </is>
      </c>
      <c r="D409" s="68" t="inlineStr">
        <is>
          <t>Remise proposée pour un paiement rapide</t>
        </is>
      </c>
      <c r="E409" s="68" t="inlineStr">
        <is>
          <t>Remise pour paiement rapide proposée — déclencheur D43</t>
        </is>
      </c>
    </row>
    <row r="410" ht="23.85" customHeight="1" s="53">
      <c r="A410" s="74" t="inlineStr">
        <is>
          <t>Libellé aligné</t>
        </is>
      </c>
      <c r="B410" s="65" t="inlineStr">
        <is>
          <t>FIN-24.05</t>
        </is>
      </c>
      <c r="C410" s="68" t="inlineStr">
        <is>
          <t>Libellé (« Donnée »)</t>
        </is>
      </c>
      <c r="D410" s="68" t="inlineStr">
        <is>
          <t>Mois de l'année concernés, et dernier mois sans aucun jour de découvert</t>
        </is>
      </c>
      <c r="E410" s="68" t="inlineStr">
        <is>
          <t>Mois de l'année où l'entreprise est à découvert (le dernier mois sans découvert se déduit des réponses)</t>
        </is>
      </c>
    </row>
    <row r="411" ht="23.85" customHeight="1" s="53">
      <c r="A411" s="74" t="inlineStr">
        <is>
          <t>Libellé aligné</t>
        </is>
      </c>
      <c r="B411" s="65" t="inlineStr">
        <is>
          <t>FIN-41.01</t>
        </is>
      </c>
      <c r="C411" s="68" t="inlineStr">
        <is>
          <t>Libellé (« Donnée »)</t>
        </is>
      </c>
      <c r="D411" s="68" t="inlineStr">
        <is>
          <t>Ruptures par mois sur vos 20 meilleures ventes, et durée moyenne d'une rupture</t>
        </is>
      </c>
      <c r="E411" s="68" t="inlineStr">
        <is>
          <t>Ruptures par mois sur vos 20 meilleures ventes, et durée moyenne d'une rupture — déclencheur D42</t>
        </is>
      </c>
    </row>
    <row r="412" ht="23.85" customHeight="1" s="53">
      <c r="A412" s="74" t="inlineStr">
        <is>
          <t>Libellé aligné</t>
        </is>
      </c>
      <c r="B412" s="65" t="inlineStr">
        <is>
          <t>RH-04.01</t>
        </is>
      </c>
      <c r="C412" s="68" t="inlineStr">
        <is>
          <t>Libellé (« Donnée »)</t>
        </is>
      </c>
      <c r="D412" s="68" t="inlineStr">
        <is>
          <t>Tâches confiées à quelqu'un d'autre sur les 3 derniers mois</t>
        </is>
      </c>
      <c r="E412" s="68" t="inlineStr">
        <is>
          <t>Tâches confiées à quelqu'un d'autre sur les 3 derniers mois — déclencheur D44</t>
        </is>
      </c>
    </row>
    <row r="413" ht="35.05" customHeight="1" s="53">
      <c r="A413" s="74" t="inlineStr">
        <is>
          <t>Libellé aligné</t>
        </is>
      </c>
      <c r="B413" s="65" t="inlineStr">
        <is>
          <t>RH-04.02</t>
        </is>
      </c>
      <c r="C413" s="68" t="inlineStr">
        <is>
          <t>Libellé (« Donnée »)</t>
        </is>
      </c>
      <c r="D413" s="68" t="inlineStr">
        <is>
          <t>Parmi elles, tâches reprises. Définition : vous avez dû la refaire, la corriger fortement, la terminer, reprendre le client ou annuler la délégation</t>
        </is>
      </c>
      <c r="E413" s="68" t="inlineStr">
        <is>
          <t>Parmi elles, tâches reprises. Définition : vous avez dû la refaire, la corriger fortement, la terminer, reprendre le client ou annuler la délégation — déclencheur D45</t>
        </is>
      </c>
    </row>
    <row r="414" ht="46.25" customHeight="1" s="53">
      <c r="A414" s="74" t="inlineStr">
        <is>
          <t>Libellé aligné</t>
        </is>
      </c>
      <c r="B414" s="65" t="inlineStr">
        <is>
          <t>RH-05.01</t>
        </is>
      </c>
      <c r="C414" s="68" t="inlineStr">
        <is>
          <t>Libellé (« Donnée »)</t>
        </is>
      </c>
      <c r="D414" s="68" t="inlineStr">
        <is>
          <t>Heures que vous travaillez par semaine</t>
        </is>
      </c>
      <c r="E414" s="68" t="inlineStr">
        <is>
          <t>Jours et heures travaillés par semaine par le dirigeant (regroupe les anciennes RH-05.01 et RH-05.09) — mini-bloc « temps du dirigeant », partagé : posé par le premier agent qui en a besoin (Acquisition, Finance, Comm ou RH), jamais redemandé</t>
        </is>
      </c>
    </row>
    <row r="415" ht="46.25" customHeight="1" s="53">
      <c r="A415" s="74" t="inlineStr">
        <is>
          <t>Libellé aligné</t>
        </is>
      </c>
      <c r="B415" s="65" t="inlineStr">
        <is>
          <t>RH-05.02</t>
        </is>
      </c>
      <c r="C415" s="68" t="inlineStr">
        <is>
          <t>Libellé (« Donnée »)</t>
        </is>
      </c>
      <c r="D415" s="68" t="inlineStr">
        <is>
          <t>Répartition de votre semaine : production, commercial, administratif, management (si équipe), développement et stratégie</t>
        </is>
      </c>
      <c r="E415" s="68" t="inlineStr">
        <is>
          <t>Répartition de votre semaine : production, commercial, administratif, management (si équipe), développement et stratégie — mini-bloc « temps du dirigeant », partagé : posé par le premier agent qui en a besoin (Acquisition, Finance, Comm ou RH), jamais redemandé</t>
        </is>
      </c>
    </row>
    <row r="416" ht="23.85" customHeight="1" s="53">
      <c r="A416" s="74" t="inlineStr">
        <is>
          <t>Libellé aligné</t>
        </is>
      </c>
      <c r="B416" s="65" t="inlineStr">
        <is>
          <t>RH-06.05</t>
        </is>
      </c>
      <c r="C416" s="68" t="inlineStr">
        <is>
          <t>Libellé (« Donnée »)</t>
        </is>
      </c>
      <c r="D416" s="68" t="inlineStr">
        <is>
          <t>Semaines avec des heures supplémentaires sur les 3 derniers mois</t>
        </is>
      </c>
      <c r="E416" s="68" t="inlineStr">
        <is>
          <t>Semaines avec des heures supplémentaires sur les 3 derniers mois — déclencheur D46</t>
        </is>
      </c>
    </row>
    <row r="417" ht="23.85" customHeight="1" s="53">
      <c r="A417" s="74" t="inlineStr">
        <is>
          <t>Libellé aligné</t>
        </is>
      </c>
      <c r="B417" s="65" t="inlineStr">
        <is>
          <t>RH-15.02</t>
        </is>
      </c>
      <c r="C417" s="68" t="inlineStr">
        <is>
          <t>Libellé (« Donnée »)</t>
        </is>
      </c>
      <c r="D417" s="68" t="inlineStr">
        <is>
          <t>Matériel ou équipement qui ralentit le travail (panne, vétusté, manque), et heures perdues par semaine</t>
        </is>
      </c>
      <c r="E417" s="68" t="inlineStr">
        <is>
          <t>Matériel qui ralentit le travail — déclencheur D47</t>
        </is>
      </c>
    </row>
    <row r="418" ht="46.25" customHeight="1" s="53">
      <c r="A418" s="74" t="inlineStr">
        <is>
          <t>Libellé aligné</t>
        </is>
      </c>
      <c r="B418" s="65" t="inlineStr">
        <is>
          <t>RH-16.01</t>
        </is>
      </c>
      <c r="C418" s="68" t="inlineStr">
        <is>
          <t>Libellé (« Donnée »)</t>
        </is>
      </c>
      <c r="D418" s="68" t="inlineStr">
        <is>
          <t>Reprises par mois et temps moyen d'une reprise. Définition : travail à recommencer, corriger ou reprendre parce que le résultat n'était pas satisfaisant</t>
        </is>
      </c>
      <c r="E418" s="68" t="inlineStr">
        <is>
          <t>Reprises par mois et temps moyen d'une reprise — champs partagés avec FIN-10.01 (reprises par mois) et FIN-10.03 (heures par reprise) : chaque chiffre n'est demandé qu'une fois, le second agent reprend la réponse — déclencheur D49</t>
        </is>
      </c>
    </row>
    <row r="419" ht="23.85" customHeight="1" s="53">
      <c r="A419" s="74" t="inlineStr">
        <is>
          <t>Libellé aligné</t>
        </is>
      </c>
      <c r="B419" s="65" t="inlineStr">
        <is>
          <t>RH-19.01</t>
        </is>
      </c>
      <c r="C419" s="68" t="inlineStr">
        <is>
          <t>Libellé (« Donnée »)</t>
        </is>
      </c>
      <c r="D419" s="68" t="inlineStr">
        <is>
          <t>Réunions d'équipe : nombre par mois, durée moyenne, participants</t>
        </is>
      </c>
      <c r="E419" s="68" t="inlineStr">
        <is>
          <t>Réunions d'équipe : nombre par mois, durée moyenne, participants — déclencheur D50</t>
        </is>
      </c>
    </row>
    <row r="420" ht="35.05" customHeight="1" s="53">
      <c r="A420" s="74" t="inlineStr">
        <is>
          <t>Libellé aligné</t>
        </is>
      </c>
      <c r="B420" s="65" t="inlineStr">
        <is>
          <t>RH-25.01</t>
        </is>
      </c>
      <c r="C420" s="68" t="inlineStr">
        <is>
          <t>Libellé (« Donnée »)</t>
        </is>
      </c>
      <c r="D420" s="68" t="inlineStr">
        <is>
          <t>Jours de formation sur les 12 derniers mois, toute l'équipe, et transmission organisée entre collègues (oui / non)</t>
        </is>
      </c>
      <c r="E420" s="68" t="inlineStr">
        <is>
          <t>Jours de formation sur les 12 derniers mois, toute l'équipe, et transmission organisée entre collègues (oui / non) — déclencheur D53</t>
        </is>
      </c>
    </row>
    <row r="421" ht="35.05" customHeight="1" s="53">
      <c r="A421" s="74" t="inlineStr">
        <is>
          <t>Libellé aligné</t>
        </is>
      </c>
      <c r="B421" s="65" t="inlineStr">
        <is>
          <t>RH-32.01</t>
        </is>
      </c>
      <c r="C421" s="68" t="inlineStr">
        <is>
          <t>Libellé (« Donnée »)</t>
        </is>
      </c>
      <c r="D421" s="68" t="inlineStr">
        <is>
          <t>Départs sur les 12 derniers mois, par type : démission, fin de période d'essai, rupture conventionnelle, licenciement, fin de contrat</t>
        </is>
      </c>
      <c r="E421" s="68" t="inlineStr">
        <is>
          <t>Départs sur les 12 derniers mois, par type : démission, fin de période d'essai, rupture conventionnelle, licenciement, fin de contrat — déclencheur D54</t>
        </is>
      </c>
    </row>
    <row r="422" ht="35.05" customHeight="1" s="53">
      <c r="A422" s="74" t="inlineStr">
        <is>
          <t>Libellé aligné</t>
        </is>
      </c>
      <c r="B422" s="65" t="inlineStr">
        <is>
          <t>RH-34.01</t>
        </is>
      </c>
      <c r="C422" s="68" t="inlineStr">
        <is>
          <t>Libellé (« Donnée »)</t>
        </is>
      </c>
      <c r="D422" s="68" t="inlineStr">
        <is>
          <t>Jours d'absence sur les 12 derniers mois, toute l'équipe, hors congés (aucune information médicale : seul l'effet sur l'organisation compte)</t>
        </is>
      </c>
      <c r="E422" s="68" t="inlineStr">
        <is>
          <t>Jours d'absence sur les 12 derniers mois, toute l'équipe, hors congés (aucune information médicale : seul l'effet sur l'organisation compte) — déclencheur D55</t>
        </is>
      </c>
    </row>
    <row r="423" ht="57.45" customHeight="1" s="53">
      <c r="A423" s="74" t="inlineStr">
        <is>
          <t>Libellé aligné</t>
        </is>
      </c>
      <c r="B423" s="65" t="inlineStr">
        <is>
          <t>RH-37.01</t>
        </is>
      </c>
      <c r="C423" s="68" t="inlineStr">
        <is>
          <t>Libellé (« Donnée »)</t>
        </is>
      </c>
      <c r="D423" s="68" t="inlineStr">
        <is>
          <t>Personnes dont l'absence bloque l'activité (vous compris, 3 au plus) : fonction, ce qu'elle seule sait faire, accès ou informations qu'elle seule détient, clients qui ne passent que par elle, remplaçant possible (oui / non), procédure écrite (oui / non)</t>
        </is>
      </c>
      <c r="E423" s="68" t="inlineStr">
        <is>
          <t>Personnes, en dehors du dirigeant, dont l'absence bloque l'activité (3 au plus) : fonction, ce qu'elle seule sait faire, accès ou informations qu'elle seule détient, clients qui ne passent que par elle, remplaçant possible, procédure écrite (le dirigeant est dans RH-05.10) — déclencheur D57</t>
        </is>
      </c>
    </row>
    <row r="424" ht="35.05" customHeight="1" s="53">
      <c r="A424" s="74" t="inlineStr">
        <is>
          <t>Libellé aligné</t>
        </is>
      </c>
      <c r="B424" s="65" t="inlineStr">
        <is>
          <t>RH-38.01</t>
        </is>
      </c>
      <c r="C424" s="68" t="inlineStr">
        <is>
          <t>Libellé (« Donnée »)</t>
        </is>
      </c>
      <c r="D424" s="68" t="inlineStr">
        <is>
          <t>Pour chacune (et pour vous) : absence possible sans retard pour les clients — moins d'1 jour, 1-2 jours, 3-5 jours, 1-2 semaines, plus de 2 semaines</t>
        </is>
      </c>
      <c r="E424" s="68" t="inlineStr">
        <is>
          <t>Pour chaque personne de RH-37.01 : absence possible sans retard pour les clients (la ligne du dirigeant est RH-05.10)</t>
        </is>
      </c>
    </row>
    <row r="425" ht="35.05" customHeight="1" s="53">
      <c r="A425" s="73" t="inlineStr">
        <is>
          <t>Déclencheur ajouté</t>
        </is>
      </c>
      <c r="B425" s="65" t="inlineStr">
        <is>
          <t>D28</t>
        </is>
      </c>
      <c r="C425" s="68" t="inlineStr">
        <is>
          <t>Déclencheur nouveau</t>
        </is>
      </c>
      <c r="D425" s="68" t="inlineStr">
        <is>
          <t>—</t>
        </is>
      </c>
      <c r="E425" s="68" t="inlineStr">
        <is>
          <t>RH-41.01 · Aimeriez-vous être aidé dans votre travail, par un salarié, un apprenti, un freelance ou un associé ? → Oui (dans 6 mois, dans 12 mois ou plus tard) · Non</t>
        </is>
      </c>
    </row>
    <row r="426" ht="23.85" customHeight="1" s="53">
      <c r="A426" s="73" t="inlineStr">
        <is>
          <t>Déclencheur ajouté</t>
        </is>
      </c>
      <c r="B426" s="65" t="inlineStr">
        <is>
          <t>D29</t>
        </is>
      </c>
      <c r="C426" s="68" t="inlineStr">
        <is>
          <t>Déclencheur nouveau</t>
        </is>
      </c>
      <c r="D426" s="68" t="inlineStr">
        <is>
          <t>—</t>
        </is>
      </c>
      <c r="E426" s="68" t="inlineStr">
        <is>
          <t>RH-44.02 · Avez-vous déjà eu un salarié ou un freelance régulier ? → « Oui, mais ça s'est mal passé »</t>
        </is>
      </c>
    </row>
    <row r="427" ht="23.85" customHeight="1" s="53">
      <c r="A427" s="73" t="inlineStr">
        <is>
          <t>Déclencheur ajouté</t>
        </is>
      </c>
      <c r="B427" s="65" t="inlineStr">
        <is>
          <t>D30</t>
        </is>
      </c>
      <c r="C427" s="68" t="inlineStr">
        <is>
          <t>Déclencheur nouveau</t>
        </is>
      </c>
      <c r="D427" s="68" t="inlineStr">
        <is>
          <t>—</t>
        </is>
      </c>
      <c r="E427" s="68" t="inlineStr">
        <is>
          <t>Première création de contenu → Bouton de l'agent ou fin du parcours mise en place</t>
        </is>
      </c>
    </row>
    <row r="428" ht="23.85" customHeight="1" s="53">
      <c r="A428" s="73" t="inlineStr">
        <is>
          <t>Déclencheur ajouté</t>
        </is>
      </c>
      <c r="B428" s="65" t="inlineStr">
        <is>
          <t>D31</t>
        </is>
      </c>
      <c r="C428" s="68" t="inlineStr">
        <is>
          <t>Déclencheur nouveau</t>
        </is>
      </c>
      <c r="D428" s="68" t="inlineStr">
        <is>
          <t>—</t>
        </is>
      </c>
      <c r="E428" s="68" t="inlineStr">
        <is>
          <t>FIN-47.01 · Sous quelle forme votre entreprise exerce-t-elle ? → Micro-entreprise · Entreprise individuelle · Société · Autre</t>
        </is>
      </c>
    </row>
    <row r="429" ht="23.85" customHeight="1" s="53">
      <c r="A429" s="73" t="inlineStr">
        <is>
          <t>Déclencheur ajouté</t>
        </is>
      </c>
      <c r="B429" s="65" t="inlineStr">
        <is>
          <t>D32</t>
        </is>
      </c>
      <c r="C429" s="68" t="inlineStr">
        <is>
          <t>Déclencheur nouveau</t>
        </is>
      </c>
      <c r="D429" s="68" t="inlineStr">
        <is>
          <t>—</t>
        </is>
      </c>
      <c r="E429" s="68" t="inlineStr">
        <is>
          <t>ACQ-15.01 · Proposez-vous à vos clients un produit ou un service en plus de ce qu'ils sont venus chercher ? → Toute réponse sauf « Jamais »</t>
        </is>
      </c>
    </row>
    <row r="430" ht="23.85" customHeight="1" s="53">
      <c r="A430" s="73" t="inlineStr">
        <is>
          <t>Déclencheur ajouté</t>
        </is>
      </c>
      <c r="B430" s="65" t="inlineStr">
        <is>
          <t>D33</t>
        </is>
      </c>
      <c r="C430" s="68" t="inlineStr">
        <is>
          <t>Déclencheur nouveau</t>
        </is>
      </c>
      <c r="D430" s="68" t="inlineStr">
        <is>
          <t>—</t>
        </is>
      </c>
      <c r="E430" s="68" t="inlineStr">
        <is>
          <t>ACQ-15.09 · Proposez-vous le paiement en plusieurs fois à vos clients ? → Oui</t>
        </is>
      </c>
    </row>
    <row r="431" ht="23.85" customHeight="1" s="53">
      <c r="A431" s="73" t="inlineStr">
        <is>
          <t>Déclencheur ajouté</t>
        </is>
      </c>
      <c r="B431" s="65" t="inlineStr">
        <is>
          <t>D34</t>
        </is>
      </c>
      <c r="C431" s="68" t="inlineStr">
        <is>
          <t>Déclencheur nouveau</t>
        </is>
      </c>
      <c r="D431" s="68" t="inlineStr">
        <is>
          <t>—</t>
        </is>
      </c>
      <c r="E431" s="68" t="inlineStr">
        <is>
          <t>ACQ-15.04 · Avez-vous une offre haut de gamme, plus complète ou plus chère que votre offre principale ? → Oui</t>
        </is>
      </c>
    </row>
    <row r="432" ht="23.85" customHeight="1" s="53">
      <c r="A432" s="73" t="inlineStr">
        <is>
          <t>Déclencheur ajouté</t>
        </is>
      </c>
      <c r="B432" s="65" t="inlineStr">
        <is>
          <t>D35</t>
        </is>
      </c>
      <c r="C432" s="68" t="inlineStr">
        <is>
          <t>Déclencheur nouveau</t>
        </is>
      </c>
      <c r="D432" s="68" t="inlineStr">
        <is>
          <t>—</t>
        </is>
      </c>
      <c r="E432" s="68" t="inlineStr">
        <is>
          <t>ACQ-14.01 · Sur les 3 derniers mois, quelle part de vos clients a obtenu une remise ou un geste commercial pour se décider ? → Plus de 0 %</t>
        </is>
      </c>
    </row>
    <row r="433" ht="23.85" customHeight="1" s="53">
      <c r="A433" s="73" t="inlineStr">
        <is>
          <t>Déclencheur ajouté</t>
        </is>
      </c>
      <c r="B433" s="65" t="inlineStr">
        <is>
          <t>D36</t>
        </is>
      </c>
      <c r="C433" s="68" t="inlineStr">
        <is>
          <t>Déclencheur nouveau</t>
        </is>
      </c>
      <c r="D433" s="68" t="inlineStr">
        <is>
          <t>—</t>
        </is>
      </c>
      <c r="E433" s="68" t="inlineStr">
        <is>
          <t>ACQ-10.06 · Parmi vos {devis_pluriel} sans réponse, quelle part relancez-vous ? → Plus de 0 %</t>
        </is>
      </c>
    </row>
    <row r="434" ht="23.85" customHeight="1" s="53">
      <c r="A434" s="73" t="inlineStr">
        <is>
          <t>Déclencheur ajouté</t>
        </is>
      </c>
      <c r="B434" s="65" t="inlineStr">
        <is>
          <t>D37</t>
        </is>
      </c>
      <c r="C434" s="68" t="inlineStr">
        <is>
          <t>Déclencheur nouveau</t>
        </is>
      </c>
      <c r="D434" s="68" t="inlineStr">
        <is>
          <t>—</t>
        </is>
      </c>
      <c r="E434" s="68" t="inlineStr">
        <is>
          <t>ACQ-08.02 · Sur une semaine habituelle, combien d'appels manquez-vous ? → Plus de 0</t>
        </is>
      </c>
    </row>
    <row r="435" ht="23.85" customHeight="1" s="53">
      <c r="A435" s="73" t="inlineStr">
        <is>
          <t>Déclencheur ajouté</t>
        </is>
      </c>
      <c r="B435" s="65" t="inlineStr">
        <is>
          <t>D38</t>
        </is>
      </c>
      <c r="C435" s="68" t="inlineStr">
        <is>
          <t>Déclencheur nouveau</t>
        </is>
      </c>
      <c r="D435" s="68" t="inlineStr">
        <is>
          <t>—</t>
        </is>
      </c>
      <c r="E435" s="68" t="inlineStr">
        <is>
          <t>ACQ-17.13 · En moyenne sur les 3 derniers mois, combien de clients résilient leur contrat ou leur abonnement chaque mois ? → Plus de 0</t>
        </is>
      </c>
    </row>
    <row r="436" ht="23.85" customHeight="1" s="53">
      <c r="A436" s="73" t="inlineStr">
        <is>
          <t>Déclencheur ajouté</t>
        </is>
      </c>
      <c r="B436" s="65" t="inlineStr">
        <is>
          <t>D39</t>
        </is>
      </c>
      <c r="C436" s="68" t="inlineStr">
        <is>
          <t>Déclencheur nouveau</t>
        </is>
      </c>
      <c r="D436" s="68" t="inlineStr">
        <is>
          <t>—</t>
        </is>
      </c>
      <c r="E436" s="68" t="inlineStr">
        <is>
          <t>ACQ-17.29 · Proposez-vous un contrat d'entretien ou de suivi après vos travaux ? → Oui</t>
        </is>
      </c>
    </row>
    <row r="437" ht="35.05" customHeight="1" s="53">
      <c r="A437" s="73" t="inlineStr">
        <is>
          <t>Déclencheur ajouté</t>
        </is>
      </c>
      <c r="B437" s="65" t="inlineStr">
        <is>
          <t>D40</t>
        </is>
      </c>
      <c r="C437" s="68" t="inlineStr">
        <is>
          <t>Déclencheur nouveau</t>
        </is>
      </c>
      <c r="D437" s="68" t="inlineStr">
        <is>
          <t>—</t>
        </is>
      </c>
      <c r="E437" s="68" t="inlineStr">
        <is>
          <t>FIN-10.01 · En moyenne sur les 3 derniers mois, combien de reprises, de retours et de gestes commerciaux avez-vous par mois, et combien coûtent-ils ? → Au moins une reprise, un retour ou un geste par mois</t>
        </is>
      </c>
    </row>
    <row r="438" ht="35.05" customHeight="1" s="53">
      <c r="A438" s="73" t="inlineStr">
        <is>
          <t>Déclencheur ajouté</t>
        </is>
      </c>
      <c r="B438" s="65" t="inlineStr">
        <is>
          <t>D41</t>
        </is>
      </c>
      <c r="C438" s="68" t="inlineStr">
        <is>
          <t>Déclencheur nouveau</t>
        </is>
      </c>
      <c r="D438" s="68" t="inlineStr">
        <is>
          <t>—</t>
        </is>
      </c>
      <c r="E438" s="68" t="inlineStr">
        <is>
          <t>FIN-10.01 · En moyenne sur les 3 derniers mois, combien de reprises, de retours et de gestes commerciaux avez-vous par mois, et combien coûtent-ils ? → Plus de 0 retour par mois</t>
        </is>
      </c>
    </row>
    <row r="439" ht="35.05" customHeight="1" s="53">
      <c r="A439" s="73" t="inlineStr">
        <is>
          <t>Déclencheur ajouté</t>
        </is>
      </c>
      <c r="B439" s="65" t="inlineStr">
        <is>
          <t>D42</t>
        </is>
      </c>
      <c r="C439" s="68" t="inlineStr">
        <is>
          <t>Déclencheur nouveau</t>
        </is>
      </c>
      <c r="D439" s="68" t="inlineStr">
        <is>
          <t>—</t>
        </is>
      </c>
      <c r="E439" s="68" t="inlineStr">
        <is>
          <t>FIN-41.01 · En moyenne sur les 3 derniers mois, combien de ruptures de stock par mois touchent vos 20 produits qui se vendent le mieux, et combien de jours durent-elles ? → Plus de 0 rupture par mois</t>
        </is>
      </c>
    </row>
    <row r="440" ht="23.85" customHeight="1" s="53">
      <c r="A440" s="73" t="inlineStr">
        <is>
          <t>Déclencheur ajouté</t>
        </is>
      </c>
      <c r="B440" s="65" t="inlineStr">
        <is>
          <t>D43</t>
        </is>
      </c>
      <c r="C440" s="68" t="inlineStr">
        <is>
          <t>Déclencheur nouveau</t>
        </is>
      </c>
      <c r="D440" s="68" t="inlineStr">
        <is>
          <t>—</t>
        </is>
      </c>
      <c r="E440" s="68" t="inlineStr">
        <is>
          <t>FIN-20.03 · Vos fournisseurs vous proposent-ils une remise si vous les payez plus vite ? → Oui</t>
        </is>
      </c>
    </row>
    <row r="441" ht="23.85" customHeight="1" s="53">
      <c r="A441" s="73" t="inlineStr">
        <is>
          <t>Déclencheur ajouté</t>
        </is>
      </c>
      <c r="B441" s="65" t="inlineStr">
        <is>
          <t>D44</t>
        </is>
      </c>
      <c r="C441" s="68" t="inlineStr">
        <is>
          <t>Déclencheur nouveau</t>
        </is>
      </c>
      <c r="D441" s="68" t="inlineStr">
        <is>
          <t>—</t>
        </is>
      </c>
      <c r="E441" s="68" t="inlineStr">
        <is>
          <t>RH-04.01 · Sur les 3 derniers mois, combien de tâches avez-vous confiées à quelqu'un d'autre ? → Plus de 0</t>
        </is>
      </c>
    </row>
    <row r="442" ht="23.85" customHeight="1" s="53">
      <c r="A442" s="73" t="inlineStr">
        <is>
          <t>Déclencheur ajouté</t>
        </is>
      </c>
      <c r="B442" s="65" t="inlineStr">
        <is>
          <t>D45</t>
        </is>
      </c>
      <c r="C442" s="68" t="inlineStr">
        <is>
          <t>Déclencheur nouveau</t>
        </is>
      </c>
      <c r="D442" s="68" t="inlineStr">
        <is>
          <t>—</t>
        </is>
      </c>
      <c r="E442" s="68" t="inlineStr">
        <is>
          <t>RH-04.02 · Parmi ces tâches, combien avez-vous dû reprendre en main ? → Plus de 0</t>
        </is>
      </c>
    </row>
    <row r="443" ht="23.85" customHeight="1" s="53">
      <c r="A443" s="73" t="inlineStr">
        <is>
          <t>Déclencheur ajouté</t>
        </is>
      </c>
      <c r="B443" s="65" t="inlineStr">
        <is>
          <t>D46</t>
        </is>
      </c>
      <c r="C443" s="68" t="inlineStr">
        <is>
          <t>Déclencheur nouveau</t>
        </is>
      </c>
      <c r="D443" s="68" t="inlineStr">
        <is>
          <t>—</t>
        </is>
      </c>
      <c r="E443" s="68" t="inlineStr">
        <is>
          <t>RH-06.05 · Sur les 3 derniers mois, combien de semaines ont comporté des heures supplémentaires ? → Toute réponse sauf « Aucune »</t>
        </is>
      </c>
    </row>
    <row r="444" ht="23.85" customHeight="1" s="53">
      <c r="A444" s="73" t="inlineStr">
        <is>
          <t>Déclencheur ajouté</t>
        </is>
      </c>
      <c r="B444" s="65" t="inlineStr">
        <is>
          <t>D47</t>
        </is>
      </c>
      <c r="C444" s="68" t="inlineStr">
        <is>
          <t>Déclencheur nouveau</t>
        </is>
      </c>
      <c r="D444" s="68" t="inlineStr">
        <is>
          <t>—</t>
        </is>
      </c>
      <c r="E444" s="68" t="inlineStr">
        <is>
          <t>RH-15.02 · Du matériel ou un équipement ralentit-il le travail : panne, matériel trop vieux ou qui manque ? → Oui</t>
        </is>
      </c>
    </row>
    <row r="445" ht="35.05" customHeight="1" s="53">
      <c r="A445" s="73" t="inlineStr">
        <is>
          <t>Déclencheur ajouté</t>
        </is>
      </c>
      <c r="B445" s="65" t="inlineStr">
        <is>
          <t>D48</t>
        </is>
      </c>
      <c r="C445" s="68" t="inlineStr">
        <is>
          <t>Déclencheur nouveau</t>
        </is>
      </c>
      <c r="D445" s="68" t="inlineStr">
        <is>
          <t>—</t>
        </is>
      </c>
      <c r="E445" s="68" t="inlineStr">
        <is>
          <t>FIN-10.01 · En moyenne sur les 3 derniers mois, combien de reprises, de retours et de gestes commerciaux avez-vous par mois, et combien coûtent-ils ? → Plus de 0 reprise par mois</t>
        </is>
      </c>
    </row>
    <row r="446" ht="35.05" customHeight="1" s="53">
      <c r="A446" s="73" t="inlineStr">
        <is>
          <t>Déclencheur ajouté</t>
        </is>
      </c>
      <c r="B446" s="65" t="inlineStr">
        <is>
          <t>D49</t>
        </is>
      </c>
      <c r="C446" s="68" t="inlineStr">
        <is>
          <t>Déclencheur nouveau</t>
        </is>
      </c>
      <c r="D446" s="68" t="inlineStr">
        <is>
          <t>—</t>
        </is>
      </c>
      <c r="E446" s="68" t="inlineStr">
        <is>
          <t>RH-16.01 · En moyenne sur les 3 derniers mois, combien de fois par mois devez-vous refaire ou corriger un travail, et combien de temps cela prend-il à chaque fois ? → Plus de 0 reprise par mois</t>
        </is>
      </c>
    </row>
    <row r="447" ht="35.05" customHeight="1" s="53">
      <c r="A447" s="73" t="inlineStr">
        <is>
          <t>Déclencheur ajouté</t>
        </is>
      </c>
      <c r="B447" s="65" t="inlineStr">
        <is>
          <t>D50</t>
        </is>
      </c>
      <c r="C447" s="68" t="inlineStr">
        <is>
          <t>Déclencheur nouveau</t>
        </is>
      </c>
      <c r="D447" s="68" t="inlineStr">
        <is>
          <t>—</t>
        </is>
      </c>
      <c r="E447" s="68" t="inlineStr">
        <is>
          <t>RH-19.01 · Sur un mois habituel, combien de réunions d'équipe faites-vous, combien de temps durent-elles et avec combien de participants ? → Plus de 0 réunion</t>
        </is>
      </c>
    </row>
    <row r="448" ht="23.85" customHeight="1" s="53">
      <c r="A448" s="73" t="inlineStr">
        <is>
          <t>Déclencheur ajouté</t>
        </is>
      </c>
      <c r="B448" s="65" t="inlineStr">
        <is>
          <t>D51</t>
        </is>
      </c>
      <c r="C448" s="68" t="inlineStr">
        <is>
          <t>Déclencheur nouveau</t>
        </is>
      </c>
      <c r="D448" s="68" t="inlineStr">
        <is>
          <t>—</t>
        </is>
      </c>
      <c r="E448" s="68" t="inlineStr">
        <is>
          <t>RH-48.01 · Chaque personne a-t-elle des objectifs clairs, écrits et revus avec vous ? → Toute réponse sauf « Pour personne »</t>
        </is>
      </c>
    </row>
    <row r="449" ht="23.85" customHeight="1" s="53">
      <c r="A449" s="73" t="inlineStr">
        <is>
          <t>Déclencheur ajouté</t>
        </is>
      </c>
      <c r="B449" s="65" t="inlineStr">
        <is>
          <t>D52</t>
        </is>
      </c>
      <c r="C449" s="68" t="inlineStr">
        <is>
          <t>Déclencheur nouveau</t>
        </is>
      </c>
      <c r="D449" s="68" t="inlineStr">
        <is>
          <t>—</t>
        </is>
      </c>
      <c r="E449" s="68" t="inlineStr">
        <is>
          <t>RH-49.01 · Combien de responsables encadrent une partie de l'équipe, et combien de personnes chacun suit-il au plus ? → Plus de 0 responsable</t>
        </is>
      </c>
    </row>
    <row r="450" ht="35.05" customHeight="1" s="53">
      <c r="A450" s="73" t="inlineStr">
        <is>
          <t>Déclencheur ajouté</t>
        </is>
      </c>
      <c r="B450" s="65" t="inlineStr">
        <is>
          <t>D53</t>
        </is>
      </c>
      <c r="C450" s="68" t="inlineStr">
        <is>
          <t>Déclencheur nouveau</t>
        </is>
      </c>
      <c r="D450" s="68" t="inlineStr">
        <is>
          <t>—</t>
        </is>
      </c>
      <c r="E450" s="68" t="inlineStr">
        <is>
          <t>RH-25.01 · Sur les 12 derniers mois, combien de jours de formation l'équipe a-t-elle suivis, et la transmission entre collègues est-elle organisée ? → Plus de 0 jour de formation</t>
        </is>
      </c>
    </row>
    <row r="451" ht="23.85" customHeight="1" s="53">
      <c r="A451" s="73" t="inlineStr">
        <is>
          <t>Déclencheur ajouté</t>
        </is>
      </c>
      <c r="B451" s="65" t="inlineStr">
        <is>
          <t>D54</t>
        </is>
      </c>
      <c r="C451" s="68" t="inlineStr">
        <is>
          <t>Déclencheur nouveau</t>
        </is>
      </c>
      <c r="D451" s="68" t="inlineStr">
        <is>
          <t>—</t>
        </is>
      </c>
      <c r="E451" s="68" t="inlineStr">
        <is>
          <t>RH-32.01 · Sur les 12 derniers mois, combien de personnes sont parties, et pour quelle raison ? → Plus de 0 départ</t>
        </is>
      </c>
    </row>
    <row r="452" ht="23.85" customHeight="1" s="53">
      <c r="A452" s="73" t="inlineStr">
        <is>
          <t>Déclencheur ajouté</t>
        </is>
      </c>
      <c r="B452" s="65" t="inlineStr">
        <is>
          <t>D55</t>
        </is>
      </c>
      <c r="C452" s="68" t="inlineStr">
        <is>
          <t>Déclencheur nouveau</t>
        </is>
      </c>
      <c r="D452" s="68" t="inlineStr">
        <is>
          <t>—</t>
        </is>
      </c>
      <c r="E452" s="68" t="inlineStr">
        <is>
          <t>RH-34.01 · Sur les 12 derniers mois, combien de jours d'absence l'équipe a-t-elle eus, hors congés ? → Plus de 0 jour</t>
        </is>
      </c>
    </row>
    <row r="453" ht="23.85" customHeight="1" s="53">
      <c r="A453" s="73" t="inlineStr">
        <is>
          <t>Déclencheur ajouté</t>
        </is>
      </c>
      <c r="B453" s="65" t="inlineStr">
        <is>
          <t>D56</t>
        </is>
      </c>
      <c r="C453" s="68" t="inlineStr">
        <is>
          <t>Déclencheur nouveau</t>
        </is>
      </c>
      <c r="D453" s="68" t="inlineStr">
        <is>
          <t>—</t>
        </is>
      </c>
      <c r="E453" s="68" t="inlineStr">
        <is>
          <t>COM-05.01 · Proposez-vous une garantie à vos clients ? → Toute réponse sauf « Aucune »</t>
        </is>
      </c>
    </row>
    <row r="454" ht="23.85" customHeight="1" s="53">
      <c r="A454" s="73" t="inlineStr">
        <is>
          <t>Déclencheur ajouté</t>
        </is>
      </c>
      <c r="B454" s="65" t="inlineStr">
        <is>
          <t>D57</t>
        </is>
      </c>
      <c r="C454" s="68" t="inlineStr">
        <is>
          <t>Déclencheur nouveau</t>
        </is>
      </c>
      <c r="D454" s="68" t="inlineStr">
        <is>
          <t>—</t>
        </is>
      </c>
      <c r="E454" s="68" t="inlineStr">
        <is>
          <t>RH-37.01 · En dehors de vous, quelles personnes bloquent l'activité quand elles sont absentes ? → Au moins une personne nommée</t>
        </is>
      </c>
    </row>
    <row r="455" ht="35.05" customHeight="1" s="53">
      <c r="A455" s="73" t="inlineStr">
        <is>
          <t>Déclencheur ajouté</t>
        </is>
      </c>
      <c r="B455" s="65" t="inlineStr">
        <is>
          <t>D58</t>
        </is>
      </c>
      <c r="C455" s="68" t="inlineStr">
        <is>
          <t>Déclencheur nouveau</t>
        </is>
      </c>
      <c r="D455" s="68" t="inlineStr">
        <is>
          <t>—</t>
        </is>
      </c>
      <c r="E455" s="68" t="inlineStr">
        <is>
          <t>COM-15.03 · Quand avez-vous écrit à votre fichier pour la dernière fois, et combien d'envois avez-vous faits sur les 6 derniers mois ? → Plus de 0 envoi</t>
        </is>
      </c>
    </row>
    <row r="456" ht="35.05" customHeight="1" s="53">
      <c r="A456" s="73" t="inlineStr">
        <is>
          <t>Déclencheur ajouté</t>
        </is>
      </c>
      <c r="B456" s="65" t="inlineStr">
        <is>
          <t>D59</t>
        </is>
      </c>
      <c r="C456" s="68" t="inlineStr">
        <is>
          <t>Déclencheur nouveau</t>
        </is>
      </c>
      <c r="D456" s="68" t="inlineStr">
        <is>
          <t>—</t>
        </is>
      </c>
      <c r="E456" s="68" t="inlineStr">
        <is>
          <t>COM-23.01 · En moyenne sur les 3 derniers mois, combien de messages privés recevez-vous par mois sur chaque messagerie, dont combien de demandes commerciales ? → Plus de 0 message</t>
        </is>
      </c>
    </row>
    <row r="457" ht="35.05" customHeight="1" s="53">
      <c r="A457" s="73" t="inlineStr">
        <is>
          <t>Déclencheur ajouté</t>
        </is>
      </c>
      <c r="B457" s="65" t="inlineStr">
        <is>
          <t>D60</t>
        </is>
      </c>
      <c r="C457" s="68" t="inlineStr">
        <is>
          <t>Déclencheur nouveau</t>
        </is>
      </c>
      <c r="D457" s="68" t="inlineStr">
        <is>
          <t>—</t>
        </is>
      </c>
      <c r="E457" s="68" t="inlineStr">
        <is>
          <t>COM-31.01 · Sur une semaine habituelle, combien d'heures passez-vous, vous et votre équipe, sur chaque tâche de communication ? → Plus de 0 heure</t>
        </is>
      </c>
    </row>
    <row r="458" ht="35.05" customHeight="1" s="53">
      <c r="A458" s="73" t="inlineStr">
        <is>
          <t>Déclencheur ajouté</t>
        </is>
      </c>
      <c r="B458" s="65" t="inlineStr">
        <is>
          <t>D61</t>
        </is>
      </c>
      <c r="C458" s="68" t="inlineStr">
        <is>
          <t>Déclencheur nouveau</t>
        </is>
      </c>
      <c r="D458" s="68" t="inlineStr">
        <is>
          <t>—</t>
        </is>
      </c>
      <c r="E458" s="68" t="inlineStr">
        <is>
          <t>COM-44.01 · Sur votre fiche Google, combien d'avis avez-vous, quelle est votre note, et combien d'avis avez-vous reçus sur les 6 derniers mois ? → Plus de 0 avis</t>
        </is>
      </c>
    </row>
    <row r="459" ht="23.85" customHeight="1" s="53">
      <c r="A459" s="73" t="inlineStr">
        <is>
          <t>Déclencheur ajouté</t>
        </is>
      </c>
      <c r="B459" s="65" t="inlineStr">
        <is>
          <t>D62</t>
        </is>
      </c>
      <c r="C459" s="68" t="inlineStr">
        <is>
          <t>Déclencheur nouveau</t>
        </is>
      </c>
      <c r="D459" s="68" t="inlineStr">
        <is>
          <t>—</t>
        </is>
      </c>
      <c r="E459" s="68" t="inlineStr">
        <is>
          <t>COM-45.01 · Demandez-vous un avis à vos clients ? → Toute réponse sauf « Jamais »</t>
        </is>
      </c>
    </row>
    <row r="460" ht="23.85" customHeight="1" s="53">
      <c r="A460" s="73" t="inlineStr">
        <is>
          <t>Déclencheur ajouté</t>
        </is>
      </c>
      <c r="B460" s="65" t="inlineStr">
        <is>
          <t>D63</t>
        </is>
      </c>
      <c r="C460" s="68" t="inlineStr">
        <is>
          <t>Déclencheur nouveau</t>
        </is>
      </c>
      <c r="D460" s="68" t="inlineStr">
        <is>
          <t>—</t>
        </is>
      </c>
      <c r="E460" s="68" t="inlineStr">
        <is>
          <t>COM-26.01 · Sur les 3 derniers mois, combien avez-vous publié de contenus de chaque format, tous réseaux confondus ? → Plus de 0 vidéo</t>
        </is>
      </c>
    </row>
    <row r="461" ht="23.85" customHeight="1" s="53">
      <c r="A461" s="73" t="inlineStr">
        <is>
          <t>Déclencheur ajouté</t>
        </is>
      </c>
      <c r="B461" s="65" t="inlineStr">
        <is>
          <t>D64</t>
        </is>
      </c>
      <c r="C461" s="68" t="inlineStr">
        <is>
          <t>Déclencheur nouveau</t>
        </is>
      </c>
      <c r="D461" s="68" t="inlineStr">
        <is>
          <t>—</t>
        </is>
      </c>
      <c r="E461" s="68" t="inlineStr">
        <is>
          <t>COM-60.01 · Quand quelqu'un clique sur le lien de votre profil, sur quelle page arrive-t-il ? → Toute réponse qui mène vers une page</t>
        </is>
      </c>
    </row>
    <row r="462" ht="35.05" customHeight="1" s="53">
      <c r="A462" s="73" t="inlineStr">
        <is>
          <t>Déclencheur ajouté</t>
        </is>
      </c>
      <c r="B462" s="65" t="inlineStr">
        <is>
          <t>D65</t>
        </is>
      </c>
      <c r="C462" s="68" t="inlineStr">
        <is>
          <t>Déclencheur nouveau</t>
        </is>
      </c>
      <c r="D462" s="68" t="inlineStr">
        <is>
          <t>—</t>
        </is>
      </c>
      <c r="E462" s="68" t="inlineStr">
        <is>
          <t>COM-61.01 · Que faites-vous des personnes qui réagissent à vos publications ou vous écrivent, sans devenir clientes ? → « Je leur écris en message privé »</t>
        </is>
      </c>
    </row>
    <row r="463" ht="23.85" customHeight="1" s="53">
      <c r="A463" s="74" t="inlineStr">
        <is>
          <t>Déclencheur</t>
        </is>
      </c>
      <c r="B463" s="65" t="inlineStr">
        <is>
          <t>D03</t>
        </is>
      </c>
      <c r="C463" s="68" t="inlineStr">
        <is>
          <t>Déclencheur : question</t>
        </is>
      </c>
      <c r="D463" s="68" t="inlineStr">
        <is>
          <t>Canaux qui vous amènent des clients</t>
        </is>
      </c>
      <c r="E463" s="68" t="inlineStr">
        <is>
          <t>ACQ-03.01 · Sur les 12 derniers mois, par quels canaux vos clients sont-ils arrivés jusqu'à vous ?</t>
        </is>
      </c>
    </row>
    <row r="464" ht="57.45" customHeight="1" s="53">
      <c r="A464" s="74" t="inlineStr">
        <is>
          <t>Déclencheur</t>
        </is>
      </c>
      <c r="B464" s="65" t="inlineStr">
        <is>
          <t>D03</t>
        </is>
      </c>
      <c r="C464" s="68" t="inlineStr">
        <is>
          <t>Déclencheur : reponses</t>
        </is>
      </c>
      <c r="D464" s="68" t="inlineStr">
        <is>
          <t>Cases : bouche-à-oreille, fiche Google, site, réseaux sociaux, publicité, plateformes, partenaires, prospection, passage, salons</t>
        </is>
      </c>
      <c r="E464" s="68" t="inlineStr">
        <is>
          <t>Cases : Bouche-à-oreille · Fiche Google · Site internet · Réseaux sociaux · Publicité en ligne · Publicité locale · Plateformes · Annuaires · Partenaires · Prospection · Emailing et SMS · Passage · Salons et événements · Réseaux d'affaires · Appels d'offres · Réseau ou enseigne · Autre</t>
        </is>
      </c>
    </row>
    <row r="465" ht="23.85" customHeight="1" s="53">
      <c r="A465" s="74" t="inlineStr">
        <is>
          <t>Déclencheur</t>
        </is>
      </c>
      <c r="B465" s="65" t="inlineStr">
        <is>
          <t>D17</t>
        </is>
      </c>
      <c r="C465" s="68" t="inlineStr">
        <is>
          <t>Déclencheur : question</t>
        </is>
      </c>
      <c r="D465" s="68" t="inlineStr">
        <is>
          <t>Avez-vous un programme de parrainage ?</t>
        </is>
      </c>
      <c r="E465" s="68" t="inlineStr">
        <is>
          <t>ACQ-18.02 · Avez-vous un programme de parrainage, qui récompense un client quand il vous en recommande un autre ?</t>
        </is>
      </c>
    </row>
    <row r="466" ht="15" customHeight="1" s="53">
      <c r="A466" s="74" t="inlineStr">
        <is>
          <t>Déclencheur</t>
        </is>
      </c>
      <c r="B466" s="65" t="inlineStr">
        <is>
          <t>D17</t>
        </is>
      </c>
      <c r="C466" s="68" t="inlineStr">
        <is>
          <t>Déclencheur : effet</t>
        </is>
      </c>
      <c r="D466" s="68" t="inlineStr">
        <is>
          <t>Clients venus par parrainage</t>
        </is>
      </c>
      <c r="E466" s="68" t="inlineStr">
        <is>
          <t>Oui : ouvre ACQ-18.07 (valeur de la récompense) et ACQ-18.03</t>
        </is>
      </c>
    </row>
    <row r="467" ht="15" customHeight="1" s="53">
      <c r="A467" s="74" t="inlineStr">
        <is>
          <t>Déclencheur</t>
        </is>
      </c>
      <c r="B467" s="65" t="inlineStr">
        <is>
          <t>D21</t>
        </is>
      </c>
      <c r="C467" s="68" t="inlineStr">
        <is>
          <t>Déclencheur : question</t>
        </is>
      </c>
      <c r="D467" s="68" t="inlineStr">
        <is>
          <t>Publiez-vous déjà sur les réseaux sociaux ?</t>
        </is>
      </c>
      <c r="E467" s="68" t="inlineStr">
        <is>
          <t>COM-10.07 · Publiez-vous pour votre entreprise sur les réseaux sociaux ?</t>
        </is>
      </c>
    </row>
    <row r="468" ht="15" customHeight="1" s="53">
      <c r="A468" s="74" t="inlineStr">
        <is>
          <t>Déclencheur</t>
        </is>
      </c>
      <c r="B468" s="65" t="inlineStr">
        <is>
          <t>D21</t>
        </is>
      </c>
      <c r="C468" s="68" t="inlineStr">
        <is>
          <t>Déclencheur : reponses</t>
        </is>
      </c>
      <c r="D468" s="68" t="inlineStr">
        <is>
          <t>Oui · non</t>
        </is>
      </c>
      <c r="E468" s="68" t="inlineStr">
        <is>
          <t>Oui, au moins une fois par mois · Rarement ou plus du tout · Non, jamais</t>
        </is>
      </c>
    </row>
    <row r="469" ht="57.45" customHeight="1" s="53">
      <c r="A469" s="74" t="inlineStr">
        <is>
          <t>Déclencheur</t>
        </is>
      </c>
      <c r="B469" s="65" t="inlineStr">
        <is>
          <t>D21</t>
        </is>
      </c>
      <c r="C469" s="68" t="inlineStr">
        <is>
          <t>Déclencheur : effet</t>
        </is>
      </c>
      <c r="D469" s="68" t="inlineStr">
        <is>
          <t>Oui : diagnostic de performance (audience, engagement, clics, publications, qualité). Non : parcours de démarrage (réseaux de la cible, temps disponible, contacts existants) et premiers contenus</t>
        </is>
      </c>
      <c r="E469" s="68" t="inlineStr">
        <is>
          <t>Oui : diagnostic de performance (audience, engagement, clics, publications, qualité). Non : parcours de démarrage (réseaux de la cible, temps disponible, contacts existants) et premiers contenus « Oui, au moins une fois par mois » ouvre le parcours amélioration ; les deux autres réponses, le parcours mise en place.</t>
        </is>
      </c>
    </row>
    <row r="470" ht="23.85" customHeight="1" s="53">
      <c r="A470" s="74" t="inlineStr">
        <is>
          <t>Déclencheur</t>
        </is>
      </c>
      <c r="B470" s="65" t="inlineStr">
        <is>
          <t>D22</t>
        </is>
      </c>
      <c r="C470" s="68" t="inlineStr">
        <is>
          <t>Déclencheur : question</t>
        </is>
      </c>
      <c r="D470" s="68" t="inlineStr">
        <is>
          <t>Réseaux réellement utilisés, et date d'ouverture de chacun</t>
        </is>
      </c>
      <c r="E470" s="68" t="inlineStr">
        <is>
          <t>COM-10.08 · Sur quels réseaux publiez-vous ?</t>
        </is>
      </c>
    </row>
    <row r="471" ht="23.85" customHeight="1" s="53">
      <c r="A471" s="74" t="inlineStr">
        <is>
          <t>Déclencheur</t>
        </is>
      </c>
      <c r="B471" s="65" t="inlineStr">
        <is>
          <t>D22</t>
        </is>
      </c>
      <c r="C471" s="68" t="inlineStr">
        <is>
          <t>Déclencheur : reponses</t>
        </is>
      </c>
      <c r="D471" s="68" t="inlineStr">
        <is>
          <t>Cases : LinkedIn, Instagram, Facebook, TikTok, YouTube, X, Pinterest, autre + date</t>
        </is>
      </c>
      <c r="E471" s="68" t="inlineStr">
        <is>
          <t>Cases : LinkedIn · Instagram · Facebook · TikTok · YouTube · X · Pinterest · Autre</t>
        </is>
      </c>
    </row>
    <row r="472" ht="23.85" customHeight="1" s="53">
      <c r="A472" s="74" t="inlineStr">
        <is>
          <t>Déclencheur</t>
        </is>
      </c>
      <c r="B472" s="65" t="inlineStr">
        <is>
          <t>D23</t>
        </is>
      </c>
      <c r="C472" s="68" t="inlineStr">
        <is>
          <t>Déclencheur : question</t>
        </is>
      </c>
      <c r="D472" s="68" t="inlineStr">
        <is>
          <t>Avez-vous un site ? Mesurez-vous ses visites avec un outil ?</t>
        </is>
      </c>
      <c r="E472" s="68" t="inlineStr">
        <is>
          <t>COM-13.10 · Avez-vous un site internet ?</t>
        </is>
      </c>
    </row>
    <row r="473" ht="23.85" customHeight="1" s="53">
      <c r="A473" s="74" t="inlineStr">
        <is>
          <t>Déclencheur</t>
        </is>
      </c>
      <c r="B473" s="65" t="inlineStr">
        <is>
          <t>D24</t>
        </is>
      </c>
      <c r="C473" s="68" t="inlineStr">
        <is>
          <t>Déclencheur : question</t>
        </is>
      </c>
      <c r="D473" s="68" t="inlineStr">
        <is>
          <t>Avez-vous un fichier de contacts ou une base email ?</t>
        </is>
      </c>
      <c r="E473" s="68" t="inlineStr">
        <is>
          <t>COM-15.12 · Avez-vous un fichier de contacts : clients ou futurs clients, avec leur email ou leur téléphone ?</t>
        </is>
      </c>
    </row>
    <row r="474" ht="23.85" customHeight="1" s="53">
      <c r="A474" s="74" t="inlineStr">
        <is>
          <t>Déclencheur</t>
        </is>
      </c>
      <c r="B474" s="65" t="inlineStr">
        <is>
          <t>D26</t>
        </is>
      </c>
      <c r="C474" s="68" t="inlineStr">
        <is>
          <t>Déclencheur : question</t>
        </is>
      </c>
      <c r="D474" s="68" t="inlineStr">
        <is>
          <t>Avez-vous accès aux statistiques de vos réseaux, ou les connectez-vous ?</t>
        </is>
      </c>
      <c r="E474" s="68" t="inlineStr">
        <is>
          <t>COM-39.07 · Avez-vous accès aux statistiques de vos publications ?</t>
        </is>
      </c>
    </row>
    <row r="475" ht="15" customHeight="1" s="53">
      <c r="A475" s="74" t="inlineStr">
        <is>
          <t>Déclencheur</t>
        </is>
      </c>
      <c r="B475" s="65" t="inlineStr">
        <is>
          <t>D26</t>
        </is>
      </c>
      <c r="C475" s="68" t="inlineStr">
        <is>
          <t>Déclencheur : reponses</t>
        </is>
      </c>
      <c r="D475" s="68" t="inlineStr">
        <is>
          <t>Connecté · accès manuel · non</t>
        </is>
      </c>
      <c r="E475" s="68" t="inlineStr">
        <is>
          <t>Oui · non</t>
        </is>
      </c>
    </row>
    <row r="476" ht="46.25" customHeight="1" s="53">
      <c r="A476" s="74" t="inlineStr">
        <is>
          <t>Déclencheur</t>
        </is>
      </c>
      <c r="B476" s="65" t="inlineStr">
        <is>
          <t>D26</t>
        </is>
      </c>
      <c r="C476" s="68" t="inlineStr">
        <is>
          <t>Déclencheur : effet</t>
        </is>
      </c>
      <c r="D476" s="68" t="inlineStr">
        <is>
          <t>Connecté : statistiques des 10 dernières publications lues automatiquement. Accès manuel : saisie des 3 meilleures et 3 moins bonnes. Non : estimations en tranches</t>
        </is>
      </c>
      <c r="E476" s="68" t="inlineStr">
        <is>
          <t>Oui : saisie des statistiques des 3 meilleures et 3 moins bonnes publications ; lecture automatique quand la connexion existera. Non : estimations.</t>
        </is>
      </c>
    </row>
  </sheetData>
  <autoFilter ref="A38:E476"/>
  <mergeCells count="14">
    <mergeCell ref="B31:E31"/>
    <mergeCell ref="B27:E27"/>
    <mergeCell ref="A4:E4"/>
    <mergeCell ref="B35:E35"/>
    <mergeCell ref="A26:E26"/>
    <mergeCell ref="A2:E2"/>
    <mergeCell ref="B30:E30"/>
    <mergeCell ref="B29:E29"/>
    <mergeCell ref="B33:E33"/>
    <mergeCell ref="A1:E1"/>
    <mergeCell ref="A37:E37"/>
    <mergeCell ref="B34:E34"/>
    <mergeCell ref="B28:E28"/>
    <mergeCell ref="B32:E32"/>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12" customWidth="1" style="53" min="1" max="1"/>
    <col width="16" customWidth="1" style="53" min="2" max="2"/>
    <col width="48" customWidth="1" style="53" min="3" max="3"/>
    <col width="60" customWidth="1" style="53" min="4" max="4"/>
    <col width="70" customWidth="1" style="53" min="5" max="5"/>
  </cols>
  <sheetData>
    <row r="1">
      <c r="A1" t="inlineStr">
        <is>
          <t>Code</t>
        </is>
      </c>
      <c r="B1" t="inlineStr">
        <is>
          <t>Champ</t>
        </is>
      </c>
      <c r="C1" t="inlineStr">
        <is>
          <t>Avant</t>
        </is>
      </c>
      <c r="D1" t="inlineStr">
        <is>
          <t>Après</t>
        </is>
      </c>
      <c r="E1" t="inlineStr">
        <is>
          <t>Pourquoi</t>
        </is>
      </c>
    </row>
    <row r="2">
      <c r="A2" t="inlineStr">
        <is>
          <t>ACQ-02.02</t>
        </is>
      </c>
      <c r="B2" t="inlineStr">
        <is>
          <t>periode</t>
        </is>
      </c>
      <c r="C2" t="inlineStr">
        <is>
          <t>Si plus de 6 mois d'existence (sinon masquée)</t>
        </is>
      </c>
      <c r="D2" t="inlineStr">
        <is>
          <t>3 mois, 6 mois plus tôt (masquée avant 9 mois d'existence)</t>
        </is>
      </c>
      <c r="E2" t="inlineStr">
        <is>
          <t>Comparée à la moyenne des 3 derniers mois (ACQ-02.01) : mêmes 3 mois de longueur, 6 mois plus tôt. Avant 9 mois, ces mois précèdent la création.</t>
        </is>
      </c>
    </row>
    <row r="3">
      <c r="A3" t="inlineStr">
        <is>
          <t>ACQ-02.03</t>
        </is>
      </c>
      <c r="B3" t="inlineStr">
        <is>
          <t>periode</t>
        </is>
      </c>
      <c r="C3" t="inlineStr">
        <is>
          <t>Si plus de 12 mois d'existence (sinon masquée)</t>
        </is>
      </c>
      <c r="D3" t="inlineStr">
        <is>
          <t>Mêmes 3 mois, un an plus tôt (masquée avant 15 mois d'existence)</t>
        </is>
      </c>
      <c r="E3" t="inlineStr">
        <is>
          <t>« Il y a un an, à la même période » ne disait pas quels mois : ce sont les mêmes 3 mois qu'ACQ-02.01, un an plus tôt. Avant 15 mois, ils précèdent la création.</t>
        </is>
      </c>
    </row>
    <row r="4">
      <c r="A4" t="inlineStr">
        <is>
          <t>ACQ-11.02</t>
        </is>
      </c>
      <c r="B4" t="inlineStr">
        <is>
          <t>periode</t>
        </is>
      </c>
      <c r="C4" t="inlineStr">
        <is>
          <t>Si plus de 12 mois d'existence (sinon masquée)</t>
        </is>
      </c>
      <c r="D4" t="inlineStr">
        <is>
          <t>Mêmes 3 mois, un an plus tôt (masquée avant 15 mois d'existence)</t>
        </is>
      </c>
      <c r="E4" t="inlineStr">
        <is>
          <t>Comme ACQ-02.03, pour les nouveaux clients (comparée à ACQ-11.01).</t>
        </is>
      </c>
    </row>
    <row r="5">
      <c r="A5" t="inlineStr">
        <is>
          <t>ACQ-03.06</t>
        </is>
      </c>
      <c r="B5" t="inlineStr">
        <is>
          <t>periode</t>
        </is>
      </c>
      <c r="C5" t="inlineStr">
        <is>
          <t>Période adaptée : depuis la création si moins de 12 mois</t>
        </is>
      </c>
      <c r="D5" t="inlineStr">
        <is>
          <t>12 mois précédents (masquée avant 24 mois d'existence)</t>
        </is>
      </c>
      <c r="E5" t="inlineStr">
        <is>
          <t>Compare les 12 derniers mois aux 12 mois précédents : il faut 24 mois d'existence. « Période adaptée » posait la question à une entreprise de 13 mois.</t>
        </is>
      </c>
    </row>
    <row r="6">
      <c r="A6" t="inlineStr">
        <is>
          <t>ACQ-06.07</t>
        </is>
      </c>
      <c r="B6" t="inlineStr">
        <is>
          <t>periode</t>
        </is>
      </c>
      <c r="C6" t="inlineStr">
        <is>
          <t>—</t>
        </is>
      </c>
      <c r="D6" t="inlineStr">
        <is>
          <t>Période adaptée : depuis la création si moins de 3 mois</t>
        </is>
      </c>
      <c r="E6" t="inlineStr">
        <is>
          <t>Période déjà écrite dans la question (moyenne des 3 derniers mois) ; nécessaire pour la comparer à COM-13.06.</t>
        </is>
      </c>
    </row>
    <row r="7">
      <c r="A7" t="inlineStr">
        <is>
          <t>ACQ-07.05</t>
        </is>
      </c>
      <c r="B7" t="inlineStr">
        <is>
          <t>periode</t>
        </is>
      </c>
      <c r="C7" t="inlineStr">
        <is>
          <t>Si plus de 12 mois d'existence (sinon masquée)</t>
        </is>
      </c>
      <c r="D7" t="inlineStr">
        <is>
          <t>Il y a 12 mois (masquée avant 12 mois d'existence)</t>
        </is>
      </c>
      <c r="E7" t="inlineStr">
        <is>
          <t>Même masquage ; le mois comparé est maintenant précisé.</t>
        </is>
      </c>
    </row>
    <row r="8">
      <c r="A8" t="inlineStr">
        <is>
          <t>ACQ-03.05</t>
        </is>
      </c>
      <c r="B8" t="inlineStr">
        <is>
          <t>periode</t>
        </is>
      </c>
      <c r="C8" t="inlineStr">
        <is>
          <t>—</t>
        </is>
      </c>
      <c r="D8" t="inlineStr">
        <is>
          <t>Aujourd'hui</t>
        </is>
      </c>
      <c r="E8" t="inlineStr">
        <is>
          <t>Montant par mois actuel, comparé au budget d'il y a 12 mois (ACQ-07.05).</t>
        </is>
      </c>
    </row>
    <row r="9">
      <c r="A9" t="inlineStr">
        <is>
          <t>ACQ-07.01</t>
        </is>
      </c>
      <c r="B9" t="inlineStr">
        <is>
          <t>periode</t>
        </is>
      </c>
      <c r="C9" t="inlineStr">
        <is>
          <t>—</t>
        </is>
      </c>
      <c r="D9" t="inlineStr">
        <is>
          <t>Aujourd'hui</t>
        </is>
      </c>
      <c r="E9" t="inlineStr">
        <is>
          <t>Montant par mois actuel, comparé au budget d'il y a 12 mois (ACQ-07.05).</t>
        </is>
      </c>
    </row>
    <row r="10">
      <c r="A10" t="inlineStr">
        <is>
          <t>ACQ-07.03</t>
        </is>
      </c>
      <c r="B10" t="inlineStr">
        <is>
          <t>periode</t>
        </is>
      </c>
      <c r="C10" t="inlineStr">
        <is>
          <t>—</t>
        </is>
      </c>
      <c r="D10" t="inlineStr">
        <is>
          <t>Aujourd'hui</t>
        </is>
      </c>
      <c r="E10" t="inlineStr">
        <is>
          <t>Montant par mois actuel, comparé au budget d'il y a 12 mois (ACQ-07.05).</t>
        </is>
      </c>
    </row>
    <row r="11">
      <c r="A11" t="inlineStr">
        <is>
          <t>ACQ-07.04</t>
        </is>
      </c>
      <c r="B11" t="inlineStr">
        <is>
          <t>periode</t>
        </is>
      </c>
      <c r="C11" t="inlineStr">
        <is>
          <t>—</t>
        </is>
      </c>
      <c r="D11" t="inlineStr">
        <is>
          <t>Aujourd'hui</t>
        </is>
      </c>
      <c r="E11" t="inlineStr">
        <is>
          <t>Montant par mois actuel, comparé au budget d'il y a 12 mois (ACQ-07.05).</t>
        </is>
      </c>
    </row>
    <row r="12">
      <c r="A12" t="inlineStr">
        <is>
          <t>ACQ-16.03</t>
        </is>
      </c>
      <c r="B12" t="inlineStr">
        <is>
          <t>periode</t>
        </is>
      </c>
      <c r="C12" t="inlineStr">
        <is>
          <t>Période adaptée : depuis la création si moins de 12 mois</t>
        </is>
      </c>
      <c r="D12" t="inlineStr">
        <is>
          <t>12 mois précédents (masquée avant 24 mois d'existence)</t>
        </is>
      </c>
      <c r="E12" t="inlineStr">
        <is>
          <t>« L'année d'avant » est comparée aux 12 derniers mois (ACQ-16.01) : il faut 24 mois. « Période adaptée » la posait dès la création.</t>
        </is>
      </c>
    </row>
    <row r="13">
      <c r="A13" t="inlineStr">
        <is>
          <t>ACQ-17.10</t>
        </is>
      </c>
      <c r="B13" t="inlineStr">
        <is>
          <t>periode</t>
        </is>
      </c>
      <c r="C13" t="inlineStr">
        <is>
          <t>—</t>
        </is>
      </c>
      <c r="D13" t="inlineStr">
        <is>
          <t>Aujourd'hui</t>
        </is>
      </c>
      <c r="E13" t="inlineStr">
        <is>
          <t>Comparée à ACQ-17.12 (il y a 6 et 12 mois).</t>
        </is>
      </c>
    </row>
    <row r="14">
      <c r="A14" t="inlineStr">
        <is>
          <t>ACQ-23.03</t>
        </is>
      </c>
      <c r="B14" t="inlineStr">
        <is>
          <t>periode</t>
        </is>
      </c>
      <c r="C14" t="inlineStr">
        <is>
          <t>Si plus de 24 mois d'existence (sinon masquée)</t>
        </is>
      </c>
      <c r="D14" t="inlineStr">
        <is>
          <t>Mêmes 12 mois, un an plus tôt (depuis la création si plus récente ; masquée avant 13 mois d'existence)</t>
        </is>
      </c>
      <c r="E14" t="inlineStr">
        <is>
          <t>Chaque ligne est un mois, un an avant la ligne correspondante d'ACQ-23.01 ; les mois antérieurs à la création ne sont pas posés. Avant : masquée jusqu'à 24 mois.</t>
        </is>
      </c>
    </row>
    <row r="15">
      <c r="A15" t="inlineStr">
        <is>
          <t>COM-13.06</t>
        </is>
      </c>
      <c r="B15" t="inlineStr">
        <is>
          <t>periode</t>
        </is>
      </c>
      <c r="C15" t="inlineStr">
        <is>
          <t>Si le site et l'outil de mesure existent depuis plus de 6 mois</t>
        </is>
      </c>
      <c r="D15" t="inlineStr">
        <is>
          <t>3 mois, 6 mois plus tôt (masquée avant 9 mois d'existence)</t>
        </is>
      </c>
      <c r="E15" t="inlineStr">
        <is>
          <t>Comparée à la moyenne des 3 derniers mois (ACQ-06.07). L'âge du site n'est pas connu de CAXE : l'aide le précise.</t>
        </is>
      </c>
    </row>
    <row r="16">
      <c r="A16" t="inlineStr">
        <is>
          <t>COM-17.01</t>
        </is>
      </c>
      <c r="B16" t="inlineStr">
        <is>
          <t>periode</t>
        </is>
      </c>
      <c r="C16" t="inlineStr">
        <is>
          <t>—</t>
        </is>
      </c>
      <c r="D16" t="inlineStr">
        <is>
          <t>Aujourd'hui</t>
        </is>
      </c>
      <c r="E16" t="inlineStr">
        <is>
          <t>Comparée aux abonnés d'il y a 6 mois (COM-37.01).</t>
        </is>
      </c>
    </row>
    <row r="17">
      <c r="A17" t="inlineStr">
        <is>
          <t>COM-32.02</t>
        </is>
      </c>
      <c r="B17" t="inlineStr">
        <is>
          <t>periode</t>
        </is>
      </c>
      <c r="C17" t="inlineStr">
        <is>
          <t>—</t>
        </is>
      </c>
      <c r="D17" t="inlineStr">
        <is>
          <t>Aujourd'hui</t>
        </is>
      </c>
      <c r="E17" t="inlineStr">
        <is>
          <t>Montant par mois actuel, comparé à COM-32.03 (il y a 12 mois).</t>
        </is>
      </c>
    </row>
    <row r="18">
      <c r="A18" t="inlineStr">
        <is>
          <t>COM-32.03</t>
        </is>
      </c>
      <c r="B18" t="inlineStr">
        <is>
          <t>periode</t>
        </is>
      </c>
      <c r="C18" t="inlineStr">
        <is>
          <t>Si plus de 12 mois d'existence (sinon masquée)</t>
        </is>
      </c>
      <c r="D18" t="inlineStr">
        <is>
          <t>Il y a 12 mois (masquée avant 12 mois d'existence)</t>
        </is>
      </c>
      <c r="E18" t="inlineStr">
        <is>
          <t>Même masquage ; le mois comparé est maintenant précisé.</t>
        </is>
      </c>
    </row>
    <row r="19">
      <c r="A19" t="inlineStr">
        <is>
          <t>FIN-05.01</t>
        </is>
      </c>
      <c r="B19" t="inlineStr">
        <is>
          <t>periode</t>
        </is>
      </c>
      <c r="C19" t="inlineStr">
        <is>
          <t>—</t>
        </is>
      </c>
      <c r="D19" t="inlineStr">
        <is>
          <t>Aujourd'hui</t>
        </is>
      </c>
      <c r="E19" t="inlineStr">
        <is>
          <t>Montant par mois actuel, comparé au total d'il y a 12 mois (FIN-05.03).</t>
        </is>
      </c>
    </row>
    <row r="20">
      <c r="A20" t="inlineStr">
        <is>
          <t>FIN-05.03</t>
        </is>
      </c>
      <c r="B20" t="inlineStr">
        <is>
          <t>periode</t>
        </is>
      </c>
      <c r="C20" t="inlineStr">
        <is>
          <t>Si plus de 12 mois d'existence (sinon masquée)</t>
        </is>
      </c>
      <c r="D20" t="inlineStr">
        <is>
          <t>Il y a 12 mois (masquée avant 12 mois d'existence)</t>
        </is>
      </c>
      <c r="E20" t="inlineStr">
        <is>
          <t>Même masquage ; le mois comparé est maintenant précisé.</t>
        </is>
      </c>
    </row>
    <row r="21">
      <c r="A21" t="inlineStr">
        <is>
          <t>FIN-06.01</t>
        </is>
      </c>
      <c r="B21" t="inlineStr">
        <is>
          <t>periode</t>
        </is>
      </c>
      <c r="C21" t="inlineStr">
        <is>
          <t>—</t>
        </is>
      </c>
      <c r="D21" t="inlineStr">
        <is>
          <t>Période adaptée : depuis la création si moins de 3 mois</t>
        </is>
      </c>
      <c r="E21" t="inlineStr">
        <is>
          <t>Période déjà écrite dans la question ; nécessaire pour la comparer à FIN-06.03.</t>
        </is>
      </c>
    </row>
    <row r="22">
      <c r="A22" t="inlineStr">
        <is>
          <t>FIN-06.03</t>
        </is>
      </c>
      <c r="B22" t="inlineStr">
        <is>
          <t>periode</t>
        </is>
      </c>
      <c r="C22" t="inlineStr">
        <is>
          <t>Si plus de 12 mois d'existence (sinon masquée)</t>
        </is>
      </c>
      <c r="D22" t="inlineStr">
        <is>
          <t>Mêmes 3 mois, un an plus tôt (masquée avant 15 mois d'existence)</t>
        </is>
      </c>
      <c r="E22" t="inlineStr">
        <is>
          <t>Comparée à FIN-06.01 (moyenne des 3 derniers mois) : mêmes mois, un an plus tôt.</t>
        </is>
      </c>
    </row>
    <row r="23">
      <c r="A23" t="inlineStr">
        <is>
          <t>FIN-07.01</t>
        </is>
      </c>
      <c r="B23" t="inlineStr">
        <is>
          <t>periode</t>
        </is>
      </c>
      <c r="C23" t="inlineStr">
        <is>
          <t>—</t>
        </is>
      </c>
      <c r="D23" t="inlineStr">
        <is>
          <t>Période adaptée : depuis la création si moins de 3 mois</t>
        </is>
      </c>
      <c r="E23" t="inlineStr">
        <is>
          <t>Période déjà écrite dans la question ; nécessaire pour la comparer à FIN-07.02.</t>
        </is>
      </c>
    </row>
    <row r="24">
      <c r="A24" t="inlineStr">
        <is>
          <t>FIN-07.02</t>
        </is>
      </c>
      <c r="B24" t="inlineStr">
        <is>
          <t>periode</t>
        </is>
      </c>
      <c r="C24" t="inlineStr">
        <is>
          <t>Si plus de 12 mois d'existence (sinon masquée)</t>
        </is>
      </c>
      <c r="D24" t="inlineStr">
        <is>
          <t>Mêmes 3 mois, un an plus tôt (masquée avant 15 mois d'existence)</t>
        </is>
      </c>
      <c r="E24" t="inlineStr">
        <is>
          <t>« Il y a 12 mois » comparé à la moyenne des 3 derniers mois (FIN-07.01) : ce sont maintenant les mêmes 3 mois, un an plus tôt.</t>
        </is>
      </c>
    </row>
    <row r="25">
      <c r="A25" t="inlineStr">
        <is>
          <t>FIN-08.01</t>
        </is>
      </c>
      <c r="B25" t="inlineStr">
        <is>
          <t>periode</t>
        </is>
      </c>
      <c r="C25" t="inlineStr">
        <is>
          <t>—</t>
        </is>
      </c>
      <c r="D25" t="inlineStr">
        <is>
          <t>Période adaptée : depuis la création si moins de 3 mois</t>
        </is>
      </c>
      <c r="E25" t="inlineStr">
        <is>
          <t>Période déjà écrite dans la question (charges variables des 3 derniers mois).</t>
        </is>
      </c>
    </row>
    <row r="26">
      <c r="A26" t="inlineStr">
        <is>
          <t>FIN-08.02</t>
        </is>
      </c>
      <c r="B26" t="inlineStr">
        <is>
          <t>periode</t>
        </is>
      </c>
      <c r="C26" t="inlineStr">
        <is>
          <t>—</t>
        </is>
      </c>
      <c r="D26" t="inlineStr">
        <is>
          <t>Période adaptée : depuis la création si moins de 3 mois</t>
        </is>
      </c>
      <c r="E26" t="inlineStr">
        <is>
          <t>Période déjà écrite dans la question (charges variables des 3 derniers mois).</t>
        </is>
      </c>
    </row>
    <row r="27">
      <c r="A27" t="inlineStr">
        <is>
          <t>FIN-10.05</t>
        </is>
      </c>
      <c r="B27" t="inlineStr">
        <is>
          <t>periode</t>
        </is>
      </c>
      <c r="C27" t="inlineStr">
        <is>
          <t>Période adaptée : depuis la création si moins de 12 mois</t>
        </is>
      </c>
      <c r="D27" t="inlineStr">
        <is>
          <t>Il y a 12 mois (masquée avant 12 mois d'existence)</t>
        </is>
      </c>
      <c r="E27" t="inlineStr">
        <is>
          <t>La question compare à il y a 12 mois : « Période adaptée » la posait à une entreprise plus jeune.</t>
        </is>
      </c>
    </row>
    <row r="28">
      <c r="A28" t="inlineStr">
        <is>
          <t>FIN-17.04</t>
        </is>
      </c>
      <c r="B28" t="inlineStr">
        <is>
          <t>periode</t>
        </is>
      </c>
      <c r="C28" t="inlineStr">
        <is>
          <t>Si plus de 12 mois d'existence (sinon masquée)</t>
        </is>
      </c>
      <c r="D28" t="inlineStr">
        <is>
          <t>Il y a 12 mois (masquée avant 12 mois d'existence)</t>
        </is>
      </c>
      <c r="E28" t="inlineStr">
        <is>
          <t>Même masquage ; le mois comparé est maintenant précisé.</t>
        </is>
      </c>
    </row>
    <row r="29">
      <c r="A29" t="inlineStr">
        <is>
          <t>FIN-18.06</t>
        </is>
      </c>
      <c r="B29" t="inlineStr">
        <is>
          <t>periode</t>
        </is>
      </c>
      <c r="C29" t="inlineStr">
        <is>
          <t>Si plus de 24 mois d'existence (sinon masquée)</t>
        </is>
      </c>
      <c r="D29" t="inlineStr">
        <is>
          <t>12 mois précédents (masquée avant 24 mois d'existence)</t>
        </is>
      </c>
      <c r="E29" t="inlineStr">
        <is>
          <t>Même masquage ; les mois sont maintenant précisés.</t>
        </is>
      </c>
    </row>
    <row r="30">
      <c r="A30" t="inlineStr">
        <is>
          <t>FIN-37.01</t>
        </is>
      </c>
      <c r="B30" t="inlineStr">
        <is>
          <t>periode</t>
        </is>
      </c>
      <c r="C30" t="inlineStr">
        <is>
          <t>—</t>
        </is>
      </c>
      <c r="D30" t="inlineStr">
        <is>
          <t>Aujourd'hui</t>
        </is>
      </c>
      <c r="E30" t="inlineStr">
        <is>
          <t>Comparée à la valeur d'il y a 12 mois (FIN-37.02).</t>
        </is>
      </c>
    </row>
    <row r="31">
      <c r="A31" t="inlineStr">
        <is>
          <t>FIN-37.02</t>
        </is>
      </c>
      <c r="B31" t="inlineStr">
        <is>
          <t>periode</t>
        </is>
      </c>
      <c r="C31" t="inlineStr">
        <is>
          <t>Si plus de 12 mois d'existence (sinon masquée)</t>
        </is>
      </c>
      <c r="D31" t="inlineStr">
        <is>
          <t>Il y a 12 mois (masquée avant 12 mois d'existence)</t>
        </is>
      </c>
      <c r="E31" t="inlineStr">
        <is>
          <t>Même masquage ; le mois comparé est maintenant précisé.</t>
        </is>
      </c>
    </row>
    <row r="32">
      <c r="A32" t="inlineStr">
        <is>
          <t>FIN-40.02</t>
        </is>
      </c>
      <c r="B32" t="inlineStr">
        <is>
          <t>periode</t>
        </is>
      </c>
      <c r="C32" t="inlineStr">
        <is>
          <t>Si plus de 12 mois d'existence (sinon masquée)</t>
        </is>
      </c>
      <c r="D32" t="inlineStr">
        <is>
          <t>Il y a 12 mois (masquée avant 12 mois d'existence)</t>
        </is>
      </c>
      <c r="E32" t="inlineStr">
        <is>
          <t>Même masquage ; le mois comparé est maintenant précisé.</t>
        </is>
      </c>
    </row>
    <row r="33">
      <c r="A33" t="inlineStr">
        <is>
          <t>RH-05.05</t>
        </is>
      </c>
      <c r="B33" t="inlineStr">
        <is>
          <t>periode</t>
        </is>
      </c>
      <c r="C33" t="inlineStr">
        <is>
          <t>Si plus de 12 mois d'existence (sinon masquée)</t>
        </is>
      </c>
      <c r="D33" t="inlineStr">
        <is>
          <t>Il y a 12 mois (masquée avant 12 mois d'existence)</t>
        </is>
      </c>
      <c r="E33" t="inlineStr">
        <is>
          <t>Même masquage ; le mois comparé est maintenant précisé.</t>
        </is>
      </c>
    </row>
    <row r="34">
      <c r="A34" t="inlineStr">
        <is>
          <t>ACQ-23.03</t>
        </is>
      </c>
      <c r="B34" t="inlineStr">
        <is>
          <t>niveau</t>
        </is>
      </c>
      <c r="C34" t="inlineStr">
        <is>
          <t>Approfondi</t>
        </is>
      </c>
      <c r="D34" t="inlineStr">
        <is>
          <t>Essentiel</t>
        </is>
      </c>
      <c r="E34" t="inlineStr">
        <is>
          <t>Seule source du chiffre d'affaires de l'année précédente, nécessaire aux évolutions prévues dès le niveau essentiel (XA30, XF07).</t>
        </is>
      </c>
    </row>
    <row r="35">
      <c r="A35" t="inlineStr">
        <is>
          <t>ACQ-23.03</t>
        </is>
      </c>
      <c r="B35" t="inlineStr">
        <is>
          <t>donnee</t>
        </is>
      </c>
      <c r="C35" t="inlineStr">
        <is>
          <t>CA des mêmes mois l'année précédente</t>
        </is>
      </c>
      <c r="D35" t="inlineStr">
        <is>
          <t>CA des mêmes mois l'année précédente — partagée avec FIN-14.03</t>
        </is>
      </c>
      <c r="E35" t="inlineStr">
        <is>
          <t>Partage avec la Finance.</t>
        </is>
      </c>
    </row>
    <row r="36">
      <c r="A36" t="inlineStr">
        <is>
          <t>ACQ-02.06</t>
        </is>
      </c>
      <c r="B36" t="inlineStr">
        <is>
          <t>calcul</t>
        </is>
      </c>
      <c r="C36" t="inlineStr">
        <is>
          <t>(Demandes actuelles − demandes passées) ÷ demandes passées</t>
        </is>
      </c>
      <c r="D36" t="inlineStr">
        <is>
          <t>(Moyenne par mois des 3 derniers mois − moyenne par mois des mêmes 3 mois, 6 mois ou un an plus tôt) ÷ cette dernière. Non calculée si les deux réponses ne portent pas sur des mois alignés, ou si le périmètre de l'activité a changé entre les deux périodes (ACQ-23.13).</t>
        </is>
      </c>
      <c r="E36" t="inlineStr">
        <is>
          <t>Périodes comparables (vérification de l'historique, 28 octobre).</t>
        </is>
      </c>
    </row>
    <row r="37">
      <c r="A37" t="inlineStr">
        <is>
          <t>ACQ-02.06</t>
        </is>
      </c>
      <c r="B37" t="inlineStr">
        <is>
          <t>entrees</t>
        </is>
      </c>
      <c r="C37" t="inlineStr">
        <is>
          <t>ACQ-02.01, ACQ-02.02, ACQ-02.03</t>
        </is>
      </c>
      <c r="D37" t="inlineStr">
        <is>
          <t>ACQ-02.01, ACQ-02.02, ACQ-02.03, ACQ-23.13</t>
        </is>
      </c>
      <c r="E37" t="inlineStr">
        <is>
          <t>Entrées du calcul réécrit.</t>
        </is>
      </c>
    </row>
    <row r="38">
      <c r="A38" t="inlineStr">
        <is>
          <t>ACQ-11.18</t>
        </is>
      </c>
      <c r="B38" t="inlineStr">
        <is>
          <t>calcul</t>
        </is>
      </c>
      <c r="C38" t="inlineStr">
        <is>
          <t>(Actuel − il y a 12 mois) ÷ il y a 12 mois</t>
        </is>
      </c>
      <c r="D38" t="inlineStr">
        <is>
          <t>(Moyenne par mois des 3 derniers mois − moyenne par mois des mêmes 3 mois un an plus tôt) ÷ cette dernière. Non calculée si le périmètre a changé entre les deux périodes (ACQ-23.13).</t>
        </is>
      </c>
      <c r="E38" t="inlineStr">
        <is>
          <t>Périodes comparables (vérification de l'historique, 28 octobre).</t>
        </is>
      </c>
    </row>
    <row r="39">
      <c r="A39" t="inlineStr">
        <is>
          <t>ACQ-11.18</t>
        </is>
      </c>
      <c r="B39" t="inlineStr">
        <is>
          <t>entrees</t>
        </is>
      </c>
      <c r="C39" t="inlineStr">
        <is>
          <t>ACQ-11.01, ACQ-11.02</t>
        </is>
      </c>
      <c r="D39" t="inlineStr">
        <is>
          <t>ACQ-11.01, ACQ-11.02, ACQ-23.13</t>
        </is>
      </c>
      <c r="E39" t="inlineStr">
        <is>
          <t>Entrées du calcul réécrit.</t>
        </is>
      </c>
    </row>
    <row r="40">
      <c r="A40" t="inlineStr">
        <is>
          <t>ACQ-15.07</t>
        </is>
      </c>
      <c r="B40" t="inlineStr">
        <is>
          <t>calcul</t>
        </is>
      </c>
      <c r="C40" t="inlineStr">
        <is>
          <t>(Panier actuel − panier du même mois il y a 12 mois, calculé en ACQ-23) ÷ ce dernier</t>
        </is>
      </c>
      <c r="D40" t="inlineStr">
        <is>
          <t>(CA des 12 derniers mois ÷ ventes des 12 derniers mois) comparé à (CA des 12 mois précédents ÷ ventes des 12 mois précédents). Avant : panier actuel comparé à un seul mois, 11 mois plus tôt.</t>
        </is>
      </c>
      <c r="E40" t="inlineStr">
        <is>
          <t>Périodes comparables (vérification de l'historique, 28 octobre).</t>
        </is>
      </c>
    </row>
    <row r="41">
      <c r="A41" t="inlineStr">
        <is>
          <t>ACQ-15.07</t>
        </is>
      </c>
      <c r="B41" t="inlineStr">
        <is>
          <t>entrees</t>
        </is>
      </c>
      <c r="C41" t="inlineStr">
        <is>
          <t>ACQ-15.06, ACQ-23.09</t>
        </is>
      </c>
      <c r="D41" t="inlineStr">
        <is>
          <t>ACQ-23.01, ACQ-23.04, ACQ-23.03, ACQ-23.12, ACQ-23.13</t>
        </is>
      </c>
      <c r="E41" t="inlineStr">
        <is>
          <t>Entrées du calcul réécrit.</t>
        </is>
      </c>
    </row>
    <row r="42">
      <c r="A42" t="inlineStr">
        <is>
          <t>ACQ-23.10</t>
        </is>
      </c>
      <c r="B42" t="inlineStr">
        <is>
          <t>calcul</t>
        </is>
      </c>
      <c r="C42" t="inlineStr">
        <is>
          <t>Total des 12 derniers mois ÷ total des 12 mois précédents − 1</t>
        </is>
      </c>
      <c r="D42" t="inlineStr">
        <is>
          <t>Total des 12 derniers mois ÷ total des mêmes 12 mois un an plus tôt − 1, seulement si les 24 mois sont renseignés et le périmètre inchangé (ACQ-23.13).</t>
        </is>
      </c>
      <c r="E42" t="inlineStr">
        <is>
          <t>Périodes comparables (vérification de l'historique, 28 octobre).</t>
        </is>
      </c>
    </row>
    <row r="43">
      <c r="A43" t="inlineStr">
        <is>
          <t>ACQ-23.10</t>
        </is>
      </c>
      <c r="B43" t="inlineStr">
        <is>
          <t>entrees</t>
        </is>
      </c>
      <c r="C43" t="inlineStr">
        <is>
          <t>ACQ-23.01, ACQ-23.03</t>
        </is>
      </c>
      <c r="D43" t="inlineStr">
        <is>
          <t>ACQ-23.01, ACQ-23.03, ACQ-23.13</t>
        </is>
      </c>
      <c r="E43" t="inlineStr">
        <is>
          <t>Entrées du calcul réécrit.</t>
        </is>
      </c>
    </row>
    <row r="44">
      <c r="A44" t="inlineStr">
        <is>
          <t>ACQ-07.14</t>
        </is>
      </c>
      <c r="B44" t="inlineStr">
        <is>
          <t>calcul</t>
        </is>
      </c>
      <c r="C44" t="inlineStr">
        <is>
          <t>Évolution du budget sur 12 mois face à l'évolution des nouveaux clients</t>
        </is>
      </c>
      <c r="D44" t="inlineStr">
        <is>
          <t>Budget marketing par mois aujourd'hui (ACQ-07.06) comparé au budget d'il y a 12 mois (ACQ-07.05, même périmètre), à côté de l'évolution des nouveaux clients (ACQ-11.18) : deux chiffres, sans conclusion automatique.</t>
        </is>
      </c>
      <c r="E44" t="inlineStr">
        <is>
          <t>Périodes comparables (vérification de l'historique, 28 octobre).</t>
        </is>
      </c>
    </row>
    <row r="45">
      <c r="A45" t="inlineStr">
        <is>
          <t>ACQ-07.14</t>
        </is>
      </c>
      <c r="B45" t="inlineStr">
        <is>
          <t>entrees</t>
        </is>
      </c>
      <c r="C45" t="inlineStr">
        <is>
          <t>ACQ-07.06, ACQ-07.05, ACQ-11.01, ACQ-11.02</t>
        </is>
      </c>
      <c r="D45" t="inlineStr">
        <is>
          <t>ACQ-07.06, ACQ-07.05, ACQ-11.18</t>
        </is>
      </c>
      <c r="E45" t="inlineStr">
        <is>
          <t>Entrées du calcul réécrit.</t>
        </is>
      </c>
    </row>
    <row r="46">
      <c r="A46" t="inlineStr">
        <is>
          <t>COM-32.07</t>
        </is>
      </c>
      <c r="B46" t="inlineStr">
        <is>
          <t>calcul</t>
        </is>
      </c>
      <c r="C46" t="inlineStr">
        <is>
          <t>Évolution du budget comparée à celle des demandes venant de la communication</t>
        </is>
      </c>
      <c r="D46" t="inlineStr">
        <is>
          <t>Budget marketing et communication par mois aujourd'hui (ACQ-07.06 + COM-32.02) comparé à il y a 12 mois (ACQ-07.05 + COM-32.03). Avant : le budget actuel sans la publicité était comparé au budget passé avec la publicité.</t>
        </is>
      </c>
      <c r="E46" t="inlineStr">
        <is>
          <t>Périodes comparables (vérification de l'historique, 28 octobre).</t>
        </is>
      </c>
    </row>
    <row r="47">
      <c r="A47" t="inlineStr">
        <is>
          <t>COM-32.07</t>
        </is>
      </c>
      <c r="B47" t="inlineStr">
        <is>
          <t>entrees</t>
        </is>
      </c>
      <c r="C47" t="inlineStr">
        <is>
          <t>COM-32.04, COM-32.03, ACQ-02.06</t>
        </is>
      </c>
      <c r="D47" t="inlineStr">
        <is>
          <t>ACQ-07.06, COM-32.02, ACQ-07.05, COM-32.03, ACQ-02.06</t>
        </is>
      </c>
      <c r="E47" t="inlineStr">
        <is>
          <t>Entrées du calcul réécrit.</t>
        </is>
      </c>
    </row>
    <row r="48">
      <c r="A48" t="inlineStr">
        <is>
          <t>FIN-04.02</t>
        </is>
      </c>
      <c r="B48" t="inlineStr">
        <is>
          <t>calcul</t>
        </is>
      </c>
      <c r="C48" t="inlineStr">
        <is>
          <t>(CA du mois d'il y a 12 mois − charges variables il y a 12 mois) ÷ CA de ce mois</t>
        </is>
      </c>
      <c r="D48" t="inlineStr">
        <is>
          <t>(CA des mêmes 3 mois un an plus tôt − 3 × charges variables par mois de ces mois) ÷ CA de ces 3 mois. Avant : le CA d'un seul mois, 11 mois avant le dernier, avec les charges d'une autre période.</t>
        </is>
      </c>
      <c r="E48" t="inlineStr">
        <is>
          <t>Périodes comparables (vérification de l'historique, 28 octobre).</t>
        </is>
      </c>
    </row>
    <row r="49">
      <c r="A49" t="inlineStr">
        <is>
          <t>FIN-04.02</t>
        </is>
      </c>
      <c r="B49" t="inlineStr">
        <is>
          <t>entrees</t>
        </is>
      </c>
      <c r="C49" t="inlineStr">
        <is>
          <t>ACQ-23.01, FIN-06.03</t>
        </is>
      </c>
      <c r="D49" t="inlineStr">
        <is>
          <t>FIN-14.03, FIN-06.03</t>
        </is>
      </c>
      <c r="E49" t="inlineStr">
        <is>
          <t>Entrées du calcul réécrit.</t>
        </is>
      </c>
    </row>
    <row r="50">
      <c r="A50" t="inlineStr">
        <is>
          <t>FIN-04.03</t>
        </is>
      </c>
      <c r="B50" t="inlineStr">
        <is>
          <t>calcul</t>
        </is>
      </c>
      <c r="C50" t="inlineStr">
        <is>
          <t>Taux de marge actuel − taux de marge il y a 12 mois</t>
        </is>
      </c>
      <c r="D50" t="inlineStr">
        <is>
          <t>Taux de marge des 3 derniers mois (CA de FIN-14.01, charges variables FIN-06.05) − taux de marge des mêmes 3 mois un an plus tôt (FIN-04.02), en points de pourcentage.</t>
        </is>
      </c>
      <c r="E50" t="inlineStr">
        <is>
          <t>Périodes comparables (vérification de l'historique, 28 octobre).</t>
        </is>
      </c>
    </row>
    <row r="51">
      <c r="A51" t="inlineStr">
        <is>
          <t>FIN-04.03</t>
        </is>
      </c>
      <c r="B51" t="inlineStr">
        <is>
          <t>entrees</t>
        </is>
      </c>
      <c r="C51" t="inlineStr">
        <is>
          <t>FIN-06.08, FIN-04.02</t>
        </is>
      </c>
      <c r="D51" t="inlineStr">
        <is>
          <t>FIN-14.01, FIN-06.05, FIN-04.02, FIN-14.04</t>
        </is>
      </c>
      <c r="E51" t="inlineStr">
        <is>
          <t>Entrées du calcul réécrit.</t>
        </is>
      </c>
    </row>
    <row r="52">
      <c r="A52" t="inlineStr">
        <is>
          <t>FIN-07.15</t>
        </is>
      </c>
      <c r="B52" t="inlineStr">
        <is>
          <t>calcul</t>
        </is>
      </c>
      <c r="C52" t="inlineStr">
        <is>
          <t>Évolution de la masse salariale − évolution du CA sur 12 mois</t>
        </is>
      </c>
      <c r="D52" t="inlineStr">
        <is>
          <t>Évolution de la masse salariale (3 derniers mois contre les mêmes 3 mois un an plus tôt) à côté de l'évolution du CA sur 12 mois (ACQ-23.10) et de l'effectif (FIN-07.17 il y a 12 mois, dossier aujourd'hui).</t>
        </is>
      </c>
      <c r="E52" t="inlineStr">
        <is>
          <t>Périodes comparables (vérification de l'historique, 28 octobre).</t>
        </is>
      </c>
    </row>
    <row r="53">
      <c r="A53" t="inlineStr">
        <is>
          <t>FIN-07.15</t>
        </is>
      </c>
      <c r="B53" t="inlineStr">
        <is>
          <t>entrees</t>
        </is>
      </c>
      <c r="C53" t="inlineStr">
        <is>
          <t>FIN-07.01, FIN-07.02, ACQ-23.01</t>
        </is>
      </c>
      <c r="D53" t="inlineStr">
        <is>
          <t>FIN-07.01, FIN-07.02, FIN-07.17, ACQ-23.10</t>
        </is>
      </c>
      <c r="E53" t="inlineStr">
        <is>
          <t>Entrées du calcul réécrit.</t>
        </is>
      </c>
    </row>
    <row r="54">
      <c r="A54" t="inlineStr">
        <is>
          <t>FIN-37.06</t>
        </is>
      </c>
      <c r="B54" t="inlineStr">
        <is>
          <t>calcul</t>
        </is>
      </c>
      <c r="C54" t="inlineStr">
        <is>
          <t>Évolution du stock sur 12 mois − évolution du CA</t>
        </is>
      </c>
      <c r="D54" t="inlineStr">
        <is>
          <t>Évolution de la valeur du stock (aujourd'hui contre il y a 12 mois) à côté de l'évolution du CA sur 12 mois (ACQ-23.10).</t>
        </is>
      </c>
      <c r="E54" t="inlineStr">
        <is>
          <t>Périodes comparables (vérification de l'historique, 28 octobre).</t>
        </is>
      </c>
    </row>
    <row r="55">
      <c r="A55" t="inlineStr">
        <is>
          <t>FIN-37.06</t>
        </is>
      </c>
      <c r="B55" t="inlineStr">
        <is>
          <t>entrees</t>
        </is>
      </c>
      <c r="C55" t="inlineStr">
        <is>
          <t>FIN-37.01, FIN-37.02, ACQ-23.01</t>
        </is>
      </c>
      <c r="D55" t="inlineStr">
        <is>
          <t>FIN-37.01, FIN-37.02, ACQ-23.10</t>
        </is>
      </c>
      <c r="E55" t="inlineStr">
        <is>
          <t>Entrées du calcul réécrit.</t>
        </is>
      </c>
    </row>
    <row r="56">
      <c r="A56" t="inlineStr">
        <is>
          <t>ACQ-23.13</t>
        </is>
      </c>
      <c r="B56" t="inlineStr">
        <is>
          <t>nouvelle donnée</t>
        </is>
      </c>
      <c r="D56" t="inlineStr">
        <is>
          <t>Changement de périmètre de l'activité sur les 24 derniers mois (ouverture ou fermeture d'un établissement, rachat ou vente, nouvelle activité ou arrêt) et mois du changement — partagée avec FIN-14.04</t>
        </is>
      </c>
      <c r="E56" t="inlineStr">
        <is>
          <t>Une évolution d'une année sur l'autre n'a pas de sens si l'activité n'a pas le même périmètre : ouverture d'un second site, rachat, arrêt d'une activité.</t>
        </is>
      </c>
    </row>
    <row r="57">
      <c r="A57" t="inlineStr">
        <is>
          <t>ACQ-23.12</t>
        </is>
      </c>
      <c r="B57" t="inlineStr">
        <is>
          <t>nouvelle donnée</t>
        </is>
      </c>
      <c r="D57" t="inlineStr">
        <is>
          <t>Nombre de ventes sur les 12 mois précédents (pour comparer le montant moyen d'une vente d'une année sur l'autre)</t>
        </is>
      </c>
      <c r="E57" t="inlineStr">
        <is>
          <t>L'évolution du panier (ACQ-15.07) compare deux années ; le nombre de ventes de l'année précédente n'était demandé nulle part.</t>
        </is>
      </c>
    </row>
    <row r="58">
      <c r="A58" t="inlineStr">
        <is>
          <t>FIN-07.17</t>
        </is>
      </c>
      <c r="B58" t="inlineStr">
        <is>
          <t>nouvelle donnée</t>
        </is>
      </c>
      <c r="D58" t="inlineStr">
        <is>
          <t>Nombre de personnes dans l'entreprise il y a 12 mois, vous compris (même définition que le dossier d'entreprise)</t>
        </is>
      </c>
      <c r="E58" t="inlineStr">
        <is>
          <t>Une masse salariale qui augmente n'a pas le même sens si l'équipe a grandi : l'effectif d'il y a 12 mois n'était demandé nulle part (le dossier ne donne que l'effectif actuel).</t>
        </is>
      </c>
    </row>
    <row r="59">
      <c r="A59" t="inlineStr">
        <is>
          <t>FIN-14.04</t>
        </is>
      </c>
      <c r="B59" t="inlineStr">
        <is>
          <t>nouvelle donnée</t>
        </is>
      </c>
      <c r="D59" t="inlineStr">
        <is>
          <t>Changement de périmètre de l'activité sur les 24 derniers mois, et mois du changement</t>
        </is>
      </c>
      <c r="E59" t="inlineStr">
        <is>
          <t>Partage avec la Finance de la question sur le périmètre.</t>
        </is>
      </c>
    </row>
    <row r="60">
      <c r="A60" t="inlineStr">
        <is>
          <t>FIN-14.03</t>
        </is>
      </c>
      <c r="B60" t="inlineStr">
        <is>
          <t>nouvelle donnée</t>
        </is>
      </c>
      <c r="D60" t="inlineStr">
        <is>
          <t>CA des mêmes mois l'année précédente</t>
        </is>
      </c>
      <c r="E60" t="inlineStr">
        <is>
          <t>La Finance compare son chiffre d'affaires d'une année sur l'autre (XF07, FIN-04, FIN-07.15, FIN-37.06) sans que ce chiffre lui soit demandé.</t>
        </is>
      </c>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1"/>
  </sheetPr>
  <dimension ref="A1:R14"/>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0" customWidth="1" style="52" min="1" max="1"/>
    <col width="13" customWidth="1" style="52" min="2" max="18"/>
  </cols>
  <sheetData>
    <row r="1" ht="24" customHeight="1" s="53">
      <c r="A1" s="54" t="inlineStr">
        <is>
          <t>Synthèse par agent</t>
        </is>
      </c>
    </row>
    <row r="2" ht="15" customHeight="1" s="53">
      <c r="A2" s="55" t="inlineStr">
        <is>
          <t>Tous les chiffres sont des formules sur les onglets Thèmes, données et croisements.</t>
        </is>
      </c>
    </row>
    <row r="3"/>
    <row r="4" ht="30" customHeight="1" s="53">
      <c r="A4" s="75" t="inlineStr">
        <is>
          <t>Agent</t>
        </is>
      </c>
      <c r="B4" s="75" t="inlineStr">
        <is>
          <t>Thèmes</t>
        </is>
      </c>
      <c r="C4" s="75" t="inlineStr">
        <is>
          <t>Marché</t>
        </is>
      </c>
      <c r="D4" s="75" t="inlineStr">
        <is>
          <t>Pratique</t>
        </is>
      </c>
      <c r="E4" s="75" t="inlineStr">
        <is>
          <t>Cohérence</t>
        </is>
      </c>
      <c r="F4" s="75" t="inlineStr">
        <is>
          <t>Contexte</t>
        </is>
      </c>
      <c r="G4" s="75" t="inlineStr">
        <is>
          <t>Impact chiffré</t>
        </is>
      </c>
      <c r="H4" s="75" t="inlineStr">
        <is>
          <t>Impact qualifié</t>
        </is>
      </c>
      <c r="I4" s="75" t="inlineStr">
        <is>
          <t>Données</t>
        </is>
      </c>
      <c r="J4" s="75" t="inlineStr">
        <is>
          <t>Demandées</t>
        </is>
      </c>
      <c r="K4" s="75" t="inlineStr">
        <is>
          <t>Partagées</t>
        </is>
      </c>
      <c r="L4" s="75" t="inlineStr">
        <is>
          <t>Importées</t>
        </is>
      </c>
      <c r="M4" s="75" t="inlineStr">
        <is>
          <t>Calculées</t>
        </is>
      </c>
      <c r="N4" s="75" t="inlineStr">
        <is>
          <t>Autre agent</t>
        </is>
      </c>
      <c r="O4" s="75" t="inlineStr">
        <is>
          <t>Essentielles</t>
        </is>
      </c>
      <c r="P4" s="75" t="inlineStr">
        <is>
          <t>Approfondies</t>
        </is>
      </c>
      <c r="Q4" s="75" t="inlineStr">
        <is>
          <t>Croisements</t>
        </is>
      </c>
      <c r="R4" s="75" t="inlineStr">
        <is>
          <t>Scénarios</t>
        </is>
      </c>
    </row>
    <row r="5" ht="15" customHeight="1" s="53">
      <c r="A5" s="65" t="inlineStr">
        <is>
          <t>Acquisition &amp; CA</t>
        </is>
      </c>
      <c r="B5" s="67">
        <f>COUNTIF(Thèmes!$B:$B,$A5)</f>
        <v/>
      </c>
      <c r="C5" s="67">
        <f>COUNTIFS(Thèmes!$B:$B,$A5,Thèmes!$E:$E,"Marché")</f>
        <v/>
      </c>
      <c r="D5" s="67">
        <f>COUNTIFS(Thèmes!$B:$B,$A5,Thèmes!$E:$E,"Pratique")</f>
        <v/>
      </c>
      <c r="E5" s="67">
        <f>COUNTIFS(Thèmes!$B:$B,$A5,Thèmes!$E:$E,"Cohérence")</f>
        <v/>
      </c>
      <c r="F5" s="67">
        <f>COUNTIFS(Thèmes!$B:$B,$A5,Thèmes!$E:$E,"Contexte")</f>
        <v/>
      </c>
      <c r="G5" s="67">
        <f>COUNTIFS(Thèmes!$B:$B,$A5,Thèmes!$F:$F,"Chiffré*")</f>
        <v/>
      </c>
      <c r="H5" s="67">
        <f>COUNTIFS(Thèmes!$B:$B,$A5,Thèmes!$F:$F,"Qualifié")</f>
        <v/>
      </c>
      <c r="I5" s="67">
        <f>COUNTA('Acquisition — données'!$A:$A)-1</f>
        <v/>
      </c>
      <c r="J5" s="67">
        <f>COUNTIF('Acquisition — données'!$G:$G,"Demandée")</f>
        <v/>
      </c>
      <c r="K5" s="67">
        <f>COUNTIF('Acquisition — données'!$G:$G,"Partagée")</f>
        <v/>
      </c>
      <c r="L5" s="67">
        <f>COUNTIF('Acquisition — données'!$G:$G,"Importée")</f>
        <v/>
      </c>
      <c r="M5" s="67">
        <f>COUNTIF('Acquisition — données'!$G:$G,"Calculée")</f>
        <v/>
      </c>
      <c r="N5" s="67">
        <f>COUNTIF('Acquisition — données'!$G:$G,"Autre agent")</f>
        <v/>
      </c>
      <c r="O5" s="67">
        <f>COUNTIF('Acquisition — données'!$H:$H,"Essentiel")</f>
        <v/>
      </c>
      <c r="P5" s="67">
        <f>COUNTIF('Acquisition — données'!$H:$H,"Approfondi")</f>
        <v/>
      </c>
      <c r="Q5" s="67">
        <f>COUNTIF(Croisements!$B:$B,$A5)</f>
        <v/>
      </c>
      <c r="R5" s="67" t="n">
        <v>0</v>
      </c>
    </row>
    <row r="6" ht="15" customHeight="1" s="53">
      <c r="A6" s="65" t="inlineStr">
        <is>
          <t>Finance &amp; Rentabilité</t>
        </is>
      </c>
      <c r="B6" s="67">
        <f>COUNTIF(Thèmes!$B:$B,$A6)</f>
        <v/>
      </c>
      <c r="C6" s="67">
        <f>COUNTIFS(Thèmes!$B:$B,$A6,Thèmes!$E:$E,"Marché")</f>
        <v/>
      </c>
      <c r="D6" s="67">
        <f>COUNTIFS(Thèmes!$B:$B,$A6,Thèmes!$E:$E,"Pratique")</f>
        <v/>
      </c>
      <c r="E6" s="67">
        <f>COUNTIFS(Thèmes!$B:$B,$A6,Thèmes!$E:$E,"Cohérence")</f>
        <v/>
      </c>
      <c r="F6" s="67">
        <f>COUNTIFS(Thèmes!$B:$B,$A6,Thèmes!$E:$E,"Contexte")</f>
        <v/>
      </c>
      <c r="G6" s="67">
        <f>COUNTIFS(Thèmes!$B:$B,$A6,Thèmes!$F:$F,"Chiffré*")</f>
        <v/>
      </c>
      <c r="H6" s="67">
        <f>COUNTIFS(Thèmes!$B:$B,$A6,Thèmes!$F:$F,"Qualifié")</f>
        <v/>
      </c>
      <c r="I6" s="67">
        <f>COUNTA('Finance — données'!$A:$A)-1</f>
        <v/>
      </c>
      <c r="J6" s="67">
        <f>COUNTIF('Finance — données'!$G:$G,"Demandée")</f>
        <v/>
      </c>
      <c r="K6" s="67">
        <f>COUNTIF('Finance — données'!$G:$G,"Partagée")</f>
        <v/>
      </c>
      <c r="L6" s="67">
        <f>COUNTIF('Finance — données'!$G:$G,"Importée")</f>
        <v/>
      </c>
      <c r="M6" s="67">
        <f>COUNTIF('Finance — données'!$G:$G,"Calculée")</f>
        <v/>
      </c>
      <c r="N6" s="67">
        <f>COUNTIF('Finance — données'!$G:$G,"Autre agent")</f>
        <v/>
      </c>
      <c r="O6" s="67">
        <f>COUNTIF('Finance — données'!$H:$H,"Essentiel")</f>
        <v/>
      </c>
      <c r="P6" s="67">
        <f>COUNTIF('Finance — données'!$H:$H,"Approfondi")</f>
        <v/>
      </c>
      <c r="Q6" s="67">
        <f>COUNTIF(Croisements!$B:$B,$A6)</f>
        <v/>
      </c>
      <c r="R6" s="67">
        <f>COUNTA(Scénarios!$A$5:$A$200)</f>
        <v/>
      </c>
    </row>
    <row r="7" ht="15" customHeight="1" s="53">
      <c r="A7" s="65" t="inlineStr">
        <is>
          <t>RH &amp; Organisation</t>
        </is>
      </c>
      <c r="B7" s="67">
        <f>COUNTIF(Thèmes!$B:$B,$A7)</f>
        <v/>
      </c>
      <c r="C7" s="67">
        <f>COUNTIFS(Thèmes!$B:$B,$A7,Thèmes!$E:$E,"Marché")</f>
        <v/>
      </c>
      <c r="D7" s="67">
        <f>COUNTIFS(Thèmes!$B:$B,$A7,Thèmes!$E:$E,"Pratique")</f>
        <v/>
      </c>
      <c r="E7" s="67">
        <f>COUNTIFS(Thèmes!$B:$B,$A7,Thèmes!$E:$E,"Cohérence")</f>
        <v/>
      </c>
      <c r="F7" s="67">
        <f>COUNTIFS(Thèmes!$B:$B,$A7,Thèmes!$E:$E,"Contexte")</f>
        <v/>
      </c>
      <c r="G7" s="67">
        <f>COUNTIFS(Thèmes!$B:$B,$A7,Thèmes!$F:$F,"Chiffré*")</f>
        <v/>
      </c>
      <c r="H7" s="67">
        <f>COUNTIFS(Thèmes!$B:$B,$A7,Thèmes!$F:$F,"Qualifié")</f>
        <v/>
      </c>
      <c r="I7" s="67">
        <f>COUNTA('RH — données'!$A:$A)-1</f>
        <v/>
      </c>
      <c r="J7" s="67">
        <f>COUNTIF('RH — données'!$G:$G,"Demandée")</f>
        <v/>
      </c>
      <c r="K7" s="67">
        <f>COUNTIF('RH — données'!$G:$G,"Partagée")</f>
        <v/>
      </c>
      <c r="L7" s="67">
        <f>COUNTIF('RH — données'!$G:$G,"Importée")</f>
        <v/>
      </c>
      <c r="M7" s="67">
        <f>COUNTIF('RH — données'!$G:$G,"Calculée")</f>
        <v/>
      </c>
      <c r="N7" s="67">
        <f>COUNTIF('RH — données'!$G:$G,"Autre agent")</f>
        <v/>
      </c>
      <c r="O7" s="67">
        <f>COUNTIF('RH — données'!$H:$H,"Essentiel")</f>
        <v/>
      </c>
      <c r="P7" s="67">
        <f>COUNTIF('RH — données'!$H:$H,"Approfondi")</f>
        <v/>
      </c>
      <c r="Q7" s="67">
        <f>COUNTIF('Croisements RH'!$B:$B,$A7)</f>
        <v/>
      </c>
      <c r="R7" s="67" t="n">
        <v>0</v>
      </c>
    </row>
    <row r="8" ht="15" customHeight="1" s="53">
      <c r="A8" s="65" t="inlineStr">
        <is>
          <t>Comm &amp; Création</t>
        </is>
      </c>
      <c r="B8" s="67">
        <f>COUNTIF(Thèmes!$B:$B,$A8)</f>
        <v/>
      </c>
      <c r="C8" s="67">
        <f>COUNTIFS(Thèmes!$B:$B,$A8,Thèmes!$E:$E,"Marché")</f>
        <v/>
      </c>
      <c r="D8" s="67">
        <f>COUNTIFS(Thèmes!$B:$B,$A8,Thèmes!$E:$E,"Pratique")</f>
        <v/>
      </c>
      <c r="E8" s="67">
        <f>COUNTIFS(Thèmes!$B:$B,$A8,Thèmes!$E:$E,"Cohérence")</f>
        <v/>
      </c>
      <c r="F8" s="67">
        <f>COUNTIFS(Thèmes!$B:$B,$A8,Thèmes!$E:$E,"Contexte")</f>
        <v/>
      </c>
      <c r="G8" s="67">
        <f>COUNTIFS(Thèmes!$B:$B,$A8,Thèmes!$F:$F,"Chiffré*")</f>
        <v/>
      </c>
      <c r="H8" s="67">
        <f>COUNTIFS(Thèmes!$B:$B,$A8,Thèmes!$F:$F,"Qualifié")</f>
        <v/>
      </c>
      <c r="I8" s="67">
        <f>COUNTA('Comm — données'!$A:$A)-1</f>
        <v/>
      </c>
      <c r="J8" s="67">
        <f>COUNTIF('Comm — données'!$G:$G,"Demandée")</f>
        <v/>
      </c>
      <c r="K8" s="67">
        <f>COUNTIF('Comm — données'!$G:$G,"Partagée")</f>
        <v/>
      </c>
      <c r="L8" s="67">
        <f>COUNTIF('Comm — données'!$G:$G,"Importée")</f>
        <v/>
      </c>
      <c r="M8" s="67">
        <f>COUNTIF('Comm — données'!$G:$G,"Calculée")</f>
        <v/>
      </c>
      <c r="N8" s="67">
        <f>COUNTIF('Comm — données'!$G:$G,"Autre agent")</f>
        <v/>
      </c>
      <c r="O8" s="67">
        <f>COUNTIF('Comm — données'!$H:$H,"Essentiel")</f>
        <v/>
      </c>
      <c r="P8" s="67">
        <f>COUNTIF('Comm — données'!$H:$H,"Approfondi")</f>
        <v/>
      </c>
      <c r="Q8" s="67">
        <f>COUNTIF(Croisements!$B:$B,$A8)</f>
        <v/>
      </c>
      <c r="R8" s="67" t="n">
        <v>0</v>
      </c>
    </row>
    <row r="9" ht="15" customHeight="1" s="53">
      <c r="A9" s="76" t="inlineStr">
        <is>
          <t>Total</t>
        </is>
      </c>
      <c r="B9" s="77">
        <f>SUM(B5:B8)</f>
        <v/>
      </c>
      <c r="C9" s="77">
        <f>SUM(C5:C8)</f>
        <v/>
      </c>
      <c r="D9" s="77">
        <f>SUM(D5:D8)</f>
        <v/>
      </c>
      <c r="E9" s="77">
        <f>SUM(E5:E8)</f>
        <v/>
      </c>
      <c r="F9" s="77">
        <f>SUM(F5:F8)</f>
        <v/>
      </c>
      <c r="G9" s="77">
        <f>SUM(G5:G8)</f>
        <v/>
      </c>
      <c r="H9" s="77">
        <f>SUM(H5:H8)</f>
        <v/>
      </c>
      <c r="I9" s="77">
        <f>SUM(I5:I8)</f>
        <v/>
      </c>
      <c r="J9" s="77">
        <f>SUM(J5:J8)</f>
        <v/>
      </c>
      <c r="K9" s="77">
        <f>SUM(K5:K8)</f>
        <v/>
      </c>
      <c r="L9" s="77">
        <f>SUM(L5:L8)</f>
        <v/>
      </c>
      <c r="M9" s="77">
        <f>SUM(M5:M8)</f>
        <v/>
      </c>
      <c r="N9" s="77">
        <f>SUM(N5:N8)</f>
        <v/>
      </c>
      <c r="O9" s="77">
        <f>SUM(O5:O8)</f>
        <v/>
      </c>
      <c r="P9" s="77">
        <f>SUM(P5:P8)</f>
        <v/>
      </c>
      <c r="Q9" s="77">
        <f>SUM(Q5:Q8)</f>
        <v/>
      </c>
      <c r="R9" s="77">
        <f>SUM(R5:R8)</f>
        <v/>
      </c>
    </row>
    <row r="10"/>
    <row r="11" ht="15" customHeight="1" s="53">
      <c r="A11" s="78" t="inlineStr">
        <is>
          <t>Déclencheurs</t>
        </is>
      </c>
      <c r="B11" s="79">
        <f>COUNTA(Déclencheurs!$A$5:$A$200)</f>
        <v/>
      </c>
    </row>
    <row r="12" ht="15" customHeight="1" s="53">
      <c r="A12" s="78" t="inlineStr">
        <is>
          <t>Mots du lexique</t>
        </is>
      </c>
      <c r="B12" s="79">
        <f>COUNTA(Lexique!$A$5:$A$200)</f>
        <v/>
      </c>
    </row>
    <row r="13" ht="15" customHeight="1" s="53">
      <c r="A13" s="78" t="inlineStr">
        <is>
          <t>Problèmes du diagnostic Comm</t>
        </is>
      </c>
      <c r="B13" s="79">
        <f>COUNTIF('Diagnostic Comm'!$A$5:$A$200,"DC*")</f>
        <v/>
      </c>
    </row>
    <row r="14" ht="15" customHeight="1" s="53">
      <c r="A14" s="80" t="inlineStr">
        <is>
          <t>Les données partagées sont posées une seule fois, par le premier agent souscrit qui en a besoin : la colonne « Partagées » compte ces lignes une fois chacune.</t>
        </is>
      </c>
    </row>
  </sheetData>
  <mergeCells count="3">
    <mergeCell ref="A14:L14"/>
    <mergeCell ref="A2:H2"/>
    <mergeCell ref="A1:H1"/>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M19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52" min="1" max="1"/>
    <col width="18" customWidth="1" style="52" min="2" max="3"/>
    <col width="28" customWidth="1" style="52" min="4" max="4"/>
    <col width="13" customWidth="1" style="52" min="5" max="5"/>
    <col width="15" customWidth="1" style="52" min="6" max="6"/>
    <col width="12" customWidth="1" style="52" min="7" max="7"/>
    <col width="30" customWidth="1" style="52" min="8" max="8"/>
    <col width="34" customWidth="1" style="52" min="9" max="9"/>
    <col width="62" customWidth="1" style="52" min="10" max="10"/>
    <col width="38" customWidth="1" style="52" min="11" max="11"/>
    <col width="22" customWidth="1" style="52" min="12" max="12"/>
    <col width="34" customWidth="1" style="52" min="13" max="13"/>
  </cols>
  <sheetData>
    <row r="1" ht="31.5" customHeight="1" s="53">
      <c r="A1" s="75" t="inlineStr">
        <is>
          <t>Code</t>
        </is>
      </c>
      <c r="B1" s="75" t="inlineStr">
        <is>
          <t>Agent</t>
        </is>
      </c>
      <c r="C1" s="75" t="inlineStr">
        <is>
          <t>Bloc / étape</t>
        </is>
      </c>
      <c r="D1" s="75" t="inlineStr">
        <is>
          <t>Thème</t>
        </is>
      </c>
      <c r="E1" s="75" t="inlineStr">
        <is>
          <t>Nature de notation</t>
        </is>
      </c>
      <c r="F1" s="75" t="inlineStr">
        <is>
          <t>Impact sur l'objectif</t>
        </is>
      </c>
      <c r="G1" s="75" t="inlineStr">
        <is>
          <t>Chiffre nécessaire</t>
        </is>
      </c>
      <c r="H1" s="75" t="inlineStr">
        <is>
          <t>Chiffres demandés (codes, d'après les onglets de données)</t>
        </is>
      </c>
      <c r="I1" s="75" t="inlineStr">
        <is>
          <t>Déjà connu ailleurs</t>
        </is>
      </c>
      <c r="J1" s="75" t="inlineStr">
        <is>
          <t>Comment le volume change la méthode</t>
        </is>
      </c>
      <c r="K1" s="75" t="inlineStr">
        <is>
          <t>Si le chiffre est inconnu</t>
        </is>
      </c>
      <c r="L1" s="75" t="inlineStr">
        <is>
          <t>Masqué pour</t>
        </is>
      </c>
      <c r="M1" s="75" t="inlineStr">
        <is>
          <t>Changement du 20 oct.</t>
        </is>
      </c>
    </row>
    <row r="2" ht="46.25" customHeight="1" s="53">
      <c r="A2" s="81" t="inlineStr">
        <is>
          <t>ACQ-01</t>
        </is>
      </c>
      <c r="B2" s="68" t="inlineStr">
        <is>
          <t>Acquisition &amp; CA</t>
        </is>
      </c>
      <c r="C2" s="68" t="inlineStr">
        <is>
          <t>Attirer</t>
        </is>
      </c>
      <c r="D2" s="65" t="inlineStr">
        <is>
          <t>Cible</t>
        </is>
      </c>
      <c r="E2" s="66" t="inlineStr">
        <is>
          <t>Cohérence</t>
        </is>
      </c>
      <c r="F2" s="67" t="inlineStr">
        <is>
          <t>Qualifié</t>
        </is>
      </c>
      <c r="G2" s="82" t="inlineStr">
        <is>
          <t>Oui</t>
        </is>
      </c>
      <c r="H2" s="68" t="inlineStr">
        <is>
          <t>ACQ-01.01, ACQ-01.02, ACQ-01.03, ACQ-01.04, ACQ-01.05, ACQ-01.06, ACQ-01.07, ACQ-01.08, ACQ-01.09, ACQ-01.10</t>
        </is>
      </c>
      <c r="I2" s="68" t="inlineStr">
        <is>
          <t>Métier et zone (inscription)</t>
        </is>
      </c>
      <c r="J2" s="68" t="inlineStr">
        <is>
          <t>70 % du CA vient d'un type de client non ciblé → recentrer la cible sur lui. CA éparpillé sur 5 types → choisir un segment prioritaire.</t>
        </is>
      </c>
      <c r="K2" s="68" t="inlineStr">
        <is>
          <t>Classer ses types de clients du plus au moins rentable, sans chiffre.</t>
        </is>
      </c>
      <c r="L2" s="68" t="inlineStr">
        <is>
          <t>—</t>
        </is>
      </c>
      <c r="M2" s="83" t="n"/>
    </row>
    <row r="3" ht="23.85" customHeight="1" s="53">
      <c r="A3" s="81" t="inlineStr">
        <is>
          <t>ACQ-02</t>
        </is>
      </c>
      <c r="B3" s="68" t="inlineStr">
        <is>
          <t>Acquisition &amp; CA</t>
        </is>
      </c>
      <c r="C3" s="68" t="inlineStr">
        <is>
          <t>Attirer</t>
        </is>
      </c>
      <c r="D3" s="65" t="inlineStr">
        <is>
          <t>Volume de contacts</t>
        </is>
      </c>
      <c r="E3" s="84" t="inlineStr">
        <is>
          <t>Marché</t>
        </is>
      </c>
      <c r="F3" s="67" t="inlineStr">
        <is>
          <t>Chiffré (CA)</t>
        </is>
      </c>
      <c r="G3" s="82" t="inlineStr">
        <is>
          <t>Oui</t>
        </is>
      </c>
      <c r="H3" s="68" t="inlineStr">
        <is>
          <t>ACQ-02.01, ACQ-02.02, ACQ-02.03, ACQ-02.04, ACQ-02.05</t>
        </is>
      </c>
      <c r="I3" s="68" t="inlineStr">
        <is>
          <t>Partagé avec COM-13 (posé une seule fois)</t>
        </is>
      </c>
      <c r="J3" s="68" t="inlineStr">
        <is>
          <t>Peu de contacts mais bonne transformation → travailler l'apport de contacts. Beaucoup de contacts mal transformés → travailler la conversion d'abord.</t>
        </is>
      </c>
      <c r="K3" s="68" t="inlineStr">
        <is>
          <t>Première action : compter les demandes pendant 4 semaines.</t>
        </is>
      </c>
      <c r="L3" s="68" t="inlineStr">
        <is>
          <t>—</t>
        </is>
      </c>
      <c r="M3" s="83" t="n"/>
    </row>
    <row r="4" ht="35.05" customHeight="1" s="53">
      <c r="A4" s="81" t="inlineStr">
        <is>
          <t>ACQ-03</t>
        </is>
      </c>
      <c r="B4" s="68" t="inlineStr">
        <is>
          <t>Acquisition &amp; CA</t>
        </is>
      </c>
      <c r="C4" s="68" t="inlineStr">
        <is>
          <t>Attirer</t>
        </is>
      </c>
      <c r="D4" s="65" t="inlineStr">
        <is>
          <t>Canaux</t>
        </is>
      </c>
      <c r="E4" s="66" t="inlineStr">
        <is>
          <t>Cohérence</t>
        </is>
      </c>
      <c r="F4" s="67" t="inlineStr">
        <is>
          <t>Chiffré (CA)</t>
        </is>
      </c>
      <c r="G4" s="82" t="inlineStr">
        <is>
          <t>Oui</t>
        </is>
      </c>
      <c r="H4" s="68" t="inlineStr">
        <is>
          <t>ACQ-03.01, ACQ-03.02, ACQ-03.03, ACQ-03.04, ACQ-03.05, ACQ-03.06</t>
        </is>
      </c>
      <c r="I4" s="68" t="inlineStr">
        <is>
          <t>Partagé avec COM-12 (posé une seule fois)</t>
        </is>
      </c>
      <c r="J4" s="68" t="inlineStr">
        <is>
          <t>Un canal = 80 % des contacts → ouvrir un 2e canal. 5 canaux à 5 contacts chacun → concentrer l'effort sur le meilleur.</t>
        </is>
      </c>
      <c r="K4" s="68" t="inlineStr">
        <is>
          <t>Classer ses canaux du plus au moins efficace.</t>
        </is>
      </c>
      <c r="L4" s="68" t="inlineStr">
        <is>
          <t>—</t>
        </is>
      </c>
      <c r="M4" s="83" t="n"/>
    </row>
    <row r="5" ht="35.05" customHeight="1" s="53">
      <c r="A5" s="81" t="inlineStr">
        <is>
          <t>ACQ-04</t>
        </is>
      </c>
      <c r="B5" s="68" t="inlineStr">
        <is>
          <t>Acquisition &amp; CA</t>
        </is>
      </c>
      <c r="C5" s="68" t="inlineStr">
        <is>
          <t>Attirer</t>
        </is>
      </c>
      <c r="D5" s="65" t="inlineStr">
        <is>
          <t>Prospection active</t>
        </is>
      </c>
      <c r="E5" s="70" t="inlineStr">
        <is>
          <t>Pratique</t>
        </is>
      </c>
      <c r="F5" s="67" t="inlineStr">
        <is>
          <t>Chiffré (CA)</t>
        </is>
      </c>
      <c r="G5" s="82" t="inlineStr">
        <is>
          <t>Oui</t>
        </is>
      </c>
      <c r="H5" s="68" t="inlineStr">
        <is>
          <t>ACQ-04.01, ACQ-04.02, ACQ-04.03, ACQ-04.04, ACQ-04.05, ACQ-04.06</t>
        </is>
      </c>
      <c r="I5" s="68" t="inlineStr">
        <is>
          <t>—</t>
        </is>
      </c>
      <c r="J5" s="68" t="inlineStr">
        <is>
          <t>Aucune action → installer une routine minimale. 50 appels pour 0 rendez-vous → revoir le message, pas le volume.</t>
        </is>
      </c>
      <c r="K5" s="68" t="inlineStr">
        <is>
          <t>Noter ses actions de prospection pendant 2 semaines.</t>
        </is>
      </c>
      <c r="L5" s="68" t="inlineStr">
        <is>
          <t>—</t>
        </is>
      </c>
      <c r="M5" s="83" t="n"/>
    </row>
    <row r="6" ht="23.85" customHeight="1" s="53">
      <c r="A6" s="81" t="inlineStr">
        <is>
          <t>ACQ-05</t>
        </is>
      </c>
      <c r="B6" s="68" t="inlineStr">
        <is>
          <t>Acquisition &amp; CA</t>
        </is>
      </c>
      <c r="C6" s="68" t="inlineStr">
        <is>
          <t>Attirer</t>
        </is>
      </c>
      <c r="D6" s="65" t="inlineStr">
        <is>
          <t>Partenaires</t>
        </is>
      </c>
      <c r="E6" s="70" t="inlineStr">
        <is>
          <t>Pratique</t>
        </is>
      </c>
      <c r="F6" s="67" t="inlineStr">
        <is>
          <t>Chiffré (CA)</t>
        </is>
      </c>
      <c r="G6" s="82" t="inlineStr">
        <is>
          <t>Oui</t>
        </is>
      </c>
      <c r="H6" s="68" t="inlineStr">
        <is>
          <t>ACQ-05.01, ACQ-05.02, ACQ-05.03, ACQ-05.04</t>
        </is>
      </c>
      <c r="I6" s="68" t="inlineStr">
        <is>
          <t>—</t>
        </is>
      </c>
      <c r="J6" s="68" t="inlineStr">
        <is>
          <t>Aucun partenaire → identifier 3 prescripteurs naturels du métier. 10 partenaires dont un seul apporte → l'entretenir et réactiver les autres.</t>
        </is>
      </c>
      <c r="K6" s="68" t="inlineStr">
        <is>
          <t>Citer les partenaires qui ont apporté au moins un client cette année.</t>
        </is>
      </c>
      <c r="L6" s="68" t="inlineStr">
        <is>
          <t>—</t>
        </is>
      </c>
      <c r="M6" s="83" t="n"/>
    </row>
    <row r="7" ht="35.05" customHeight="1" s="53">
      <c r="A7" s="81" t="inlineStr">
        <is>
          <t>ACQ-06</t>
        </is>
      </c>
      <c r="B7" s="68" t="inlineStr">
        <is>
          <t>Acquisition &amp; CA</t>
        </is>
      </c>
      <c r="C7" s="68" t="inlineStr">
        <is>
          <t>Attirer</t>
        </is>
      </c>
      <c r="D7" s="65" t="inlineStr">
        <is>
          <t>Présence en ligne</t>
        </is>
      </c>
      <c r="E7" s="70" t="inlineStr">
        <is>
          <t>Pratique</t>
        </is>
      </c>
      <c r="F7" s="67" t="inlineStr">
        <is>
          <t>Qualifié</t>
        </is>
      </c>
      <c r="G7" s="82" t="inlineStr">
        <is>
          <t>Oui</t>
        </is>
      </c>
      <c r="H7" s="68" t="inlineStr">
        <is>
          <t>ACQ-06.01, ACQ-06.04, ACQ-06.06, ACQ-06.07, ACQ-06.08, ACQ-06.12, ACQ-06.13</t>
        </is>
      </c>
      <c r="I7" s="68" t="inlineStr">
        <is>
          <t>Partagé avec COM-13, COM-14 et COM-44 (posé une seule fois) ; lu sur la fiche Google si connectée</t>
        </is>
      </c>
      <c r="J7" s="68" t="inlineStr">
        <is>
          <t>5 avis → campagne de sollicitation. 200 avis à 4,8 → maintenir, le levier est ailleurs. Analyse du contenu → renvoi Comm.</t>
        </is>
      </c>
      <c r="K7" s="68" t="inlineStr">
        <is>
          <t>Lu directement sur la fiche Google.</t>
        </is>
      </c>
      <c r="L7" s="68" t="inlineStr">
        <is>
          <t>—</t>
        </is>
      </c>
      <c r="M7" s="83" t="n"/>
    </row>
    <row r="8" ht="35.05" customHeight="1" s="53">
      <c r="A8" s="81" t="inlineStr">
        <is>
          <t>ACQ-07</t>
        </is>
      </c>
      <c r="B8" s="68" t="inlineStr">
        <is>
          <t>Acquisition &amp; CA</t>
        </is>
      </c>
      <c r="C8" s="68" t="inlineStr">
        <is>
          <t>Attirer</t>
        </is>
      </c>
      <c r="D8" s="65" t="inlineStr">
        <is>
          <t>Budget et coût d'acquisition</t>
        </is>
      </c>
      <c r="E8" s="66" t="inlineStr">
        <is>
          <t>Cohérence</t>
        </is>
      </c>
      <c r="F8" s="67" t="inlineStr">
        <is>
          <t>Chiffré (CA)</t>
        </is>
      </c>
      <c r="G8" s="82" t="inlineStr">
        <is>
          <t>Oui</t>
        </is>
      </c>
      <c r="H8" s="68" t="inlineStr">
        <is>
          <t>ACQ-07.01, ACQ-07.02, ACQ-07.03, ACQ-07.04, ACQ-07.05, ACQ-07.15</t>
        </is>
      </c>
      <c r="I8" s="68" t="inlineStr">
        <is>
          <t>Partagé avec FIN-05 et COM-32 (posé une seule fois) ; CA mensuel (inscription) ; clients signés (ACQ-11)</t>
        </is>
      </c>
      <c r="J8" s="68" t="inlineStr">
        <is>
          <t>Coût d'un client supérieur à son panier → couper le canal le plus cher. Budget nul et peu de clients → tester un petit budget sur le meilleur canal.</t>
        </is>
      </c>
      <c r="K8" s="68" t="inlineStr">
        <is>
          <t>Additionner les dépenses marketing des 3 derniers relevés bancaires.</t>
        </is>
      </c>
      <c r="L8" s="68" t="inlineStr">
        <is>
          <t>—</t>
        </is>
      </c>
      <c r="M8" s="83" t="n"/>
    </row>
    <row r="9" ht="23.85" customHeight="1" s="53">
      <c r="A9" s="81" t="inlineStr">
        <is>
          <t>ACQ-08</t>
        </is>
      </c>
      <c r="B9" s="68" t="inlineStr">
        <is>
          <t>Acquisition &amp; CA</t>
        </is>
      </c>
      <c r="C9" s="68" t="inlineStr">
        <is>
          <t>Convertir</t>
        </is>
      </c>
      <c r="D9" s="65" t="inlineStr">
        <is>
          <t>Réactivité</t>
        </is>
      </c>
      <c r="E9" s="84" t="inlineStr">
        <is>
          <t>Marché</t>
        </is>
      </c>
      <c r="F9" s="67" t="inlineStr">
        <is>
          <t>Chiffré (CA)</t>
        </is>
      </c>
      <c r="G9" s="82" t="inlineStr">
        <is>
          <t>Oui</t>
        </is>
      </c>
      <c r="H9" s="68" t="inlineStr">
        <is>
          <t>ACQ-08.01, ACQ-08.02, ACQ-08.03, ACQ-08.04, ACQ-08.05</t>
        </is>
      </c>
      <c r="I9" s="68" t="inlineStr">
        <is>
          <t>Demandes par mois (ACQ-02)</t>
        </is>
      </c>
      <c r="J9" s="68" t="inlineStr">
        <is>
          <t>5 demandes par mois → réponse personnelle dans l'heure. 100 par mois → accusé de réception automatique et créneau de rappel.</t>
        </is>
      </c>
      <c r="K9" s="68" t="inlineStr">
        <is>
          <t>Noter l'heure de réception et de réponse des 10 prochaines demandes.</t>
        </is>
      </c>
      <c r="L9" s="68" t="inlineStr">
        <is>
          <t>—</t>
        </is>
      </c>
      <c r="M9" s="83" t="n"/>
    </row>
    <row r="10" ht="35.05" customHeight="1" s="53">
      <c r="A10" s="81" t="inlineStr">
        <is>
          <t>ACQ-09</t>
        </is>
      </c>
      <c r="B10" s="68" t="inlineStr">
        <is>
          <t>Acquisition &amp; CA</t>
        </is>
      </c>
      <c r="C10" s="68" t="inlineStr">
        <is>
          <t>Convertir</t>
        </is>
      </c>
      <c r="D10" s="65" t="inlineStr">
        <is>
          <t>Rendez-vous</t>
        </is>
      </c>
      <c r="E10" s="84" t="inlineStr">
        <is>
          <t>Marché</t>
        </is>
      </c>
      <c r="F10" s="67" t="inlineStr">
        <is>
          <t>Chiffré (CA)</t>
        </is>
      </c>
      <c r="G10" s="82" t="inlineStr">
        <is>
          <t>Oui</t>
        </is>
      </c>
      <c r="H10" s="68" t="inlineStr">
        <is>
          <t>ACQ-09.01, ACQ-09.02, ACQ-09.05, ACQ-09.06, ACQ-09.07</t>
        </is>
      </c>
      <c r="I10" s="68" t="inlineStr">
        <is>
          <t>Demandes par mois (ACQ-02)</t>
        </is>
      </c>
      <c r="J10" s="68" t="inlineStr">
        <is>
          <t>Absences fréquentes sur gros volume → rappel automatique la veille. Petit volume → appel de confirmation personnel.</t>
        </is>
      </c>
      <c r="K10" s="68" t="inlineStr">
        <is>
          <t>Compter les rendez-vous du mois dernier dans l'agenda.</t>
        </is>
      </c>
      <c r="L10" s="68" t="inlineStr">
        <is>
          <t>Métiers sans rendez-vous</t>
        </is>
      </c>
      <c r="M10" s="83" t="n"/>
    </row>
    <row r="11" ht="46.25" customHeight="1" s="53">
      <c r="A11" s="81" t="inlineStr">
        <is>
          <t>ACQ-10</t>
        </is>
      </c>
      <c r="B11" s="68" t="inlineStr">
        <is>
          <t>Acquisition &amp; CA</t>
        </is>
      </c>
      <c r="C11" s="68" t="inlineStr">
        <is>
          <t>Convertir</t>
        </is>
      </c>
      <c r="D11" s="65" t="inlineStr">
        <is>
          <t>Devis et relances</t>
        </is>
      </c>
      <c r="E11" s="84" t="inlineStr">
        <is>
          <t>Marché</t>
        </is>
      </c>
      <c r="F11" s="67" t="inlineStr">
        <is>
          <t>Chiffré (CA)</t>
        </is>
      </c>
      <c r="G11" s="82" t="inlineStr">
        <is>
          <t>Oui</t>
        </is>
      </c>
      <c r="H11" s="68" t="inlineStr">
        <is>
          <t>ACQ-10.01, ACQ-10.03, ACQ-10.05, ACQ-10.06, ACQ-10.07, ACQ-10.08, ACQ-10.09, ACQ-10.10, ACQ-10.11</t>
        </is>
      </c>
      <c r="I11" s="68" t="inlineStr">
        <is>
          <t>—</t>
        </is>
      </c>
      <c r="J11" s="68" t="inlineStr">
        <is>
          <t>5 devis par mois → relance à la main sous 3 jours. 150 par mois → séquence de relance automatique.</t>
        </is>
      </c>
      <c r="K11" s="68" t="inlineStr">
        <is>
          <t>Compter les devis du dernier mois dans le logiciel ou la boîte mail.</t>
        </is>
      </c>
      <c r="L11" s="68" t="inlineStr">
        <is>
          <t>Métiers sans devis</t>
        </is>
      </c>
      <c r="M11" s="83" t="n"/>
    </row>
    <row r="12" ht="102.2" customHeight="1" s="53">
      <c r="A12" s="81" t="inlineStr">
        <is>
          <t>ACQ-11</t>
        </is>
      </c>
      <c r="B12" s="68" t="inlineStr">
        <is>
          <t>Acquisition &amp; CA</t>
        </is>
      </c>
      <c r="C12" s="68" t="inlineStr">
        <is>
          <t>Convertir</t>
        </is>
      </c>
      <c r="D12" s="65" t="inlineStr">
        <is>
          <t>Transformation</t>
        </is>
      </c>
      <c r="E12" s="84" t="inlineStr">
        <is>
          <t>Marché</t>
        </is>
      </c>
      <c r="F12" s="67" t="inlineStr">
        <is>
          <t>Chiffré (CA)</t>
        </is>
      </c>
      <c r="G12" s="82" t="inlineStr">
        <is>
          <t>Oui</t>
        </is>
      </c>
      <c r="H12" s="68" t="inlineStr">
        <is>
          <t>ACQ-11.01, ACQ-11.02, ACQ-11.03, ACQ-11.04, ACQ-11.05, ACQ-11.07, ACQ-11.08, ACQ-11.09, ACQ-11.10, ACQ-11.11, ACQ-11.12, ACQ-11.13, ACQ-11.15, ACQ-11.16, ACQ-11.17, ACQ-11.31, ACQ-11.32, ACQ-11.33, ACQ-11.34, ACQ-11.35, ACQ-11.36, ACQ-11.37, ACQ-11.38, ACQ-11.39</t>
        </is>
      </c>
      <c r="I12" s="68" t="inlineStr">
        <is>
          <t>Partagé avec FIN-06 (posé une seule fois) ; Rendez-vous (ACQ-09)</t>
        </is>
      </c>
      <c r="J12" s="68" t="inlineStr">
        <is>
          <t>Peu de rendez-vous mal transformés → mieux préparer chaque rendez-vous. Beaucoup de rendez-vous mal transformés → mieux qualifier avant le rendez-vous.</t>
        </is>
      </c>
      <c r="K12" s="68" t="inlineStr">
        <is>
          <t>Compter les clients signés le mois dernier.</t>
        </is>
      </c>
      <c r="L12" s="68" t="inlineStr">
        <is>
          <t>—</t>
        </is>
      </c>
      <c r="M12" s="83" t="n"/>
    </row>
    <row r="13" ht="23.85" customHeight="1" s="53">
      <c r="A13" s="81" t="inlineStr">
        <is>
          <t>ACQ-12</t>
        </is>
      </c>
      <c r="B13" s="68" t="inlineStr">
        <is>
          <t>Acquisition &amp; CA</t>
        </is>
      </c>
      <c r="C13" s="68" t="inlineStr">
        <is>
          <t>Convertir</t>
        </is>
      </c>
      <c r="D13" s="65" t="inlineStr">
        <is>
          <t>Durée du cycle de vente</t>
        </is>
      </c>
      <c r="E13" s="84" t="inlineStr">
        <is>
          <t>Marché</t>
        </is>
      </c>
      <c r="F13" s="67" t="inlineStr">
        <is>
          <t>Chiffré (CA)</t>
        </is>
      </c>
      <c r="G13" s="82" t="inlineStr">
        <is>
          <t>Oui</t>
        </is>
      </c>
      <c r="H13" s="68" t="inlineStr">
        <is>
          <t>ACQ-12.01, ACQ-12.02, ACQ-12.03, ACQ-12.04</t>
        </is>
      </c>
      <c r="I13" s="68" t="inlineStr">
        <is>
          <t>—</t>
        </is>
      </c>
      <c r="J13" s="68" t="inlineStr">
        <is>
          <t>Cycle long sur peu de dossiers → suivi individuel de chaque dossier. Cycle long sur gros volume → étapes et relances standardisées.</t>
        </is>
      </c>
      <c r="K13" s="68" t="inlineStr">
        <is>
          <t>Prendre les 5 dernières ventes et noter leurs deux dates.</t>
        </is>
      </c>
      <c r="L13" s="68" t="inlineStr">
        <is>
          <t>Vente immédiate (commerce)</t>
        </is>
      </c>
      <c r="M13" s="83" t="n"/>
    </row>
    <row r="14" ht="35.05" customHeight="1" s="53">
      <c r="A14" s="81" t="inlineStr">
        <is>
          <t>ACQ-13</t>
        </is>
      </c>
      <c r="B14" s="68" t="inlineStr">
        <is>
          <t>Acquisition &amp; CA</t>
        </is>
      </c>
      <c r="C14" s="68" t="inlineStr">
        <is>
          <t>Chiffre d'affaires</t>
        </is>
      </c>
      <c r="D14" s="65" t="inlineStr">
        <is>
          <t>Prix et honoraires</t>
        </is>
      </c>
      <c r="E14" s="84" t="inlineStr">
        <is>
          <t>Marché</t>
        </is>
      </c>
      <c r="F14" s="67" t="inlineStr">
        <is>
          <t>Chiffré (CA)</t>
        </is>
      </c>
      <c r="G14" s="82" t="inlineStr">
        <is>
          <t>Oui</t>
        </is>
      </c>
      <c r="H14" s="68" t="inlineStr">
        <is>
          <t>ACQ-13.01, ACQ-13.02, ACQ-13.03, ACQ-13.04, ACQ-13.05, ACQ-13.07, ACQ-13.11, ACQ-13.12, ACQ-13.13, ACQ-13.14</t>
        </is>
      </c>
      <c r="I14" s="68" t="inlineStr">
        <is>
          <t>Partagé avec FIN-01, FIN-04 et FIN-07 (posé une seule fois) ; Carnet de commandes (ACQ-19)</t>
        </is>
      </c>
      <c r="J14" s="68" t="inlineStr">
        <is>
          <t>Prix sous le marché et carnet plein → augmenter. Prix au marché et peu de demandes → ne pas toucher au prix, travailler l'apport de contacts.</t>
        </is>
      </c>
      <c r="K14" s="68" t="inlineStr">
        <is>
          <t>Donner le prix de ses 3 prestations principales.</t>
        </is>
      </c>
      <c r="L14" s="68" t="inlineStr">
        <is>
          <t>—</t>
        </is>
      </c>
      <c r="M14" s="83" t="n"/>
    </row>
    <row r="15" ht="23.85" customHeight="1" s="53">
      <c r="A15" s="81" t="inlineStr">
        <is>
          <t>ACQ-14</t>
        </is>
      </c>
      <c r="B15" s="68" t="inlineStr">
        <is>
          <t>Acquisition &amp; CA</t>
        </is>
      </c>
      <c r="C15" s="68" t="inlineStr">
        <is>
          <t>Chiffre d'affaires</t>
        </is>
      </c>
      <c r="D15" s="65" t="inlineStr">
        <is>
          <t>Négociation</t>
        </is>
      </c>
      <c r="E15" s="84" t="inlineStr">
        <is>
          <t>Marché</t>
        </is>
      </c>
      <c r="F15" s="67" t="inlineStr">
        <is>
          <t>Chiffré (CA)</t>
        </is>
      </c>
      <c r="G15" s="82" t="inlineStr">
        <is>
          <t>Oui</t>
        </is>
      </c>
      <c r="H15" s="68" t="inlineStr">
        <is>
          <t>ACQ-14.01, ACQ-14.02, ACQ-14.03, ACQ-14.04</t>
        </is>
      </c>
      <c r="I15" s="68" t="inlineStr">
        <is>
          <t>—</t>
        </is>
      </c>
      <c r="J15" s="68" t="inlineStr">
        <is>
          <t>Remise sur 10 % des ventes → traiter au cas par cas. Remise sur 80 % des ventes → règle de remise écrite, avec contrepartie.</t>
        </is>
      </c>
      <c r="K15" s="68" t="inlineStr">
        <is>
          <t>Comparer prix annoncé et encaissé sur les 5 dernières ventes.</t>
        </is>
      </c>
      <c r="L15" s="68" t="inlineStr">
        <is>
          <t>—</t>
        </is>
      </c>
      <c r="M15" s="83" t="n"/>
    </row>
    <row r="16" ht="57.45" customHeight="1" s="53">
      <c r="A16" s="81" t="inlineStr">
        <is>
          <t>ACQ-15</t>
        </is>
      </c>
      <c r="B16" s="68" t="inlineStr">
        <is>
          <t>Acquisition &amp; CA</t>
        </is>
      </c>
      <c r="C16" s="68" t="inlineStr">
        <is>
          <t>Chiffre d'affaires</t>
        </is>
      </c>
      <c r="D16" s="65" t="inlineStr">
        <is>
          <t>Panier moyen</t>
        </is>
      </c>
      <c r="E16" s="66" t="inlineStr">
        <is>
          <t>Cohérence</t>
        </is>
      </c>
      <c r="F16" s="67" t="inlineStr">
        <is>
          <t>Chiffré (CA)</t>
        </is>
      </c>
      <c r="G16" s="82" t="inlineStr">
        <is>
          <t>Oui</t>
        </is>
      </c>
      <c r="H16" s="68" t="inlineStr">
        <is>
          <t>ACQ-15.01, ACQ-15.02, ACQ-15.03, ACQ-15.04, ACQ-15.05, ACQ-15.09, ACQ-15.10, ACQ-15.11, ACQ-15.12, ACQ-15.13, ACQ-15.14</t>
        </is>
      </c>
      <c r="I16" s="68" t="inlineStr">
        <is>
          <t>Panier calculé : CA mensuel (inscription) ÷ clients signés (ACQ-11)</t>
        </is>
      </c>
      <c r="J16" s="68" t="inlineStr">
        <is>
          <t>Vente complémentaire jamais proposée → la proposer à chaque client. Déjà proposée à tous → créer une offre supérieure.</t>
        </is>
      </c>
      <c r="K16" s="68" t="inlineStr">
        <is>
          <t>—</t>
        </is>
      </c>
      <c r="L16" s="68" t="inlineStr">
        <is>
          <t>—</t>
        </is>
      </c>
      <c r="M16" s="83" t="n"/>
    </row>
    <row r="17" ht="23.85" customHeight="1" s="53">
      <c r="A17" s="81" t="inlineStr">
        <is>
          <t>ACQ-16</t>
        </is>
      </c>
      <c r="B17" s="68" t="inlineStr">
        <is>
          <t>Acquisition &amp; CA</t>
        </is>
      </c>
      <c r="C17" s="68" t="inlineStr">
        <is>
          <t>Chiffre d'affaires</t>
        </is>
      </c>
      <c r="D17" s="65" t="inlineStr">
        <is>
          <t>Répartition du CA</t>
        </is>
      </c>
      <c r="E17" s="66" t="inlineStr">
        <is>
          <t>Cohérence</t>
        </is>
      </c>
      <c r="F17" s="67" t="inlineStr">
        <is>
          <t>Qualifié</t>
        </is>
      </c>
      <c r="G17" s="82" t="inlineStr">
        <is>
          <t>Oui</t>
        </is>
      </c>
      <c r="H17" s="68" t="inlineStr">
        <is>
          <t>ACQ-16.01, ACQ-16.02, ACQ-16.03</t>
        </is>
      </c>
      <c r="I17" s="68" t="inlineStr">
        <is>
          <t>Partagé avec FIN-29 (posé une seule fois)</t>
        </is>
      </c>
      <c r="J17" s="68" t="inlineStr">
        <is>
          <t>Un client = 40 % du CA → diversification prioritaire. Aucun client au-dessus de 10 % → pas d'action.</t>
        </is>
      </c>
      <c r="K17" s="68" t="inlineStr">
        <is>
          <t>Lister les 3 plus grosses factures clients de l'année.</t>
        </is>
      </c>
      <c r="L17" s="68" t="inlineStr">
        <is>
          <t>—</t>
        </is>
      </c>
      <c r="M17" s="83" t="n"/>
    </row>
    <row r="18" ht="68.65000000000001" customHeight="1" s="53">
      <c r="A18" s="81" t="inlineStr">
        <is>
          <t>ACQ-17</t>
        </is>
      </c>
      <c r="B18" s="68" t="inlineStr">
        <is>
          <t>Acquisition &amp; CA</t>
        </is>
      </c>
      <c r="C18" s="68" t="inlineStr">
        <is>
          <t>Fidéliser</t>
        </is>
      </c>
      <c r="D18" s="65" t="inlineStr">
        <is>
          <t>Clients récurrents</t>
        </is>
      </c>
      <c r="E18" s="84" t="inlineStr">
        <is>
          <t>Marché</t>
        </is>
      </c>
      <c r="F18" s="67" t="inlineStr">
        <is>
          <t>Chiffré (CA)</t>
        </is>
      </c>
      <c r="G18" s="82" t="inlineStr">
        <is>
          <t>Oui</t>
        </is>
      </c>
      <c r="H18" s="68" t="inlineStr">
        <is>
          <t>ACQ-17.02, ACQ-17.04, ACQ-17.05, ACQ-17.06, ACQ-17.07, ACQ-17.08, ACQ-17.09, ACQ-17.10, ACQ-17.12, ACQ-17.13, ACQ-17.14, ACQ-17.15, ACQ-17.28, ACQ-17.29, ACQ-17.30</t>
        </is>
      </c>
      <c r="I18" s="68" t="inlineStr">
        <is>
          <t>Partagé avec FIN-05 (posé une seule fois)</t>
        </is>
      </c>
      <c r="J18" s="68" t="inlineStr">
        <is>
          <t>Métier à achat unique → miser sur la recommandation plutôt que le retour. Métier récurrent avec 10 % de retour → relance systématique après prestation.</t>
        </is>
      </c>
      <c r="K18" s="68" t="inlineStr">
        <is>
          <t>Compter les clients de l'an dernier revenus cette année.</t>
        </is>
      </c>
      <c r="L18" s="68" t="inlineStr">
        <is>
          <t>—</t>
        </is>
      </c>
      <c r="M18" s="83" t="n"/>
    </row>
    <row r="19" ht="35.05" customHeight="1" s="53">
      <c r="A19" s="81" t="inlineStr">
        <is>
          <t>ACQ-18</t>
        </is>
      </c>
      <c r="B19" s="68" t="inlineStr">
        <is>
          <t>Acquisition &amp; CA</t>
        </is>
      </c>
      <c r="C19" s="68" t="inlineStr">
        <is>
          <t>Fidéliser</t>
        </is>
      </c>
      <c r="D19" s="65" t="inlineStr">
        <is>
          <t>Recommandation</t>
        </is>
      </c>
      <c r="E19" s="70" t="inlineStr">
        <is>
          <t>Pratique</t>
        </is>
      </c>
      <c r="F19" s="67" t="inlineStr">
        <is>
          <t>Chiffré (CA)</t>
        </is>
      </c>
      <c r="G19" s="82" t="inlineStr">
        <is>
          <t>Oui</t>
        </is>
      </c>
      <c r="H19" s="68" t="inlineStr">
        <is>
          <t>ACQ-18.01, ACQ-18.02, ACQ-18.03, ACQ-18.06, ACQ-18.07</t>
        </is>
      </c>
      <c r="I19" s="68" t="inlineStr">
        <is>
          <t>Canaux (ACQ-03)</t>
        </is>
      </c>
      <c r="J19" s="68" t="inlineStr">
        <is>
          <t>Peu de recommandations malgré des clients satisfaits → la demander au bon moment. Déjà 50 % des clients → structurer un parrainage, sans en dépendre.</t>
        </is>
      </c>
      <c r="K19" s="68" t="inlineStr">
        <is>
          <t>Demander « comment nous avez-vous connus ? » aux 10 prochains clients.</t>
        </is>
      </c>
      <c r="L19" s="68" t="inlineStr">
        <is>
          <t>—</t>
        </is>
      </c>
      <c r="M19" s="83" t="n"/>
    </row>
    <row r="20" ht="23.85" customHeight="1" s="53">
      <c r="A20" s="81" t="inlineStr">
        <is>
          <t>ACQ-19</t>
        </is>
      </c>
      <c r="B20" s="68" t="inlineStr">
        <is>
          <t>Acquisition &amp; CA</t>
        </is>
      </c>
      <c r="C20" s="68" t="inlineStr">
        <is>
          <t>Fidéliser</t>
        </is>
      </c>
      <c r="D20" s="65" t="inlineStr">
        <is>
          <t>Carnet de commandes</t>
        </is>
      </c>
      <c r="E20" s="66" t="inlineStr">
        <is>
          <t>Cohérence</t>
        </is>
      </c>
      <c r="F20" s="67" t="inlineStr">
        <is>
          <t>Chiffré (CA)</t>
        </is>
      </c>
      <c r="G20" s="82" t="inlineStr">
        <is>
          <t>Oui</t>
        </is>
      </c>
      <c r="H20" s="68" t="inlineStr">
        <is>
          <t>ACQ-19.01, ACQ-19.02, ACQ-19.03, ACQ-19.04</t>
        </is>
      </c>
      <c r="I20" s="68" t="inlineStr">
        <is>
          <t>Capacité (ACQ-22)</t>
        </is>
      </c>
      <c r="J20" s="68" t="inlineStr">
        <is>
          <t>Moins de 2 semaines → prospection urgente. Plus de 3 mois → hausse de prix ou renfort (renvoi Finance et RH).</t>
        </is>
      </c>
      <c r="K20" s="68" t="inlineStr">
        <is>
          <t>Additionner les commandes signées non encore réalisées.</t>
        </is>
      </c>
      <c r="L20" s="68" t="inlineStr">
        <is>
          <t>Commerce sans commande</t>
        </is>
      </c>
      <c r="M20" s="83" t="n"/>
    </row>
    <row r="21" ht="35.05" customHeight="1" s="53">
      <c r="A21" s="81" t="inlineStr">
        <is>
          <t>ACQ-20</t>
        </is>
      </c>
      <c r="B21" s="68" t="inlineStr">
        <is>
          <t>Acquisition &amp; CA</t>
        </is>
      </c>
      <c r="C21" s="68" t="inlineStr">
        <is>
          <t>Piloter</t>
        </is>
      </c>
      <c r="D21" s="65" t="inlineStr">
        <is>
          <t>Suivi commercial</t>
        </is>
      </c>
      <c r="E21" s="70" t="inlineStr">
        <is>
          <t>Pratique</t>
        </is>
      </c>
      <c r="F21" s="67" t="inlineStr">
        <is>
          <t>Qualifié</t>
        </is>
      </c>
      <c r="G21" s="67" t="inlineStr">
        <is>
          <t>Calculé</t>
        </is>
      </c>
      <c r="H21" s="68" t="inlineStr">
        <is>
          <t>ACQ-20.01, ACQ-20.02, ACQ-20.05, ACQ-20.06</t>
        </is>
      </c>
      <c r="I21" s="68" t="inlineStr">
        <is>
          <t>Partagé avec FIN-34 et COM-43 (posé une seule fois) ; Calculé sur tout le questionnaire</t>
        </is>
      </c>
      <c r="J21" s="68" t="inlineStr">
        <is>
          <t>Peu de chiffres connus → un tableau de 3 indicateurs. Tous connus → passer à un outil de suivi des contacts.</t>
        </is>
      </c>
      <c r="K21" s="68" t="inlineStr">
        <is>
          <t>—</t>
        </is>
      </c>
      <c r="L21" s="68" t="inlineStr">
        <is>
          <t>—</t>
        </is>
      </c>
      <c r="M21" s="83" t="n"/>
    </row>
    <row r="22" ht="35.05" customHeight="1" s="53">
      <c r="A22" s="81" t="inlineStr">
        <is>
          <t>ACQ-21</t>
        </is>
      </c>
      <c r="B22" s="68" t="inlineStr">
        <is>
          <t>Acquisition &amp; CA</t>
        </is>
      </c>
      <c r="C22" s="68" t="inlineStr">
        <is>
          <t>Piloter</t>
        </is>
      </c>
      <c r="D22" s="65" t="inlineStr">
        <is>
          <t>Productivité</t>
        </is>
      </c>
      <c r="E22" s="84" t="inlineStr">
        <is>
          <t>Marché</t>
        </is>
      </c>
      <c r="F22" s="67" t="inlineStr">
        <is>
          <t>Chiffré (CA)</t>
        </is>
      </c>
      <c r="G22" s="82" t="inlineStr">
        <is>
          <t>Oui</t>
        </is>
      </c>
      <c r="H22" s="68" t="inlineStr">
        <is>
          <t>ACQ-21.01, ACQ-21.02, ACQ-21.03, ACQ-21.04, ACQ-21.06</t>
        </is>
      </c>
      <c r="I22" s="68" t="inlineStr">
        <is>
          <t>Partagé avec FIN-06, FIN-07, RH-05, RH-06 et RH-07 (posé une seule fois) ; CA mensuel et effectif (inscription)</t>
        </is>
      </c>
      <c r="J22" s="68" t="inlineStr">
        <is>
          <t>Productivité faible en petite équipe → regarder le temps administratif. En équipe structurée → écarts entre collaborateurs (renvoi RH).</t>
        </is>
      </c>
      <c r="K22" s="68" t="inlineStr">
        <is>
          <t>Compter les dossiers clôturés le mois dernier.</t>
        </is>
      </c>
      <c r="L22" s="68" t="inlineStr">
        <is>
          <t>—</t>
        </is>
      </c>
      <c r="M22" s="83" t="n"/>
    </row>
    <row r="23" ht="46.25" customHeight="1" s="53">
      <c r="A23" s="81" t="inlineStr">
        <is>
          <t>ACQ-22</t>
        </is>
      </c>
      <c r="B23" s="68" t="inlineStr">
        <is>
          <t>Acquisition &amp; CA</t>
        </is>
      </c>
      <c r="C23" s="68" t="inlineStr">
        <is>
          <t>Piloter</t>
        </is>
      </c>
      <c r="D23" s="65" t="inlineStr">
        <is>
          <t>Capacité commerciale</t>
        </is>
      </c>
      <c r="E23" s="66" t="inlineStr">
        <is>
          <t>Cohérence</t>
        </is>
      </c>
      <c r="F23" s="67" t="inlineStr">
        <is>
          <t>Chiffré (CA)</t>
        </is>
      </c>
      <c r="G23" s="82" t="inlineStr">
        <is>
          <t>Oui</t>
        </is>
      </c>
      <c r="H23" s="68" t="inlineStr">
        <is>
          <t>ACQ-22.01, ACQ-22.02, ACQ-22.03, ACQ-22.04, ACQ-22.05, ACQ-22.07, ACQ-22.09, ACQ-22.10</t>
        </is>
      </c>
      <c r="I23" s="68" t="inlineStr">
        <is>
          <t>CA mensuel (inscription) ; motif « stock » → renvoi vers les ruptures (FIN-41)</t>
        </is>
      </c>
      <c r="J23" s="68" t="inlineStr">
        <is>
          <t>Demandes perdues faute de temps et supérieures aux créneaux vides → étudier un créneau supplémentaire (coût → Finance). L'inverse → regrouper les jours d'ouverture. Perdues faute de stock → renvoi Finance, bloc Stock.</t>
        </is>
      </c>
      <c r="K23" s="68" t="inlineStr">
        <is>
          <t>Noter pendant 2 semaines les demandes refusées faute de temps.</t>
        </is>
      </c>
      <c r="L23" s="68" t="inlineStr">
        <is>
          <t>—</t>
        </is>
      </c>
      <c r="M23" s="83" t="n"/>
    </row>
    <row r="24" ht="23.85" customHeight="1" s="53">
      <c r="A24" s="81" t="inlineStr">
        <is>
          <t>ACQ-23</t>
        </is>
      </c>
      <c r="B24" s="68" t="inlineStr">
        <is>
          <t>Acquisition &amp; CA</t>
        </is>
      </c>
      <c r="C24" s="68" t="inlineStr">
        <is>
          <t>Piloter</t>
        </is>
      </c>
      <c r="D24" s="65" t="inlineStr">
        <is>
          <t>Saisonnalité</t>
        </is>
      </c>
      <c r="E24" s="66" t="inlineStr">
        <is>
          <t>Cohérence</t>
        </is>
      </c>
      <c r="F24" s="67" t="inlineStr">
        <is>
          <t>Chiffré (CA)</t>
        </is>
      </c>
      <c r="G24" s="82" t="inlineStr">
        <is>
          <t>Oui</t>
        </is>
      </c>
      <c r="H24" s="68" t="inlineStr">
        <is>
          <t>ACQ-23.01, ACQ-23.02, ACQ-23.03, ACQ-23.04, ACQ-23.12, ACQ-23.13</t>
        </is>
      </c>
      <c r="I24" s="68" t="inlineStr">
        <is>
          <t>Partagé avec FIN-14 et RH-11 (posé une seule fois)</t>
        </is>
      </c>
      <c r="J24" s="68" t="inlineStr">
        <is>
          <t>Écart faible → pas d'action. Creux de 50 % → lancer la prospection 2 mois avant le creux.</t>
        </is>
      </c>
      <c r="K24" s="68" t="inlineStr">
        <is>
          <t>Citer les mois forts et faibles, sans chiffre.</t>
        </is>
      </c>
      <c r="L24" s="68" t="inlineStr">
        <is>
          <t>—</t>
        </is>
      </c>
      <c r="M24" s="83" t="n"/>
    </row>
    <row r="25" ht="23.85" customHeight="1" s="53">
      <c r="A25" s="81" t="inlineStr">
        <is>
          <t>ACQ-24</t>
        </is>
      </c>
      <c r="B25" s="68" t="inlineStr">
        <is>
          <t>Acquisition &amp; CA</t>
        </is>
      </c>
      <c r="C25" s="68" t="inlineStr">
        <is>
          <t>Piloter</t>
        </is>
      </c>
      <c r="D25" s="65" t="inlineStr">
        <is>
          <t>Objectif et moyens</t>
        </is>
      </c>
      <c r="E25" s="66" t="inlineStr">
        <is>
          <t>Contexte</t>
        </is>
      </c>
      <c r="F25" s="67" t="inlineStr">
        <is>
          <t>—</t>
        </is>
      </c>
      <c r="G25" s="82" t="inlineStr">
        <is>
          <t>Non</t>
        </is>
      </c>
      <c r="H25" s="68" t="inlineStr">
        <is>
          <t>ACQ-24.02</t>
        </is>
      </c>
      <c r="I25" s="68" t="inlineStr">
        <is>
          <t>—</t>
        </is>
      </c>
      <c r="J25" s="68" t="inlineStr">
        <is>
          <t>—</t>
        </is>
      </c>
      <c r="K25" s="68" t="inlineStr">
        <is>
          <t>—</t>
        </is>
      </c>
      <c r="L25" s="68" t="inlineStr">
        <is>
          <t>—</t>
        </is>
      </c>
      <c r="M25" s="83" t="inlineStr">
        <is>
          <t>Nouveau : nature, impact et étape proposés, à valider</t>
        </is>
      </c>
    </row>
    <row r="26" ht="23.85" customHeight="1" s="53">
      <c r="A26" s="81" t="inlineStr">
        <is>
          <t>ACQ-25</t>
        </is>
      </c>
      <c r="B26" s="68" t="inlineStr">
        <is>
          <t>Acquisition &amp; CA</t>
        </is>
      </c>
      <c r="C26" s="68" t="inlineStr">
        <is>
          <t>Votre métier</t>
        </is>
      </c>
      <c r="D26" s="65" t="inlineStr">
        <is>
          <t>Métier · Transport de personnes et coursiers</t>
        </is>
      </c>
      <c r="E26" s="66" t="inlineStr">
        <is>
          <t>Contexte</t>
        </is>
      </c>
      <c r="F26" s="67" t="inlineStr">
        <is>
          <t>—</t>
        </is>
      </c>
      <c r="G26" s="82" t="inlineStr">
        <is>
          <t>Non</t>
        </is>
      </c>
      <c r="H26" s="68" t="inlineStr">
        <is>
          <t>ACQ-25.01, ACQ-25.02, ACQ-25.03, ACQ-25.04</t>
        </is>
      </c>
      <c r="I26" s="68" t="inlineStr">
        <is>
          <t>—</t>
        </is>
      </c>
      <c r="J26" s="68" t="inlineStr">
        <is>
          <t>—</t>
        </is>
      </c>
      <c r="K26" s="68" t="inlineStr">
        <is>
          <t>—</t>
        </is>
      </c>
      <c r="L26" s="68" t="inlineStr">
        <is>
          <t>—</t>
        </is>
      </c>
      <c r="M26" s="83" t="inlineStr">
        <is>
          <t>Nouveau : module métier ; nature, impact et étape proposés, à valider</t>
        </is>
      </c>
    </row>
    <row r="27" ht="23.85" customHeight="1" s="53">
      <c r="A27" s="81" t="inlineStr">
        <is>
          <t>ACQ-27</t>
        </is>
      </c>
      <c r="B27" s="68" t="inlineStr">
        <is>
          <t>Acquisition &amp; CA</t>
        </is>
      </c>
      <c r="C27" s="68" t="inlineStr">
        <is>
          <t>Votre métier</t>
        </is>
      </c>
      <c r="D27" s="65" t="inlineStr">
        <is>
          <t>Métier · Négoce</t>
        </is>
      </c>
      <c r="E27" s="66" t="inlineStr">
        <is>
          <t>Contexte</t>
        </is>
      </c>
      <c r="F27" s="67" t="inlineStr">
        <is>
          <t>—</t>
        </is>
      </c>
      <c r="G27" s="82" t="inlineStr">
        <is>
          <t>Non</t>
        </is>
      </c>
      <c r="H27" s="68" t="inlineStr">
        <is>
          <t>ACQ-27.01, ACQ-27.02, ACQ-27.03, ACQ-27.04</t>
        </is>
      </c>
      <c r="I27" s="68" t="inlineStr">
        <is>
          <t>—</t>
        </is>
      </c>
      <c r="J27" s="68" t="inlineStr">
        <is>
          <t>—</t>
        </is>
      </c>
      <c r="K27" s="68" t="inlineStr">
        <is>
          <t>—</t>
        </is>
      </c>
      <c r="L27" s="68" t="inlineStr">
        <is>
          <t>—</t>
        </is>
      </c>
      <c r="M27" s="83" t="inlineStr">
        <is>
          <t>Nouveau : module métier ; nature, impact et étape proposés, à valider</t>
        </is>
      </c>
    </row>
    <row r="28" ht="23.85" customHeight="1" s="53">
      <c r="A28" s="81" t="inlineStr">
        <is>
          <t>ACQ-28</t>
        </is>
      </c>
      <c r="B28" s="68" t="inlineStr">
        <is>
          <t>Acquisition &amp; CA</t>
        </is>
      </c>
      <c r="C28" s="68" t="inlineStr">
        <is>
          <t>Votre métier</t>
        </is>
      </c>
      <c r="D28" s="65" t="inlineStr">
        <is>
          <t>Métier · Vente de véhicules et de logements</t>
        </is>
      </c>
      <c r="E28" s="66" t="inlineStr">
        <is>
          <t>Contexte</t>
        </is>
      </c>
      <c r="F28" s="67" t="inlineStr">
        <is>
          <t>—</t>
        </is>
      </c>
      <c r="G28" s="82" t="inlineStr">
        <is>
          <t>Non</t>
        </is>
      </c>
      <c r="H28" s="68" t="inlineStr">
        <is>
          <t>ACQ-28.01, ACQ-28.02, ACQ-28.03, ACQ-28.04</t>
        </is>
      </c>
      <c r="I28" s="68" t="inlineStr">
        <is>
          <t>—</t>
        </is>
      </c>
      <c r="J28" s="68" t="inlineStr">
        <is>
          <t>—</t>
        </is>
      </c>
      <c r="K28" s="68" t="inlineStr">
        <is>
          <t>—</t>
        </is>
      </c>
      <c r="L28" s="68" t="inlineStr">
        <is>
          <t>—</t>
        </is>
      </c>
      <c r="M28" s="83" t="inlineStr">
        <is>
          <t>Nouveau : module métier ; nature, impact et étape proposés, à valider</t>
        </is>
      </c>
    </row>
    <row r="29" ht="35.05" customHeight="1" s="53">
      <c r="A29" s="81" t="inlineStr">
        <is>
          <t>ACQ-29</t>
        </is>
      </c>
      <c r="B29" s="68" t="inlineStr">
        <is>
          <t>Acquisition &amp; CA</t>
        </is>
      </c>
      <c r="C29" s="68" t="inlineStr">
        <is>
          <t>Votre métier</t>
        </is>
      </c>
      <c r="D29" s="65" t="inlineStr">
        <is>
          <t>Métier · Immobilier</t>
        </is>
      </c>
      <c r="E29" s="66" t="inlineStr">
        <is>
          <t>Contexte</t>
        </is>
      </c>
      <c r="F29" s="67" t="inlineStr">
        <is>
          <t>—</t>
        </is>
      </c>
      <c r="G29" s="82" t="inlineStr">
        <is>
          <t>Non</t>
        </is>
      </c>
      <c r="H29" s="68" t="inlineStr">
        <is>
          <t>ACQ-29.01, ACQ-29.02, ACQ-29.03, ACQ-29.04</t>
        </is>
      </c>
      <c r="I29" s="68" t="inlineStr">
        <is>
          <t>—</t>
        </is>
      </c>
      <c r="J29" s="68" t="inlineStr">
        <is>
          <t>—</t>
        </is>
      </c>
      <c r="K29" s="68" t="inlineStr">
        <is>
          <t>—</t>
        </is>
      </c>
      <c r="L29" s="68" t="inlineStr">
        <is>
          <t>—</t>
        </is>
      </c>
      <c r="M29" s="83" t="inlineStr">
        <is>
          <t>Nouveau : module métier ; nature, impact et étape proposés, à valider</t>
        </is>
      </c>
    </row>
    <row r="30" ht="23.85" customHeight="1" s="53">
      <c r="A30" s="81" t="inlineStr">
        <is>
          <t>ACQ-30</t>
        </is>
      </c>
      <c r="B30" s="68" t="inlineStr">
        <is>
          <t>Acquisition &amp; CA</t>
        </is>
      </c>
      <c r="C30" s="68" t="inlineStr">
        <is>
          <t>Piloter</t>
        </is>
      </c>
      <c r="D30" s="65" t="inlineStr">
        <is>
          <t>Contexte</t>
        </is>
      </c>
      <c r="E30" s="66" t="inlineStr">
        <is>
          <t>Contexte</t>
        </is>
      </c>
      <c r="F30" s="67" t="inlineStr">
        <is>
          <t>—</t>
        </is>
      </c>
      <c r="G30" s="82" t="inlineStr">
        <is>
          <t>Non</t>
        </is>
      </c>
      <c r="H30" s="68" t="inlineStr">
        <is>
          <t>ACQ-30.01</t>
        </is>
      </c>
      <c r="I30" s="68" t="inlineStr">
        <is>
          <t>—</t>
        </is>
      </c>
      <c r="J30" s="68" t="inlineStr">
        <is>
          <t>—</t>
        </is>
      </c>
      <c r="K30" s="68" t="inlineStr">
        <is>
          <t>—</t>
        </is>
      </c>
      <c r="L30" s="68" t="inlineStr">
        <is>
          <t>—</t>
        </is>
      </c>
      <c r="M30" s="83" t="inlineStr">
        <is>
          <t>Nouveau : nature, impact et étape proposés, à valider</t>
        </is>
      </c>
    </row>
    <row r="31" ht="35.05" customHeight="1" s="53">
      <c r="A31" s="85" t="inlineStr">
        <is>
          <t>FIN-01</t>
        </is>
      </c>
      <c r="B31" s="86" t="inlineStr">
        <is>
          <t>Finance &amp; Rentabilité</t>
        </is>
      </c>
      <c r="C31" s="86" t="inlineStr">
        <is>
          <t>Marges et rentabilité</t>
        </is>
      </c>
      <c r="D31" s="87" t="inlineStr">
        <is>
          <t>Marge par offre</t>
        </is>
      </c>
      <c r="E31" s="88" t="inlineStr">
        <is>
          <t>Cohérence</t>
        </is>
      </c>
      <c r="F31" s="89" t="inlineStr">
        <is>
          <t>Chiffré (marge)</t>
        </is>
      </c>
      <c r="G31" s="90" t="inlineStr">
        <is>
          <t>Oui</t>
        </is>
      </c>
      <c r="H31" s="86" t="inlineStr">
        <is>
          <t>FIN-01.01, FIN-01.02, FIN-01.03</t>
        </is>
      </c>
      <c r="I31" s="86" t="inlineStr">
        <is>
          <t>Partagé avec ACQ-13 (posé une seule fois)</t>
        </is>
      </c>
      <c r="J31" s="86" t="inlineStr">
        <is>
          <t>L'offre la moins rentable fait 50 % du CA → revoir son prix. Elle fait 5 % du CA → envisager de l'arrêter.</t>
        </is>
      </c>
      <c r="K31" s="86" t="inlineStr">
        <is>
          <t>Classer ses offres de la plus à la moins rentable, sans chiffre.</t>
        </is>
      </c>
      <c r="L31" s="86" t="inlineStr">
        <is>
          <t>—</t>
        </is>
      </c>
      <c r="M31" s="91" t="n"/>
    </row>
    <row r="32" ht="23.85" customHeight="1" s="53">
      <c r="A32" s="81" t="inlineStr">
        <is>
          <t>FIN-02</t>
        </is>
      </c>
      <c r="B32" s="68" t="inlineStr">
        <is>
          <t>Finance &amp; Rentabilité</t>
        </is>
      </c>
      <c r="C32" s="68" t="inlineStr">
        <is>
          <t>Marges et rentabilité</t>
        </is>
      </c>
      <c r="D32" s="65" t="inlineStr">
        <is>
          <t>Marge par client</t>
        </is>
      </c>
      <c r="E32" s="66" t="inlineStr">
        <is>
          <t>Cohérence</t>
        </is>
      </c>
      <c r="F32" s="67" t="inlineStr">
        <is>
          <t>Chiffré (marge)</t>
        </is>
      </c>
      <c r="G32" s="82" t="inlineStr">
        <is>
          <t>Oui</t>
        </is>
      </c>
      <c r="H32" s="68" t="inlineStr">
        <is>
          <t>FIN-02.01</t>
        </is>
      </c>
      <c r="I32" s="68" t="inlineStr">
        <is>
          <t>Répartition du CA (ACQ-16)</t>
        </is>
      </c>
      <c r="J32" s="68" t="inlineStr">
        <is>
          <t>1 client non rentable sur 50 → revoir ses conditions. 30 % des clients non rentables → revoir la grille de prix.</t>
        </is>
      </c>
      <c r="K32" s="68" t="inlineStr">
        <is>
          <t>Citer les clients qui prennent le plus de temps pour le moins de CA.</t>
        </is>
      </c>
      <c r="L32" s="68" t="inlineStr">
        <is>
          <t>—</t>
        </is>
      </c>
      <c r="M32" s="83" t="n"/>
    </row>
    <row r="33" ht="23.85" customHeight="1" s="53">
      <c r="A33" s="81" t="inlineStr">
        <is>
          <t>FIN-03</t>
        </is>
      </c>
      <c r="B33" s="68" t="inlineStr">
        <is>
          <t>Finance &amp; Rentabilité</t>
        </is>
      </c>
      <c r="C33" s="68" t="inlineStr">
        <is>
          <t>Marges et rentabilité</t>
        </is>
      </c>
      <c r="D33" s="65" t="inlineStr">
        <is>
          <t>Coût de revient</t>
        </is>
      </c>
      <c r="E33" s="70" t="inlineStr">
        <is>
          <t>Pratique</t>
        </is>
      </c>
      <c r="F33" s="67" t="inlineStr">
        <is>
          <t>Qualifié</t>
        </is>
      </c>
      <c r="G33" s="67" t="inlineStr">
        <is>
          <t>Calculé</t>
        </is>
      </c>
      <c r="H33" s="68" t="inlineStr">
        <is>
          <t>FIN-03.01</t>
        </is>
      </c>
      <c r="I33" s="68" t="inlineStr">
        <is>
          <t>—</t>
        </is>
      </c>
      <c r="J33" s="68" t="inlineStr">
        <is>
          <t>Coût inconnu sur l'offre phare → le calculer sur elle seule d'abord. Inconnu sur 20 offres → méthode simple par familles.</t>
        </is>
      </c>
      <c r="K33" s="68" t="inlineStr">
        <is>
          <t>Première action : chiffrer une prestation type de bout en bout.</t>
        </is>
      </c>
      <c r="L33" s="68" t="inlineStr">
        <is>
          <t>—</t>
        </is>
      </c>
      <c r="M33" s="83" t="n"/>
    </row>
    <row r="34" ht="35.05" customHeight="1" s="53">
      <c r="A34" s="81" t="inlineStr">
        <is>
          <t>FIN-04</t>
        </is>
      </c>
      <c r="B34" s="68" t="inlineStr">
        <is>
          <t>Finance &amp; Rentabilité</t>
        </is>
      </c>
      <c r="C34" s="68" t="inlineStr">
        <is>
          <t>Marges et rentabilité</t>
        </is>
      </c>
      <c r="D34" s="65" t="inlineStr">
        <is>
          <t>Érosion des marges</t>
        </is>
      </c>
      <c r="E34" s="66" t="inlineStr">
        <is>
          <t>Cohérence</t>
        </is>
      </c>
      <c r="F34" s="67" t="inlineStr">
        <is>
          <t>Chiffré (marge)</t>
        </is>
      </c>
      <c r="G34" s="67" t="inlineStr">
        <is>
          <t>Calculé</t>
        </is>
      </c>
      <c r="H34" s="68" t="inlineStr">
        <is>
          <t>FIN-04.01</t>
        </is>
      </c>
      <c r="I34" s="68" t="inlineStr">
        <is>
          <t>Prix (ACQ-13) — partagé, posé une seule fois</t>
        </is>
      </c>
      <c r="J34" s="68" t="inlineStr">
        <is>
          <t>Coûts +8 % et prix inchangés → répercussion urgente. Écart d'un point → ajustement à la prochaine révision annuelle.</t>
        </is>
      </c>
      <c r="K34" s="68" t="inlineStr">
        <is>
          <t>Comparer les 2 dernières factures du principal fournisseur.</t>
        </is>
      </c>
      <c r="L34" s="68" t="inlineStr">
        <is>
          <t>—</t>
        </is>
      </c>
      <c r="M34" s="83" t="n"/>
    </row>
    <row r="35" ht="23.85" customHeight="1" s="53">
      <c r="A35" s="81" t="inlineStr">
        <is>
          <t>FIN-05</t>
        </is>
      </c>
      <c r="B35" s="68" t="inlineStr">
        <is>
          <t>Finance &amp; Rentabilité</t>
        </is>
      </c>
      <c r="C35" s="68" t="inlineStr">
        <is>
          <t>Marges et rentabilité</t>
        </is>
      </c>
      <c r="D35" s="65" t="inlineStr">
        <is>
          <t>Seuil de rentabilité</t>
        </is>
      </c>
      <c r="E35" s="66" t="inlineStr">
        <is>
          <t>Cohérence</t>
        </is>
      </c>
      <c r="F35" s="67" t="inlineStr">
        <is>
          <t>Chiffré (marge)</t>
        </is>
      </c>
      <c r="G35" s="82" t="inlineStr">
        <is>
          <t>Oui</t>
        </is>
      </c>
      <c r="H35" s="68" t="inlineStr">
        <is>
          <t>FIN-05.01, FIN-05.02, FIN-05.03, FIN-05.04, FIN-05.05, FIN-05.06, FIN-05.07</t>
        </is>
      </c>
      <c r="I35" s="68" t="inlineStr">
        <is>
          <t>Partagé avec ACQ-07, ACQ-17 et COM-32 (posé une seule fois) ; CA mensuel (inscription)</t>
        </is>
      </c>
      <c r="J35" s="68" t="inlineStr">
        <is>
          <t>CA à 105 % du seuil → sécuriser les charges fixes en priorité. À 150 % → marge de manœuvre pour investir.</t>
        </is>
      </c>
      <c r="K35" s="68" t="inlineStr">
        <is>
          <t>Additionner les charges fixes du dernier relevé bancaire.</t>
        </is>
      </c>
      <c r="L35" s="68" t="inlineStr">
        <is>
          <t>—</t>
        </is>
      </c>
      <c r="M35" s="83" t="n"/>
    </row>
    <row r="36" ht="23.85" customHeight="1" s="53">
      <c r="A36" s="81" t="inlineStr">
        <is>
          <t>FIN-06</t>
        </is>
      </c>
      <c r="B36" s="68" t="inlineStr">
        <is>
          <t>Finance &amp; Rentabilité</t>
        </is>
      </c>
      <c r="C36" s="68" t="inlineStr">
        <is>
          <t>Structure de coûts</t>
        </is>
      </c>
      <c r="D36" s="65" t="inlineStr">
        <is>
          <t>Charges fixes et variables</t>
        </is>
      </c>
      <c r="E36" s="66" t="inlineStr">
        <is>
          <t>Cohérence</t>
        </is>
      </c>
      <c r="F36" s="67" t="inlineStr">
        <is>
          <t>Qualifié</t>
        </is>
      </c>
      <c r="G36" s="82" t="inlineStr">
        <is>
          <t>Oui</t>
        </is>
      </c>
      <c r="H36" s="68" t="inlineStr">
        <is>
          <t>FIN-06.01, FIN-06.02, FIN-06.03, FIN-06.04</t>
        </is>
      </c>
      <c r="I36" s="68" t="inlineStr">
        <is>
          <t>Partagé avec ACQ-11 et ACQ-21 (posé une seule fois) ; Charges fixes (FIN-05)</t>
        </is>
      </c>
      <c r="J36" s="68" t="inlineStr">
        <is>
          <t>70 % de charges fixes avec une activité saisonnière → transformer des fixes en variables. 30 % → pas prioritaire.</t>
        </is>
      </c>
      <c r="K36" s="68" t="inlineStr">
        <is>
          <t>Séparer les dépenses du dernier mois en « tous les mois » et « selon l'activité ».</t>
        </is>
      </c>
      <c r="L36" s="68" t="inlineStr">
        <is>
          <t>—</t>
        </is>
      </c>
      <c r="M36" s="83" t="n"/>
    </row>
    <row r="37" ht="23.85" customHeight="1" s="53">
      <c r="A37" s="81" t="inlineStr">
        <is>
          <t>FIN-07</t>
        </is>
      </c>
      <c r="B37" s="68" t="inlineStr">
        <is>
          <t>Finance &amp; Rentabilité</t>
        </is>
      </c>
      <c r="C37" s="68" t="inlineStr">
        <is>
          <t>Structure de coûts</t>
        </is>
      </c>
      <c r="D37" s="65" t="inlineStr">
        <is>
          <t>Coût de l'équipe</t>
        </is>
      </c>
      <c r="E37" s="84" t="inlineStr">
        <is>
          <t>Marché</t>
        </is>
      </c>
      <c r="F37" s="67" t="inlineStr">
        <is>
          <t>Chiffré (marge)</t>
        </is>
      </c>
      <c r="G37" s="82" t="inlineStr">
        <is>
          <t>Oui</t>
        </is>
      </c>
      <c r="H37" s="68" t="inlineStr">
        <is>
          <t>FIN-07.01, FIN-07.02, FIN-07.03, FIN-07.04, FIN-07.05, FIN-07.06, FIN-07.17</t>
        </is>
      </c>
      <c r="I37" s="68" t="inlineStr">
        <is>
          <t>Partagé avec ACQ-13, ACQ-21 et RH-06 (posé une seule fois) ; CA mensuel et effectif (inscription)</t>
        </is>
      </c>
      <c r="J37" s="68" t="inlineStr">
        <is>
          <t>Poids élevé et carnet plein → hausse de prix. Poids élevé et carnet vide → renvoi RH (charge) et Acquisition (volume).</t>
        </is>
      </c>
      <c r="K37" s="68" t="inlineStr">
        <is>
          <t>Total des salaires et charges du dernier mois.</t>
        </is>
      </c>
      <c r="L37" s="68" t="inlineStr">
        <is>
          <t>Seul</t>
        </is>
      </c>
      <c r="M37" s="83" t="n"/>
    </row>
    <row r="38" ht="23.85" customHeight="1" s="53">
      <c r="A38" s="81" t="inlineStr">
        <is>
          <t>FIN-08</t>
        </is>
      </c>
      <c r="B38" s="68" t="inlineStr">
        <is>
          <t>Finance &amp; Rentabilité</t>
        </is>
      </c>
      <c r="C38" s="68" t="inlineStr">
        <is>
          <t>Structure de coûts</t>
        </is>
      </c>
      <c r="D38" s="65" t="inlineStr">
        <is>
          <t>Achats et sous-traitance</t>
        </is>
      </c>
      <c r="E38" s="66" t="inlineStr">
        <is>
          <t>Cohérence</t>
        </is>
      </c>
      <c r="F38" s="67" t="inlineStr">
        <is>
          <t>Chiffré (marge)</t>
        </is>
      </c>
      <c r="G38" s="82" t="inlineStr">
        <is>
          <t>Oui</t>
        </is>
      </c>
      <c r="H38" s="68" t="inlineStr">
        <is>
          <t>FIN-08.01, FIN-08.02, FIN-08.03, FIN-08.04, FIN-08.05, FIN-08.06</t>
        </is>
      </c>
      <c r="I38" s="68" t="inlineStr">
        <is>
          <t>—</t>
        </is>
      </c>
      <c r="J38" s="68" t="inlineStr">
        <is>
          <t>Un fournisseur = 60 % des achats → renégocier ou mettre en concurrence. 30 petits fournisseurs → regrouper les achats.</t>
        </is>
      </c>
      <c r="K38" s="68" t="inlineStr">
        <is>
          <t>Total des factures fournisseurs du dernier mois.</t>
        </is>
      </c>
      <c r="L38" s="68" t="inlineStr">
        <is>
          <t>Sans achats (services purs)</t>
        </is>
      </c>
      <c r="M38" s="83" t="n"/>
    </row>
    <row r="39" ht="23.85" customHeight="1" s="53">
      <c r="A39" s="81" t="inlineStr">
        <is>
          <t>FIN-09</t>
        </is>
      </c>
      <c r="B39" s="68" t="inlineStr">
        <is>
          <t>Finance &amp; Rentabilité</t>
        </is>
      </c>
      <c r="C39" s="68" t="inlineStr">
        <is>
          <t>Structure de coûts</t>
        </is>
      </c>
      <c r="D39" s="65" t="inlineStr">
        <is>
          <t>Dépenses récurrentes</t>
        </is>
      </c>
      <c r="E39" s="70" t="inlineStr">
        <is>
          <t>Pratique</t>
        </is>
      </c>
      <c r="F39" s="67" t="inlineStr">
        <is>
          <t>Chiffré (marge)</t>
        </is>
      </c>
      <c r="G39" s="82" t="inlineStr">
        <is>
          <t>Oui</t>
        </is>
      </c>
      <c r="H39" s="68" t="inlineStr">
        <is>
          <t>FIN-09.01, FIN-09.02, FIN-09.03, FIN-09.10</t>
        </is>
      </c>
      <c r="I39" s="68" t="inlineStr">
        <is>
          <t>—</t>
        </is>
      </c>
      <c r="J39" s="68" t="inlineStr">
        <is>
          <t>5 abonnements → revue en 30 minutes. 40 → inventaire complet sur les relevés.</t>
        </is>
      </c>
      <c r="K39" s="68" t="inlineStr">
        <is>
          <t>Lister les prélèvements du dernier relevé bancaire.</t>
        </is>
      </c>
      <c r="L39" s="68" t="inlineStr">
        <is>
          <t>—</t>
        </is>
      </c>
      <c r="M39" s="83" t="n"/>
    </row>
    <row r="40" ht="23.85" customHeight="1" s="53">
      <c r="A40" s="81" t="inlineStr">
        <is>
          <t>FIN-10</t>
        </is>
      </c>
      <c r="B40" s="68" t="inlineStr">
        <is>
          <t>Finance &amp; Rentabilité</t>
        </is>
      </c>
      <c r="C40" s="68" t="inlineStr">
        <is>
          <t>Structure de coûts</t>
        </is>
      </c>
      <c r="D40" s="65" t="inlineStr">
        <is>
          <t>Coût des erreurs</t>
        </is>
      </c>
      <c r="E40" s="70" t="inlineStr">
        <is>
          <t>Pratique</t>
        </is>
      </c>
      <c r="F40" s="67" t="inlineStr">
        <is>
          <t>Chiffré (marge)</t>
        </is>
      </c>
      <c r="G40" s="82" t="inlineStr">
        <is>
          <t>Oui</t>
        </is>
      </c>
      <c r="H40" s="68" t="inlineStr">
        <is>
          <t>FIN-10.01, FIN-10.02, FIN-10.03, FIN-10.04, FIN-10.05</t>
        </is>
      </c>
      <c r="I40" s="68" t="inlineStr">
        <is>
          <t>Nombre de reprises partagé avec RH-16 (posé une seule fois) ; pertes de marchandises comptées en FIN-40</t>
        </is>
      </c>
      <c r="J40" s="68" t="inlineStr">
        <is>
          <t>2 reprises par mois → traiter au cas par cas. 20 → chercher la cause commune (renvoi RH).</t>
        </is>
      </c>
      <c r="K40" s="68" t="inlineStr">
        <is>
          <t>Noter les reprises et gestes du mois en cours.</t>
        </is>
      </c>
      <c r="L40" s="68" t="inlineStr">
        <is>
          <t>—</t>
        </is>
      </c>
      <c r="M40" s="83" t="n"/>
    </row>
    <row r="41" ht="23.85" customHeight="1" s="53">
      <c r="A41" s="81" t="inlineStr">
        <is>
          <t>FIN-11</t>
        </is>
      </c>
      <c r="B41" s="68" t="inlineStr">
        <is>
          <t>Finance &amp; Rentabilité</t>
        </is>
      </c>
      <c r="C41" s="68" t="inlineStr">
        <is>
          <t>Trésorerie</t>
        </is>
      </c>
      <c r="D41" s="65" t="inlineStr">
        <is>
          <t>Trésorerie disponible</t>
        </is>
      </c>
      <c r="E41" s="70" t="inlineStr">
        <is>
          <t>Pratique</t>
        </is>
      </c>
      <c r="F41" s="67" t="inlineStr">
        <is>
          <t>Chiffré (trésorerie)</t>
        </is>
      </c>
      <c r="G41" s="82" t="inlineStr">
        <is>
          <t>Oui</t>
        </is>
      </c>
      <c r="H41" s="68" t="inlineStr">
        <is>
          <t>FIN-11.01, FIN-11.02, FIN-11.03</t>
        </is>
      </c>
      <c r="I41" s="68" t="inlineStr">
        <is>
          <t>Charges fixes (FIN-05) → nombre de mois couverts calculé</t>
        </is>
      </c>
      <c r="J41" s="68" t="inlineStr">
        <is>
          <t>Moins d'un mois couvert → plan de trésorerie semaine par semaine. Plus de 6 mois → réfléchir à l'usage de l'excédent.</t>
        </is>
      </c>
      <c r="K41" s="68" t="inlineStr">
        <is>
          <t>Lu sur le compte bancaire.</t>
        </is>
      </c>
      <c r="L41" s="68" t="inlineStr">
        <is>
          <t>—</t>
        </is>
      </c>
      <c r="M41" s="83" t="n"/>
    </row>
    <row r="42" ht="23.85" customHeight="1" s="53">
      <c r="A42" s="81" t="inlineStr">
        <is>
          <t>FIN-12</t>
        </is>
      </c>
      <c r="B42" s="68" t="inlineStr">
        <is>
          <t>Finance &amp; Rentabilité</t>
        </is>
      </c>
      <c r="C42" s="68" t="inlineStr">
        <is>
          <t>Trésorerie</t>
        </is>
      </c>
      <c r="D42" s="65" t="inlineStr">
        <is>
          <t>Flux</t>
        </is>
      </c>
      <c r="E42" s="66" t="inlineStr">
        <is>
          <t>Cohérence</t>
        </is>
      </c>
      <c r="F42" s="67" t="inlineStr">
        <is>
          <t>Qualifié</t>
        </is>
      </c>
      <c r="G42" s="82" t="inlineStr">
        <is>
          <t>Oui</t>
        </is>
      </c>
      <c r="H42" s="68" t="inlineStr">
        <is>
          <t>FIN-12.01</t>
        </is>
      </c>
      <c r="I42" s="68" t="inlineStr">
        <is>
          <t>—</t>
        </is>
      </c>
      <c r="J42" s="68" t="inlineStr">
        <is>
          <t>Un mois négatif par an → l'anticiper. Un mois sur deux → problème de fond (marges ou délais).</t>
        </is>
      </c>
      <c r="K42" s="68" t="inlineStr">
        <is>
          <t>Lu sur les 3 derniers relevés.</t>
        </is>
      </c>
      <c r="L42" s="68" t="inlineStr">
        <is>
          <t>—</t>
        </is>
      </c>
      <c r="M42" s="83" t="n"/>
    </row>
    <row r="43" ht="23.85" customHeight="1" s="53">
      <c r="A43" s="81" t="inlineStr">
        <is>
          <t>FIN-13</t>
        </is>
      </c>
      <c r="B43" s="68" t="inlineStr">
        <is>
          <t>Finance &amp; Rentabilité</t>
        </is>
      </c>
      <c r="C43" s="68" t="inlineStr">
        <is>
          <t>Trésorerie</t>
        </is>
      </c>
      <c r="D43" s="65" t="inlineStr">
        <is>
          <t>Échéances à venir</t>
        </is>
      </c>
      <c r="E43" s="70" t="inlineStr">
        <is>
          <t>Pratique</t>
        </is>
      </c>
      <c r="F43" s="67" t="inlineStr">
        <is>
          <t>Qualifié</t>
        </is>
      </c>
      <c r="G43" s="82" t="inlineStr">
        <is>
          <t>Oui</t>
        </is>
      </c>
      <c r="H43" s="68" t="inlineStr">
        <is>
          <t>FIN-13.01, FIN-13.02, FIN-13.06</t>
        </is>
      </c>
      <c r="I43" s="68" t="inlineStr">
        <is>
          <t>Trésorerie (FIN-11)</t>
        </is>
      </c>
      <c r="J43" s="68" t="inlineStr">
        <is>
          <t>Une grosse échéance → la provisionner. Plusieurs en même temps → étaler ou négocier.</t>
        </is>
      </c>
      <c r="K43" s="68" t="inlineStr">
        <is>
          <t>Lister les échéances connues (impôts, emprunts, achats prévus).</t>
        </is>
      </c>
      <c r="L43" s="68" t="inlineStr">
        <is>
          <t>—</t>
        </is>
      </c>
      <c r="M43" s="83" t="n"/>
    </row>
    <row r="44" ht="23.85" customHeight="1" s="53">
      <c r="A44" s="81" t="inlineStr">
        <is>
          <t>FIN-14</t>
        </is>
      </c>
      <c r="B44" s="68" t="inlineStr">
        <is>
          <t>Finance &amp; Rentabilité</t>
        </is>
      </c>
      <c r="C44" s="68" t="inlineStr">
        <is>
          <t>Trésorerie</t>
        </is>
      </c>
      <c r="D44" s="65" t="inlineStr">
        <is>
          <t>Saisonnalité</t>
        </is>
      </c>
      <c r="E44" s="66" t="inlineStr">
        <is>
          <t>Cohérence</t>
        </is>
      </c>
      <c r="F44" s="67" t="inlineStr">
        <is>
          <t>Qualifié</t>
        </is>
      </c>
      <c r="G44" s="67" t="inlineStr">
        <is>
          <t>Calculé</t>
        </is>
      </c>
      <c r="H44" s="68" t="inlineStr">
        <is>
          <t>FIN-14.01, FIN-14.03, FIN-14.04</t>
        </is>
      </c>
      <c r="I44" s="68" t="inlineStr">
        <is>
          <t>Mois forts et faibles (ACQ-23) — partagé, posé une seule fois</t>
        </is>
      </c>
      <c r="J44" s="68" t="inlineStr">
        <is>
          <t>Creux d'un mois → constituer une réserve. Creux de 4 mois → acomptes ou financement saisonnier.</t>
        </is>
      </c>
      <c r="K44" s="68" t="inlineStr">
        <is>
          <t>—</t>
        </is>
      </c>
      <c r="L44" s="68" t="inlineStr">
        <is>
          <t>—</t>
        </is>
      </c>
      <c r="M44" s="83" t="n"/>
    </row>
    <row r="45" ht="35.05" customHeight="1" s="53">
      <c r="A45" s="81" t="inlineStr">
        <is>
          <t>FIN-15</t>
        </is>
      </c>
      <c r="B45" s="68" t="inlineStr">
        <is>
          <t>Finance &amp; Rentabilité</t>
        </is>
      </c>
      <c r="C45" s="68" t="inlineStr">
        <is>
          <t>Trésorerie</t>
        </is>
      </c>
      <c r="D45" s="65" t="inlineStr">
        <is>
          <t>Marge de sécurité</t>
        </is>
      </c>
      <c r="E45" s="70" t="inlineStr">
        <is>
          <t>Pratique</t>
        </is>
      </c>
      <c r="F45" s="67" t="inlineStr">
        <is>
          <t>Qualifié</t>
        </is>
      </c>
      <c r="G45" s="82" t="inlineStr">
        <is>
          <t>Oui</t>
        </is>
      </c>
      <c r="H45" s="68" t="inlineStr">
        <is>
          <t>FIN-15.01</t>
        </is>
      </c>
      <c r="I45" s="68" t="inlineStr">
        <is>
          <t>Trésorerie (FIN-11)</t>
        </is>
      </c>
      <c r="J45" s="68" t="inlineStr">
        <is>
          <t>Aucune réserve → mettre de côté un montant fixe chaque mois. Réserve existante → ne pas l'utiliser pour l'activité courante.</t>
        </is>
      </c>
      <c r="K45" s="68" t="inlineStr">
        <is>
          <t>Estimer la plus grosse dépense imprévue payable demain.</t>
        </is>
      </c>
      <c r="L45" s="68" t="inlineStr">
        <is>
          <t>—</t>
        </is>
      </c>
      <c r="M45" s="83" t="n"/>
    </row>
    <row r="46" ht="23.85" customHeight="1" s="53">
      <c r="A46" s="81" t="inlineStr">
        <is>
          <t>FIN-16</t>
        </is>
      </c>
      <c r="B46" s="68" t="inlineStr">
        <is>
          <t>Finance &amp; Rentabilité</t>
        </is>
      </c>
      <c r="C46" s="68" t="inlineStr">
        <is>
          <t>Encaissements et décaissements</t>
        </is>
      </c>
      <c r="D46" s="65" t="inlineStr">
        <is>
          <t>Délai de facturation</t>
        </is>
      </c>
      <c r="E46" s="70" t="inlineStr">
        <is>
          <t>Pratique</t>
        </is>
      </c>
      <c r="F46" s="67" t="inlineStr">
        <is>
          <t>Chiffré (trésorerie)</t>
        </is>
      </c>
      <c r="G46" s="82" t="inlineStr">
        <is>
          <t>Oui</t>
        </is>
      </c>
      <c r="H46" s="68" t="inlineStr">
        <is>
          <t>FIN-16.01, FIN-16.02, FIN-16.03, FIN-16.04</t>
        </is>
      </c>
      <c r="I46" s="68" t="inlineStr">
        <is>
          <t>—</t>
        </is>
      </c>
      <c r="J46" s="68" t="inlineStr">
        <is>
          <t>5 factures par mois → facturer le jour même à la main. 200 → facturation automatique à la clôture du dossier.</t>
        </is>
      </c>
      <c r="K46" s="68" t="inlineStr">
        <is>
          <t>Comparer les dates sur les 5 dernières factures.</t>
        </is>
      </c>
      <c r="L46" s="68" t="inlineStr">
        <is>
          <t>Encaissement immédiat (commerce)</t>
        </is>
      </c>
      <c r="M46" s="83" t="n"/>
    </row>
    <row r="47" ht="23.85" customHeight="1" s="53">
      <c r="A47" s="81" t="inlineStr">
        <is>
          <t>FIN-17</t>
        </is>
      </c>
      <c r="B47" s="68" t="inlineStr">
        <is>
          <t>Finance &amp; Rentabilité</t>
        </is>
      </c>
      <c r="C47" s="68" t="inlineStr">
        <is>
          <t>Encaissements et décaissements</t>
        </is>
      </c>
      <c r="D47" s="65" t="inlineStr">
        <is>
          <t>Délai de paiement</t>
        </is>
      </c>
      <c r="E47" s="84" t="inlineStr">
        <is>
          <t>Marché</t>
        </is>
      </c>
      <c r="F47" s="67" t="inlineStr">
        <is>
          <t>Chiffré (trésorerie)</t>
        </is>
      </c>
      <c r="G47" s="82" t="inlineStr">
        <is>
          <t>Oui</t>
        </is>
      </c>
      <c r="H47" s="68" t="inlineStr">
        <is>
          <t>FIN-17.01, FIN-17.02, FIN-17.03, FIN-17.04, FIN-17.10</t>
        </is>
      </c>
      <c r="I47" s="68" t="inlineStr">
        <is>
          <t>CA mensuel (inscription) → trésorerie libérée calculée</t>
        </is>
      </c>
      <c r="J47" s="68" t="inlineStr">
        <is>
          <t>Peu de clients → relance personnelle. Beaucoup → relances automatiques datées. Gain affiché = jours gagnés × CA d'une journée.</t>
        </is>
      </c>
      <c r="K47" s="68" t="inlineStr">
        <is>
          <t>Comparer dates de facture et de paiement sur les 10 dernières.</t>
        </is>
      </c>
      <c r="L47" s="68" t="inlineStr">
        <is>
          <t>Encaissement immédiat (commerce)</t>
        </is>
      </c>
      <c r="M47" s="83" t="n"/>
    </row>
    <row r="48" ht="23.85" customHeight="1" s="53">
      <c r="A48" s="81" t="inlineStr">
        <is>
          <t>FIN-18</t>
        </is>
      </c>
      <c r="B48" s="68" t="inlineStr">
        <is>
          <t>Finance &amp; Rentabilité</t>
        </is>
      </c>
      <c r="C48" s="68" t="inlineStr">
        <is>
          <t>Encaissements et décaissements</t>
        </is>
      </c>
      <c r="D48" s="65" t="inlineStr">
        <is>
          <t>Impayés</t>
        </is>
      </c>
      <c r="E48" s="70" t="inlineStr">
        <is>
          <t>Pratique</t>
        </is>
      </c>
      <c r="F48" s="67" t="inlineStr">
        <is>
          <t>Chiffré (trésorerie)</t>
        </is>
      </c>
      <c r="G48" s="82" t="inlineStr">
        <is>
          <t>Oui</t>
        </is>
      </c>
      <c r="H48" s="68" t="inlineStr">
        <is>
          <t>FIN-18.01, FIN-18.02, FIN-18.03, FIN-18.04, FIN-18.05, FIN-18.06</t>
        </is>
      </c>
      <c r="I48" s="68" t="inlineStr">
        <is>
          <t>—</t>
        </is>
      </c>
      <c r="J48" s="68" t="inlineStr">
        <is>
          <t>3 clients en retard → un appel direct. 40 → procédure écrite et acomptes.</t>
        </is>
      </c>
      <c r="K48" s="68" t="inlineStr">
        <is>
          <t>Lister les factures non payées à la date du jour.</t>
        </is>
      </c>
      <c r="L48" s="68" t="inlineStr">
        <is>
          <t>Encaissement immédiat (commerce)</t>
        </is>
      </c>
      <c r="M48" s="83" t="n"/>
    </row>
    <row r="49" ht="23.85" customHeight="1" s="53">
      <c r="A49" s="81" t="inlineStr">
        <is>
          <t>FIN-19</t>
        </is>
      </c>
      <c r="B49" s="68" t="inlineStr">
        <is>
          <t>Finance &amp; Rentabilité</t>
        </is>
      </c>
      <c r="C49" s="68" t="inlineStr">
        <is>
          <t>Encaissements et décaissements</t>
        </is>
      </c>
      <c r="D49" s="65" t="inlineStr">
        <is>
          <t>Acomptes</t>
        </is>
      </c>
      <c r="E49" s="70" t="inlineStr">
        <is>
          <t>Pratique</t>
        </is>
      </c>
      <c r="F49" s="67" t="inlineStr">
        <is>
          <t>Chiffré (trésorerie)</t>
        </is>
      </c>
      <c r="G49" s="82" t="inlineStr">
        <is>
          <t>Oui</t>
        </is>
      </c>
      <c r="H49" s="68" t="inlineStr">
        <is>
          <t>FIN-19.01, FIN-19.02</t>
        </is>
      </c>
      <c r="I49" s="68" t="inlineStr">
        <is>
          <t>Panier moyen (ACQ-15)</t>
        </is>
      </c>
      <c r="J49" s="68" t="inlineStr">
        <is>
          <t>Ventes de 50 € → acompte inutile. Ventes de 5 000 € sans acompte → acompte systématique.</t>
        </is>
      </c>
      <c r="K49" s="68" t="inlineStr">
        <is>
          <t>—</t>
        </is>
      </c>
      <c r="L49" s="68" t="inlineStr">
        <is>
          <t>Encaissement immédiat (commerce)</t>
        </is>
      </c>
      <c r="M49" s="83" t="n"/>
    </row>
    <row r="50" ht="23.85" customHeight="1" s="53">
      <c r="A50" s="81" t="inlineStr">
        <is>
          <t>FIN-20</t>
        </is>
      </c>
      <c r="B50" s="68" t="inlineStr">
        <is>
          <t>Finance &amp; Rentabilité</t>
        </is>
      </c>
      <c r="C50" s="68" t="inlineStr">
        <is>
          <t>Encaissements et décaissements</t>
        </is>
      </c>
      <c r="D50" s="65" t="inlineStr">
        <is>
          <t>Paiements fournisseurs</t>
        </is>
      </c>
      <c r="E50" s="66" t="inlineStr">
        <is>
          <t>Cohérence</t>
        </is>
      </c>
      <c r="F50" s="67" t="inlineStr">
        <is>
          <t>Chiffré (trésorerie)</t>
        </is>
      </c>
      <c r="G50" s="82" t="inlineStr">
        <is>
          <t>Oui</t>
        </is>
      </c>
      <c r="H50" s="68" t="inlineStr">
        <is>
          <t>FIN-20.01, FIN-20.02, FIN-20.03, FIN-20.04, FIN-20.08</t>
        </is>
      </c>
      <c r="I50" s="68" t="inlineStr">
        <is>
          <t>Délai client (FIN-17)</t>
        </is>
      </c>
      <c r="J50" s="68" t="inlineStr">
        <is>
          <t>Payé à 60 jours mais paie à 15 → négocier les délais fournisseurs. Délais équilibrés → pas d'action.</t>
        </is>
      </c>
      <c r="K50" s="68" t="inlineStr">
        <is>
          <t>Comparer dates de facture et de paiement des 5 dernières factures fournisseurs.</t>
        </is>
      </c>
      <c r="L50" s="68" t="inlineStr">
        <is>
          <t>—</t>
        </is>
      </c>
      <c r="M50" s="83" t="n"/>
    </row>
    <row r="51" ht="23.85" customHeight="1" s="53">
      <c r="A51" s="81" t="inlineStr">
        <is>
          <t>FIN-21</t>
        </is>
      </c>
      <c r="B51" s="68" t="inlineStr">
        <is>
          <t>Finance &amp; Rentabilité</t>
        </is>
      </c>
      <c r="C51" s="68" t="inlineStr">
        <is>
          <t>Encaissements et décaissements</t>
        </is>
      </c>
      <c r="D51" s="65" t="inlineStr">
        <is>
          <t>Argent immobilisé</t>
        </is>
      </c>
      <c r="E51" s="66" t="inlineStr">
        <is>
          <t>Cohérence</t>
        </is>
      </c>
      <c r="F51" s="67" t="inlineStr">
        <is>
          <t>Chiffré (trésorerie)</t>
        </is>
      </c>
      <c r="G51" s="82" t="inlineStr">
        <is>
          <t>Oui</t>
        </is>
      </c>
      <c r="H51" s="68" t="inlineStr">
        <is>
          <t>FIN-21.01</t>
        </is>
      </c>
      <c r="I51" s="68" t="inlineStr">
        <is>
          <t>CA mensuel (inscription) → jours de CA immobilisés calculés ; délai de facturation (FIN-16)</t>
        </is>
      </c>
      <c r="J51" s="68" t="inlineStr">
        <is>
          <t>Quelques jours de CA en attente → normal. Plusieurs semaines → facturer par étapes au fil du chantier.</t>
        </is>
      </c>
      <c r="K51" s="68" t="inlineStr">
        <is>
          <t>Additionner les travaux terminés ou avancés non encore facturés.</t>
        </is>
      </c>
      <c r="L51" s="68" t="inlineStr">
        <is>
          <t>Sans travaux en cours</t>
        </is>
      </c>
      <c r="M51" s="83" t="n"/>
    </row>
    <row r="52" ht="23.85" customHeight="1" s="53">
      <c r="A52" s="81" t="inlineStr">
        <is>
          <t>FIN-22</t>
        </is>
      </c>
      <c r="B52" s="68" t="inlineStr">
        <is>
          <t>Finance &amp; Rentabilité</t>
        </is>
      </c>
      <c r="C52" s="68" t="inlineStr">
        <is>
          <t>Financement</t>
        </is>
      </c>
      <c r="D52" s="65" t="inlineStr">
        <is>
          <t>Poids des remboursements</t>
        </is>
      </c>
      <c r="E52" s="66" t="inlineStr">
        <is>
          <t>Cohérence</t>
        </is>
      </c>
      <c r="F52" s="67" t="inlineStr">
        <is>
          <t>Qualifié</t>
        </is>
      </c>
      <c r="G52" s="82" t="inlineStr">
        <is>
          <t>Oui</t>
        </is>
      </c>
      <c r="H52" s="68" t="inlineStr">
        <is>
          <t>FIN-22.01, FIN-22.02</t>
        </is>
      </c>
      <c r="I52" s="68" t="inlineStr">
        <is>
          <t>Sorties mensuelles (FIN-12)</t>
        </is>
      </c>
      <c r="J52" s="68" t="inlineStr">
        <is>
          <t>Mensualités lourdes → rééchelonnement à étudier avec la banque. Faibles → capacité d'emprunt disponible pour investir.</t>
        </is>
      </c>
      <c r="K52" s="68" t="inlineStr">
        <is>
          <t>Lu sur le relevé bancaire.</t>
        </is>
      </c>
      <c r="L52" s="68" t="inlineStr">
        <is>
          <t>Sans emprunt</t>
        </is>
      </c>
      <c r="M52" s="83" t="n"/>
    </row>
    <row r="53" ht="23.85" customHeight="1" s="53">
      <c r="A53" s="81" t="inlineStr">
        <is>
          <t>FIN-23</t>
        </is>
      </c>
      <c r="B53" s="68" t="inlineStr">
        <is>
          <t>Finance &amp; Rentabilité</t>
        </is>
      </c>
      <c r="C53" s="68" t="inlineStr">
        <is>
          <t>Financement</t>
        </is>
      </c>
      <c r="D53" s="65" t="inlineStr">
        <is>
          <t>Couverture des besoins</t>
        </is>
      </c>
      <c r="E53" s="66" t="inlineStr">
        <is>
          <t>Cohérence</t>
        </is>
      </c>
      <c r="F53" s="67" t="inlineStr">
        <is>
          <t>Qualifié</t>
        </is>
      </c>
      <c r="G53" s="82" t="inlineStr">
        <is>
          <t>Oui</t>
        </is>
      </c>
      <c r="H53" s="68" t="inlineStr">
        <is>
          <t>FIN-23.01</t>
        </is>
      </c>
      <c r="I53" s="68" t="inlineStr">
        <is>
          <t>Investissements (FIN-25)</t>
        </is>
      </c>
      <c r="J53" s="68" t="inlineStr">
        <is>
          <t>Investissement payé sur la trésorerie courante → prévoir un financement long la prochaine fois. Déjà financé à long terme → pas d'action.</t>
        </is>
      </c>
      <c r="K53" s="68" t="inlineStr">
        <is>
          <t>—</t>
        </is>
      </c>
      <c r="L53" s="68" t="inlineStr">
        <is>
          <t>Sans investissement prévu ni récent</t>
        </is>
      </c>
      <c r="M53" s="83" t="n"/>
    </row>
    <row r="54" ht="23.85" customHeight="1" s="53">
      <c r="A54" s="81" t="inlineStr">
        <is>
          <t>FIN-24</t>
        </is>
      </c>
      <c r="B54" s="68" t="inlineStr">
        <is>
          <t>Finance &amp; Rentabilité</t>
        </is>
      </c>
      <c r="C54" s="68" t="inlineStr">
        <is>
          <t>Financement</t>
        </is>
      </c>
      <c r="D54" s="65" t="inlineStr">
        <is>
          <t>Dépendance au court terme</t>
        </is>
      </c>
      <c r="E54" s="70" t="inlineStr">
        <is>
          <t>Pratique</t>
        </is>
      </c>
      <c r="F54" s="67" t="inlineStr">
        <is>
          <t>Qualifié</t>
        </is>
      </c>
      <c r="G54" s="82" t="inlineStr">
        <is>
          <t>Oui</t>
        </is>
      </c>
      <c r="H54" s="68" t="inlineStr">
        <is>
          <t>FIN-24.01, FIN-24.02, FIN-24.03, FIN-24.04, FIN-24.05</t>
        </is>
      </c>
      <c r="I54" s="68" t="inlineStr">
        <is>
          <t>—</t>
        </is>
      </c>
      <c r="J54" s="68" t="inlineStr">
        <is>
          <t>2 jours par mois → décaler une échéance. 20 jours par mois → problème de fond (marges, délais de paiement).</t>
        </is>
      </c>
      <c r="K54" s="68" t="inlineStr">
        <is>
          <t>Compter les jours en négatif sur le dernier relevé.</t>
        </is>
      </c>
      <c r="L54" s="68" t="inlineStr">
        <is>
          <t>—</t>
        </is>
      </c>
      <c r="M54" s="83" t="n"/>
    </row>
    <row r="55" ht="23.85" customHeight="1" s="53">
      <c r="A55" s="81" t="inlineStr">
        <is>
          <t>FIN-25</t>
        </is>
      </c>
      <c r="B55" s="68" t="inlineStr">
        <is>
          <t>Finance &amp; Rentabilité</t>
        </is>
      </c>
      <c r="C55" s="68" t="inlineStr">
        <is>
          <t>Investissements</t>
        </is>
      </c>
      <c r="D55" s="65" t="inlineStr">
        <is>
          <t>Objectif économique</t>
        </is>
      </c>
      <c r="E55" s="70" t="inlineStr">
        <is>
          <t>Pratique</t>
        </is>
      </c>
      <c r="F55" s="67" t="inlineStr">
        <is>
          <t>Qualifié</t>
        </is>
      </c>
      <c r="G55" s="82" t="inlineStr">
        <is>
          <t>Oui</t>
        </is>
      </c>
      <c r="H55" s="68" t="inlineStr">
        <is>
          <t>FIN-25.01, FIN-25.02</t>
        </is>
      </c>
      <c r="I55" s="68" t="inlineStr">
        <is>
          <t>—</t>
        </is>
      </c>
      <c r="J55" s="68" t="inlineStr">
        <is>
          <t>Petit achat → décision simple. Gros investissement → objectif chiffré écrit avant d'engager.</t>
        </is>
      </c>
      <c r="K55" s="68" t="inlineStr">
        <is>
          <t>—</t>
        </is>
      </c>
      <c r="L55" s="68" t="inlineStr">
        <is>
          <t>Sans investissement prévu ni récent</t>
        </is>
      </c>
      <c r="M55" s="83" t="n"/>
    </row>
    <row r="56" ht="23.85" customHeight="1" s="53">
      <c r="A56" s="81" t="inlineStr">
        <is>
          <t>FIN-26</t>
        </is>
      </c>
      <c r="B56" s="68" t="inlineStr">
        <is>
          <t>Finance &amp; Rentabilité</t>
        </is>
      </c>
      <c r="C56" s="68" t="inlineStr">
        <is>
          <t>Investissements</t>
        </is>
      </c>
      <c r="D56" s="65" t="inlineStr">
        <is>
          <t>Coût total</t>
        </is>
      </c>
      <c r="E56" s="70" t="inlineStr">
        <is>
          <t>Pratique</t>
        </is>
      </c>
      <c r="F56" s="67" t="inlineStr">
        <is>
          <t>Qualifié</t>
        </is>
      </c>
      <c r="G56" s="67" t="inlineStr">
        <is>
          <t>Calculé</t>
        </is>
      </c>
      <c r="H56" s="68" t="inlineStr">
        <is>
          <t>—</t>
        </is>
      </c>
      <c r="I56" s="68" t="inlineStr">
        <is>
          <t>Montant (FIN-25)</t>
        </is>
      </c>
      <c r="J56" s="68" t="inlineStr">
        <is>
          <t>Gros montant aux coûts annexes ignorés → les chiffrer avant de décider. Achat courant → pas nécessaire.</t>
        </is>
      </c>
      <c r="K56" s="68" t="inlineStr">
        <is>
          <t>—</t>
        </is>
      </c>
      <c r="L56" s="68" t="inlineStr">
        <is>
          <t>Sans investissement prévu ni récent</t>
        </is>
      </c>
      <c r="M56" s="83" t="n"/>
    </row>
    <row r="57" ht="23.85" customHeight="1" s="53">
      <c r="A57" s="81" t="inlineStr">
        <is>
          <t>FIN-27</t>
        </is>
      </c>
      <c r="B57" s="68" t="inlineStr">
        <is>
          <t>Finance &amp; Rentabilité</t>
        </is>
      </c>
      <c r="C57" s="68" t="inlineStr">
        <is>
          <t>Investissements</t>
        </is>
      </c>
      <c r="D57" s="65" t="inlineStr">
        <is>
          <t>Retour attendu</t>
        </is>
      </c>
      <c r="E57" s="66" t="inlineStr">
        <is>
          <t>Cohérence</t>
        </is>
      </c>
      <c r="F57" s="67" t="inlineStr">
        <is>
          <t>Chiffré (marge)</t>
        </is>
      </c>
      <c r="G57" s="82" t="inlineStr">
        <is>
          <t>Oui</t>
        </is>
      </c>
      <c r="H57" s="68" t="inlineStr">
        <is>
          <t>FIN-27.01</t>
        </is>
      </c>
      <c r="I57" s="68" t="inlineStr">
        <is>
          <t>Coût total (FIN-26) → délai de remboursement calculé</t>
        </is>
      </c>
      <c r="J57" s="68" t="inlineStr">
        <is>
          <t>Remboursé en 6 mois → avancer vite. En 8 ans → revoir le projet ou louer plutôt qu'acheter.</t>
        </is>
      </c>
      <c r="K57" s="68" t="inlineStr">
        <is>
          <t>Estimer le gain mensuel en fourchette.</t>
        </is>
      </c>
      <c r="L57" s="68" t="inlineStr">
        <is>
          <t>Sans investissement prévu ni récent</t>
        </is>
      </c>
      <c r="M57" s="83" t="n"/>
    </row>
    <row r="58" ht="23.85" customHeight="1" s="53">
      <c r="A58" s="81" t="inlineStr">
        <is>
          <t>FIN-28</t>
        </is>
      </c>
      <c r="B58" s="68" t="inlineStr">
        <is>
          <t>Finance &amp; Rentabilité</t>
        </is>
      </c>
      <c r="C58" s="68" t="inlineStr">
        <is>
          <t>Investissements</t>
        </is>
      </c>
      <c r="D58" s="65" t="inlineStr">
        <is>
          <t>Résultats constatés</t>
        </is>
      </c>
      <c r="E58" s="70" t="inlineStr">
        <is>
          <t>Pratique</t>
        </is>
      </c>
      <c r="F58" s="67" t="inlineStr">
        <is>
          <t>Qualifié</t>
        </is>
      </c>
      <c r="G58" s="82" t="inlineStr">
        <is>
          <t>Oui</t>
        </is>
      </c>
      <c r="H58" s="68" t="inlineStr">
        <is>
          <t>FIN-28.01, FIN-28.02</t>
        </is>
      </c>
      <c r="I58" s="68" t="inlineStr">
        <is>
          <t>Gain attendu (FIN-27)</t>
        </is>
      </c>
      <c r="J58" s="68" t="inlineStr">
        <is>
          <t>Écart fort entre prévu et obtenu → comprendre avant le prochain investissement. Conforme → reproduire la méthode.</t>
        </is>
      </c>
      <c r="K58" s="68" t="inlineStr">
        <is>
          <t>—</t>
        </is>
      </c>
      <c r="L58" s="68" t="inlineStr">
        <is>
          <t>Sans investissement récent</t>
        </is>
      </c>
      <c r="M58" s="83" t="n"/>
    </row>
    <row r="59" ht="15" customHeight="1" s="53">
      <c r="A59" s="81" t="inlineStr">
        <is>
          <t>FIN-29</t>
        </is>
      </c>
      <c r="B59" s="68" t="inlineStr">
        <is>
          <t>Finance &amp; Rentabilité</t>
        </is>
      </c>
      <c r="C59" s="68" t="inlineStr">
        <is>
          <t>Dépendances</t>
        </is>
      </c>
      <c r="D59" s="65" t="inlineStr">
        <is>
          <t>Concentration des payeurs</t>
        </is>
      </c>
      <c r="E59" s="70" t="inlineStr">
        <is>
          <t>Pratique</t>
        </is>
      </c>
      <c r="F59" s="67" t="inlineStr">
        <is>
          <t>Qualifié</t>
        </is>
      </c>
      <c r="G59" s="67" t="inlineStr">
        <is>
          <t>Calculé</t>
        </is>
      </c>
      <c r="H59" s="68" t="inlineStr">
        <is>
          <t>FIN-29.01</t>
        </is>
      </c>
      <c r="I59" s="68" t="inlineStr">
        <is>
          <t>Part des 3 plus gros clients (ACQ-16) — partagé, posé une seule fois</t>
        </is>
      </c>
      <c r="J59" s="68" t="inlineStr">
        <is>
          <t>Un client = 40 % du CA → bloquant pour la sécurité de l'entreprise. Sous 10 % → pas d'action.</t>
        </is>
      </c>
      <c r="K59" s="68" t="inlineStr">
        <is>
          <t>—</t>
        </is>
      </c>
      <c r="L59" s="68" t="inlineStr">
        <is>
          <t>—</t>
        </is>
      </c>
      <c r="M59" s="83" t="n"/>
    </row>
    <row r="60" ht="15" customHeight="1" s="53">
      <c r="A60" s="81" t="inlineStr">
        <is>
          <t>FIN-30</t>
        </is>
      </c>
      <c r="B60" s="68" t="inlineStr">
        <is>
          <t>Finance &amp; Rentabilité</t>
        </is>
      </c>
      <c r="C60" s="68" t="inlineStr">
        <is>
          <t>Dépendances</t>
        </is>
      </c>
      <c r="D60" s="65" t="inlineStr">
        <is>
          <t>Fournisseurs majeurs</t>
        </is>
      </c>
      <c r="E60" s="70" t="inlineStr">
        <is>
          <t>Pratique</t>
        </is>
      </c>
      <c r="F60" s="67" t="inlineStr">
        <is>
          <t>Qualifié</t>
        </is>
      </c>
      <c r="G60" s="67" t="inlineStr">
        <is>
          <t>Calculé</t>
        </is>
      </c>
      <c r="H60" s="68" t="inlineStr">
        <is>
          <t>—</t>
        </is>
      </c>
      <c r="I60" s="68" t="inlineStr">
        <is>
          <t>Part du 1er fournisseur (FIN-08)</t>
        </is>
      </c>
      <c r="J60" s="68" t="inlineStr">
        <is>
          <t>Fournisseur unique sur un élément clé → trouver une alternative. Plusieurs fournisseurs → pas d'action.</t>
        </is>
      </c>
      <c r="K60" s="68" t="inlineStr">
        <is>
          <t>—</t>
        </is>
      </c>
      <c r="L60" s="68" t="inlineStr">
        <is>
          <t>Sans achats (services purs)</t>
        </is>
      </c>
      <c r="M60" s="83" t="n"/>
    </row>
    <row r="61" ht="23.85" customHeight="1" s="53">
      <c r="A61" s="81" t="inlineStr">
        <is>
          <t>FIN-31</t>
        </is>
      </c>
      <c r="B61" s="68" t="inlineStr">
        <is>
          <t>Finance &amp; Rentabilité</t>
        </is>
      </c>
      <c r="C61" s="68" t="inlineStr">
        <is>
          <t>Dépendances</t>
        </is>
      </c>
      <c r="D61" s="65" t="inlineStr">
        <is>
          <t>Scénario défavorable</t>
        </is>
      </c>
      <c r="E61" s="66" t="inlineStr">
        <is>
          <t>Cohérence</t>
        </is>
      </c>
      <c r="F61" s="67" t="inlineStr">
        <is>
          <t>Chiffré (trésorerie)</t>
        </is>
      </c>
      <c r="G61" s="67" t="inlineStr">
        <is>
          <t>Calculé</t>
        </is>
      </c>
      <c r="H61" s="68" t="inlineStr">
        <is>
          <t>—</t>
        </is>
      </c>
      <c r="I61" s="68" t="inlineStr">
        <is>
          <t>ACQ-16, FIN-05, FIN-11</t>
        </is>
      </c>
      <c r="J61" s="68" t="inlineStr">
        <is>
          <t>Moins de 2 mois tenables → réserve et diversification prioritaires. Plus de 6 mois → pas d'action.</t>
        </is>
      </c>
      <c r="K61" s="68" t="inlineStr">
        <is>
          <t>—</t>
        </is>
      </c>
      <c r="L61" s="68" t="inlineStr">
        <is>
          <t>—</t>
        </is>
      </c>
      <c r="M61" s="83" t="n"/>
    </row>
    <row r="62" ht="23.85" customHeight="1" s="53">
      <c r="A62" s="81" t="inlineStr">
        <is>
          <t>FIN-32</t>
        </is>
      </c>
      <c r="B62" s="68" t="inlineStr">
        <is>
          <t>Finance &amp; Rentabilité</t>
        </is>
      </c>
      <c r="C62" s="68" t="inlineStr">
        <is>
          <t>Dépendances</t>
        </is>
      </c>
      <c r="D62" s="65" t="inlineStr">
        <is>
          <t>Besoin lié à la croissance</t>
        </is>
      </c>
      <c r="E62" s="66" t="inlineStr">
        <is>
          <t>Cohérence</t>
        </is>
      </c>
      <c r="F62" s="67" t="inlineStr">
        <is>
          <t>Chiffré (trésorerie)</t>
        </is>
      </c>
      <c r="G62" s="67" t="inlineStr">
        <is>
          <t>Calculé</t>
        </is>
      </c>
      <c r="H62" s="68" t="inlineStr">
        <is>
          <t>—</t>
        </is>
      </c>
      <c r="I62" s="68" t="inlineStr">
        <is>
          <t>Objectif (inscription), FIN-17, FIN-20, FIN-21</t>
        </is>
      </c>
      <c r="J62" s="68" t="inlineStr">
        <is>
          <t>Besoin couvert par la trésorerie → l'objectif est finançable. Non couvert → étaler l'objectif ou prévoir un financement.</t>
        </is>
      </c>
      <c r="K62" s="68" t="inlineStr">
        <is>
          <t>—</t>
        </is>
      </c>
      <c r="L62" s="68" t="inlineStr">
        <is>
          <t>—</t>
        </is>
      </c>
      <c r="M62" s="83" t="n"/>
    </row>
    <row r="63" ht="23.85" customHeight="1" s="53">
      <c r="A63" s="81" t="inlineStr">
        <is>
          <t>FIN-33</t>
        </is>
      </c>
      <c r="B63" s="68" t="inlineStr">
        <is>
          <t>Finance &amp; Rentabilité</t>
        </is>
      </c>
      <c r="C63" s="68" t="inlineStr">
        <is>
          <t>Pilotage</t>
        </is>
      </c>
      <c r="D63" s="65" t="inlineStr">
        <is>
          <t>Qualité des données</t>
        </is>
      </c>
      <c r="E63" s="70" t="inlineStr">
        <is>
          <t>Pratique</t>
        </is>
      </c>
      <c r="F63" s="67" t="inlineStr">
        <is>
          <t>Qualifié</t>
        </is>
      </c>
      <c r="G63" s="67" t="inlineStr">
        <is>
          <t>Calculé</t>
        </is>
      </c>
      <c r="H63" s="68" t="inlineStr">
        <is>
          <t>—</t>
        </is>
      </c>
      <c r="I63" s="68" t="inlineStr">
        <is>
          <t>Calculé sur le questionnaire</t>
        </is>
      </c>
      <c r="J63" s="68" t="inlineStr">
        <is>
          <t>Peu de chiffres connus → 3 chiffres à relever chaque mois. Tous connus → passer au budget prévisionnel.</t>
        </is>
      </c>
      <c r="K63" s="68" t="inlineStr">
        <is>
          <t>—</t>
        </is>
      </c>
      <c r="L63" s="68" t="inlineStr">
        <is>
          <t>—</t>
        </is>
      </c>
      <c r="M63" s="83" t="n"/>
    </row>
    <row r="64" ht="23.85" customHeight="1" s="53">
      <c r="A64" s="81" t="inlineStr">
        <is>
          <t>FIN-34</t>
        </is>
      </c>
      <c r="B64" s="68" t="inlineStr">
        <is>
          <t>Finance &amp; Rentabilité</t>
        </is>
      </c>
      <c r="C64" s="68" t="inlineStr">
        <is>
          <t>Pilotage</t>
        </is>
      </c>
      <c r="D64" s="65" t="inlineStr">
        <is>
          <t>Tableau de suivi</t>
        </is>
      </c>
      <c r="E64" s="70" t="inlineStr">
        <is>
          <t>Pratique</t>
        </is>
      </c>
      <c r="F64" s="67" t="inlineStr">
        <is>
          <t>Qualifié</t>
        </is>
      </c>
      <c r="G64" s="82" t="inlineStr">
        <is>
          <t>Oui</t>
        </is>
      </c>
      <c r="H64" s="68" t="inlineStr">
        <is>
          <t>FIN-34.01, FIN-34.02, FIN-34.03, FIN-34.04, FIN-34.05</t>
        </is>
      </c>
      <c r="I64" s="68" t="inlineStr">
        <is>
          <t>Partagé avec ACQ-20 (posé une seule fois)</t>
        </is>
      </c>
      <c r="J64" s="68" t="inlineStr">
        <is>
          <t>Aucun indicateur → 3 indicateurs à regarder chaque mois. 20 indicateurs jamais regardés → réduire à 3.</t>
        </is>
      </c>
      <c r="K64" s="68" t="inlineStr">
        <is>
          <t>—</t>
        </is>
      </c>
      <c r="L64" s="68" t="inlineStr">
        <is>
          <t>—</t>
        </is>
      </c>
      <c r="M64" s="83" t="n"/>
    </row>
    <row r="65" ht="46.25" customHeight="1" s="53">
      <c r="A65" s="81" t="inlineStr">
        <is>
          <t>FIN-35</t>
        </is>
      </c>
      <c r="B65" s="68" t="inlineStr">
        <is>
          <t>Finance &amp; Rentabilité</t>
        </is>
      </c>
      <c r="C65" s="68" t="inlineStr">
        <is>
          <t>Pilotage</t>
        </is>
      </c>
      <c r="D65" s="65" t="inlineStr">
        <is>
          <t>Budgets et écarts</t>
        </is>
      </c>
      <c r="E65" s="70" t="inlineStr">
        <is>
          <t>Pratique</t>
        </is>
      </c>
      <c r="F65" s="67" t="inlineStr">
        <is>
          <t>Qualifié</t>
        </is>
      </c>
      <c r="G65" s="67" t="inlineStr">
        <is>
          <t>Non</t>
        </is>
      </c>
      <c r="H65" s="68" t="inlineStr">
        <is>
          <t>FIN-35.01</t>
        </is>
      </c>
      <c r="I65" s="68" t="inlineStr">
        <is>
          <t>—</t>
        </is>
      </c>
      <c r="J65" s="68" t="inlineStr">
        <is>
          <t>—</t>
        </is>
      </c>
      <c r="K65" s="68" t="inlineStr">
        <is>
          <t>—</t>
        </is>
      </c>
      <c r="L65" s="68" t="inlineStr">
        <is>
          <t>—</t>
        </is>
      </c>
      <c r="M65" s="83" t="n"/>
    </row>
    <row r="66" ht="23.85" customHeight="1" s="53">
      <c r="A66" s="81" t="inlineStr">
        <is>
          <t>FIN-36</t>
        </is>
      </c>
      <c r="B66" s="68" t="inlineStr">
        <is>
          <t>Finance &amp; Rentabilité</t>
        </is>
      </c>
      <c r="C66" s="68" t="inlineStr">
        <is>
          <t>Pilotage</t>
        </is>
      </c>
      <c r="D66" s="65" t="inlineStr">
        <is>
          <t>Décisions de dépenses</t>
        </is>
      </c>
      <c r="E66" s="70" t="inlineStr">
        <is>
          <t>Pratique</t>
        </is>
      </c>
      <c r="F66" s="67" t="inlineStr">
        <is>
          <t>Qualifié</t>
        </is>
      </c>
      <c r="G66" s="67" t="inlineStr">
        <is>
          <t>Non</t>
        </is>
      </c>
      <c r="H66" s="68" t="inlineStr">
        <is>
          <t>FIN-36.01</t>
        </is>
      </c>
      <c r="I66" s="68" t="inlineStr">
        <is>
          <t>—</t>
        </is>
      </c>
      <c r="J66" s="68" t="inlineStr">
        <is>
          <t>—</t>
        </is>
      </c>
      <c r="K66" s="68" t="inlineStr">
        <is>
          <t>—</t>
        </is>
      </c>
      <c r="L66" s="68" t="inlineStr">
        <is>
          <t>—</t>
        </is>
      </c>
      <c r="M66" s="83" t="n"/>
    </row>
    <row r="67" ht="23.85" customHeight="1" s="53">
      <c r="A67" s="81" t="inlineStr">
        <is>
          <t>FIN-37</t>
        </is>
      </c>
      <c r="B67" s="68" t="inlineStr">
        <is>
          <t>Finance &amp; Rentabilité</t>
        </is>
      </c>
      <c r="C67" s="68" t="inlineStr">
        <is>
          <t>Stock (si l'entreprise en a)</t>
        </is>
      </c>
      <c r="D67" s="65" t="inlineStr">
        <is>
          <t>Valeur du stock</t>
        </is>
      </c>
      <c r="E67" s="84" t="inlineStr">
        <is>
          <t>Marché</t>
        </is>
      </c>
      <c r="F67" s="67" t="inlineStr">
        <is>
          <t>Chiffré (trésorerie)</t>
        </is>
      </c>
      <c r="G67" s="82" t="inlineStr">
        <is>
          <t>Oui</t>
        </is>
      </c>
      <c r="H67" s="68" t="inlineStr">
        <is>
          <t>FIN-37.01, FIN-37.02, FIN-37.03, FIN-37.04</t>
        </is>
      </c>
      <c r="I67" s="68" t="inlineStr">
        <is>
          <t>CA mensuel (inscription) → jours de ventes en stock calculés</t>
        </is>
      </c>
      <c r="J67" s="68" t="inlineStr">
        <is>
          <t>Stock = 1 mois de ventes → courant pour beaucoup de commerces. 6 mois → libérer de la trésorerie en écoulant le stock dormant (FIN-39).</t>
        </is>
      </c>
      <c r="K67" s="68" t="inlineStr">
        <is>
          <t>Valeur du dernier inventaire ou du dernier bilan.</t>
        </is>
      </c>
      <c r="L67" s="68" t="inlineStr">
        <is>
          <t>Sans stock</t>
        </is>
      </c>
      <c r="M67" s="83" t="n"/>
    </row>
    <row r="68" ht="35.05" customHeight="1" s="53">
      <c r="A68" s="81" t="inlineStr">
        <is>
          <t>FIN-38</t>
        </is>
      </c>
      <c r="B68" s="68" t="inlineStr">
        <is>
          <t>Finance &amp; Rentabilité</t>
        </is>
      </c>
      <c r="C68" s="68" t="inlineStr">
        <is>
          <t>Stock (si l'entreprise en a)</t>
        </is>
      </c>
      <c r="D68" s="65" t="inlineStr">
        <is>
          <t>Rotation</t>
        </is>
      </c>
      <c r="E68" s="84" t="inlineStr">
        <is>
          <t>Marché</t>
        </is>
      </c>
      <c r="F68" s="67" t="inlineStr">
        <is>
          <t>Chiffré (trésorerie)</t>
        </is>
      </c>
      <c r="G68" s="67" t="inlineStr">
        <is>
          <t>Calculé</t>
        </is>
      </c>
      <c r="H68" s="68" t="inlineStr">
        <is>
          <t>—</t>
        </is>
      </c>
      <c r="I68" s="68" t="inlineStr">
        <is>
          <t>Valeur du stock (FIN-37) ; achats (FIN-08)</t>
        </is>
      </c>
      <c r="J68" s="68" t="inlineStr">
        <is>
          <t>Rotation lente sur tout le stock → commander moins à chaque fois. Lente sur une seule famille → traiter cette famille seulement (FIN-43).</t>
        </is>
      </c>
      <c r="K68" s="68" t="inlineStr">
        <is>
          <t>—</t>
        </is>
      </c>
      <c r="L68" s="68" t="inlineStr">
        <is>
          <t>Sans stock</t>
        </is>
      </c>
      <c r="M68" s="83" t="n"/>
    </row>
    <row r="69" ht="23.85" customHeight="1" s="53">
      <c r="A69" s="81" t="inlineStr">
        <is>
          <t>FIN-39</t>
        </is>
      </c>
      <c r="B69" s="68" t="inlineStr">
        <is>
          <t>Finance &amp; Rentabilité</t>
        </is>
      </c>
      <c r="C69" s="68" t="inlineStr">
        <is>
          <t>Stock (si l'entreprise en a)</t>
        </is>
      </c>
      <c r="D69" s="65" t="inlineStr">
        <is>
          <t>Stock dormant</t>
        </is>
      </c>
      <c r="E69" s="66" t="inlineStr">
        <is>
          <t>Cohérence</t>
        </is>
      </c>
      <c r="F69" s="67" t="inlineStr">
        <is>
          <t>Chiffré (trésorerie)</t>
        </is>
      </c>
      <c r="G69" s="82" t="inlineStr">
        <is>
          <t>Oui</t>
        </is>
      </c>
      <c r="H69" s="68" t="inlineStr">
        <is>
          <t>FIN-39.01, FIN-39.02, FIN-39.03</t>
        </is>
      </c>
      <c r="I69" s="68" t="inlineStr">
        <is>
          <t>Valeur du stock (FIN-37)</t>
        </is>
      </c>
      <c r="J69" s="68" t="inlineStr">
        <is>
          <t>5 % du stock dormant → déstockage ponctuel. 30 % → arrêter de racheter ces références et organiser une vente dédiée.</t>
        </is>
      </c>
      <c r="K69" s="68" t="inlineStr">
        <is>
          <t>Lister les produits sans vente depuis 6 mois dans le logiciel de caisse.</t>
        </is>
      </c>
      <c r="L69" s="68" t="inlineStr">
        <is>
          <t>Sans stock</t>
        </is>
      </c>
      <c r="M69" s="83" t="n"/>
    </row>
    <row r="70" ht="15" customHeight="1" s="53">
      <c r="A70" s="81" t="inlineStr">
        <is>
          <t>FIN-40</t>
        </is>
      </c>
      <c r="B70" s="68" t="inlineStr">
        <is>
          <t>Finance &amp; Rentabilité</t>
        </is>
      </c>
      <c r="C70" s="68" t="inlineStr">
        <is>
          <t>Stock (si l'entreprise en a)</t>
        </is>
      </c>
      <c r="D70" s="65" t="inlineStr">
        <is>
          <t>Pertes et invendus</t>
        </is>
      </c>
      <c r="E70" s="84" t="inlineStr">
        <is>
          <t>Marché</t>
        </is>
      </c>
      <c r="F70" s="67" t="inlineStr">
        <is>
          <t>Chiffré (marge)</t>
        </is>
      </c>
      <c r="G70" s="82" t="inlineStr">
        <is>
          <t>Oui</t>
        </is>
      </c>
      <c r="H70" s="68" t="inlineStr">
        <is>
          <t>FIN-40.01, FIN-40.02</t>
        </is>
      </c>
      <c r="I70" s="68" t="inlineStr">
        <is>
          <t>Les pertes de marchandises sont comptées ici, pas dans FIN-10</t>
        </is>
      </c>
      <c r="J70" s="68" t="inlineStr">
        <is>
          <t>100 € par mois → surveillance simple. 2 000 € par mois → identifier la cause principale (péremption, casse ou vol) et la traiter en premier.</t>
        </is>
      </c>
      <c r="K70" s="68" t="inlineStr">
        <is>
          <t>Noter pendant un mois tout ce qui est jeté, cassé ou bradé.</t>
        </is>
      </c>
      <c r="L70" s="68" t="inlineStr">
        <is>
          <t>Sans stock</t>
        </is>
      </c>
      <c r="M70" s="83" t="n"/>
    </row>
    <row r="71" ht="15" customHeight="1" s="53">
      <c r="A71" s="81" t="inlineStr">
        <is>
          <t>FIN-41</t>
        </is>
      </c>
      <c r="B71" s="68" t="inlineStr">
        <is>
          <t>Finance &amp; Rentabilité</t>
        </is>
      </c>
      <c r="C71" s="68" t="inlineStr">
        <is>
          <t>Stock (si l'entreprise en a)</t>
        </is>
      </c>
      <c r="D71" s="65" t="inlineStr">
        <is>
          <t>Ruptures</t>
        </is>
      </c>
      <c r="E71" s="66" t="inlineStr">
        <is>
          <t>Cohérence</t>
        </is>
      </c>
      <c r="F71" s="67" t="inlineStr">
        <is>
          <t>Chiffré (CA)</t>
        </is>
      </c>
      <c r="G71" s="82" t="inlineStr">
        <is>
          <t>Oui</t>
        </is>
      </c>
      <c r="H71" s="68" t="inlineStr">
        <is>
          <t>FIN-41.01, FIN-41.02</t>
        </is>
      </c>
      <c r="I71" s="68" t="inlineStr">
        <is>
          <t>Demandes perdues (ACQ-22) : quand le motif est le stock, l'agent Acquisition renvoie ici ; panier moyen (ACQ-15) → CA perdu calculé</t>
        </is>
      </c>
      <c r="J71" s="68" t="inlineStr">
        <is>
          <t>Ruptures rares sur des produits secondaires → pas d'action. Ruptures fréquentes sur les meilleures ventes → stock minimum fixé sur ces références.</t>
        </is>
      </c>
      <c r="K71" s="68" t="inlineStr">
        <is>
          <t>Noter pendant un mois chaque client reparti sans le produit.</t>
        </is>
      </c>
      <c r="L71" s="68" t="inlineStr">
        <is>
          <t>Sans stock</t>
        </is>
      </c>
      <c r="M71" s="83" t="n"/>
    </row>
    <row r="72" ht="15" customHeight="1" s="53">
      <c r="A72" s="81" t="inlineStr">
        <is>
          <t>FIN-42</t>
        </is>
      </c>
      <c r="B72" s="68" t="inlineStr">
        <is>
          <t>Finance &amp; Rentabilité</t>
        </is>
      </c>
      <c r="C72" s="68" t="inlineStr">
        <is>
          <t>Stock (si l'entreprise en a)</t>
        </is>
      </c>
      <c r="D72" s="65" t="inlineStr">
        <is>
          <t>Réapprovisionnement</t>
        </is>
      </c>
      <c r="E72" s="70" t="inlineStr">
        <is>
          <t>Pratique</t>
        </is>
      </c>
      <c r="F72" s="67" t="inlineStr">
        <is>
          <t>Qualifié</t>
        </is>
      </c>
      <c r="G72" s="82" t="inlineStr">
        <is>
          <t>Oui</t>
        </is>
      </c>
      <c r="H72" s="68" t="inlineStr">
        <is>
          <t>FIN-42.01</t>
        </is>
      </c>
      <c r="I72" s="68" t="inlineStr">
        <is>
          <t>—</t>
        </is>
      </c>
      <c r="J72" s="68" t="inlineStr">
        <is>
          <t>4 commandes par mois → seuil de recommande noté à la main. 60 → recommande automatique depuis le logiciel.</t>
        </is>
      </c>
      <c r="K72" s="68" t="inlineStr">
        <is>
          <t>Compter les bons de commande du dernier mois.</t>
        </is>
      </c>
      <c r="L72" s="68" t="inlineStr">
        <is>
          <t>Sans stock</t>
        </is>
      </c>
      <c r="M72" s="83" t="n"/>
    </row>
    <row r="73" ht="23.85" customHeight="1" s="53">
      <c r="A73" s="81" t="inlineStr">
        <is>
          <t>FIN-43</t>
        </is>
      </c>
      <c r="B73" s="68" t="inlineStr">
        <is>
          <t>Finance &amp; Rentabilité</t>
        </is>
      </c>
      <c r="C73" s="68" t="inlineStr">
        <is>
          <t>Stock (si l'entreprise en a)</t>
        </is>
      </c>
      <c r="D73" s="65" t="inlineStr">
        <is>
          <t>Références clés</t>
        </is>
      </c>
      <c r="E73" s="66" t="inlineStr">
        <is>
          <t>Cohérence</t>
        </is>
      </c>
      <c r="F73" s="67" t="inlineStr">
        <is>
          <t>Qualifié</t>
        </is>
      </c>
      <c r="G73" s="82" t="inlineStr">
        <is>
          <t>Oui</t>
        </is>
      </c>
      <c r="H73" s="68" t="inlineStr">
        <is>
          <t>FIN-43.02</t>
        </is>
      </c>
      <c r="I73" s="68" t="inlineStr">
        <is>
          <t>Marge par offre (FIN-01)</t>
        </is>
      </c>
      <c r="J73" s="68" t="inlineStr">
        <is>
          <t>50 références → suivre chacune. 2 000 → suivre de près celles qui font l'essentiel du CA et simplifier le reste.</t>
        </is>
      </c>
      <c r="K73" s="68" t="inlineStr">
        <is>
          <t>Exporter les ventes par produit depuis la caisse.</t>
        </is>
      </c>
      <c r="L73" s="68" t="inlineStr">
        <is>
          <t>Sans stock</t>
        </is>
      </c>
      <c r="M73" s="83" t="n"/>
    </row>
    <row r="74" ht="15" customHeight="1" s="53">
      <c r="A74" s="81" t="inlineStr">
        <is>
          <t>FIN-44</t>
        </is>
      </c>
      <c r="B74" s="68" t="inlineStr">
        <is>
          <t>Finance &amp; Rentabilité</t>
        </is>
      </c>
      <c r="C74" s="68" t="inlineStr">
        <is>
          <t>Stock (si l'entreprise en a)</t>
        </is>
      </c>
      <c r="D74" s="65" t="inlineStr">
        <is>
          <t>Conditions d'achat</t>
        </is>
      </c>
      <c r="E74" s="70" t="inlineStr">
        <is>
          <t>Pratique</t>
        </is>
      </c>
      <c r="F74" s="67" t="inlineStr">
        <is>
          <t>Chiffré (trésorerie)</t>
        </is>
      </c>
      <c r="G74" s="82" t="inlineStr">
        <is>
          <t>Oui</t>
        </is>
      </c>
      <c r="H74" s="68" t="inlineStr">
        <is>
          <t>FIN-44.01</t>
        </is>
      </c>
      <c r="I74" s="68" t="inlineStr">
        <is>
          <t>Achats (FIN-08) ; fournisseur principal (FIN-30)</t>
        </is>
      </c>
      <c r="J74" s="68" t="inlineStr">
        <is>
          <t>Minimum imposé par un petit fournisseur → négocier ou grouper avec d'autres acheteurs. Par le fournisseur principal → comparer la remise obtenue à la trésorerie immobilisée.</t>
        </is>
      </c>
      <c r="K74" s="68" t="inlineStr">
        <is>
          <t>—</t>
        </is>
      </c>
      <c r="L74" s="68" t="inlineStr">
        <is>
          <t>Sans stock</t>
        </is>
      </c>
      <c r="M74" s="83" t="n"/>
    </row>
    <row r="75" ht="23.85" customHeight="1" s="53">
      <c r="A75" s="81" t="inlineStr">
        <is>
          <t>FIN-45</t>
        </is>
      </c>
      <c r="B75" s="68" t="inlineStr">
        <is>
          <t>Finance &amp; Rentabilité</t>
        </is>
      </c>
      <c r="C75" s="68" t="inlineStr">
        <is>
          <t>Stock (si l'entreprise en a)</t>
        </is>
      </c>
      <c r="D75" s="65" t="inlineStr">
        <is>
          <t>Suivi du stock</t>
        </is>
      </c>
      <c r="E75" s="70" t="inlineStr">
        <is>
          <t>Pratique</t>
        </is>
      </c>
      <c r="F75" s="67" t="inlineStr">
        <is>
          <t>Qualifié</t>
        </is>
      </c>
      <c r="G75" s="82" t="inlineStr">
        <is>
          <t>Oui</t>
        </is>
      </c>
      <c r="H75" s="68" t="inlineStr">
        <is>
          <t>FIN-45.01, FIN-45.02, FIN-45.03</t>
        </is>
      </c>
      <c r="I75" s="68" t="inlineStr">
        <is>
          <t>—</t>
        </is>
      </c>
      <c r="J75" s="68" t="inlineStr">
        <is>
          <t>50 références → inventaire tournant chaque mois, à la main. 2 000 → logiciel de stock relié à la caisse.</t>
        </is>
      </c>
      <c r="K75" s="68" t="inlineStr">
        <is>
          <t>—</t>
        </is>
      </c>
      <c r="L75" s="68" t="inlineStr">
        <is>
          <t>Sans stock</t>
        </is>
      </c>
      <c r="M75" s="83" t="n"/>
    </row>
    <row r="76" ht="35.05" customHeight="1" s="53">
      <c r="A76" s="92" t="inlineStr">
        <is>
          <t>FIN-46</t>
        </is>
      </c>
      <c r="B76" s="68" t="inlineStr">
        <is>
          <t>Finance &amp; Rentabilité</t>
        </is>
      </c>
      <c r="C76" s="68" t="inlineStr">
        <is>
          <t>Marges et rentabilité</t>
        </is>
      </c>
      <c r="D76" s="65" t="inlineStr">
        <is>
          <t>Rémunération du dirigeant</t>
        </is>
      </c>
      <c r="E76" s="66" t="inlineStr">
        <is>
          <t>Cohérence</t>
        </is>
      </c>
      <c r="F76" s="67" t="inlineStr">
        <is>
          <t>Qualifié</t>
        </is>
      </c>
      <c r="G76" s="82" t="inlineStr">
        <is>
          <t>Oui</t>
        </is>
      </c>
      <c r="H76" s="68" t="inlineStr">
        <is>
          <t>FIN-46.01, FIN-46.02, FIN-46.03</t>
        </is>
      </c>
      <c r="I76" s="68" t="inlineStr">
        <is>
          <t>—</t>
        </is>
      </c>
      <c r="J76" s="68" t="inlineStr">
        <is>
          <t>—</t>
        </is>
      </c>
      <c r="K76" s="68" t="inlineStr">
        <is>
          <t>—</t>
        </is>
      </c>
      <c r="L76" s="68" t="inlineStr">
        <is>
          <t>—</t>
        </is>
      </c>
      <c r="M76" s="83" t="inlineStr">
        <is>
          <t>Nouveau</t>
        </is>
      </c>
    </row>
    <row r="77" ht="35.05" customHeight="1" s="53">
      <c r="A77" s="92" t="inlineStr">
        <is>
          <t>FIN-47</t>
        </is>
      </c>
      <c r="B77" s="68" t="inlineStr">
        <is>
          <t>Finance &amp; Rentabilité</t>
        </is>
      </c>
      <c r="C77" s="68" t="inlineStr">
        <is>
          <t>Pilotage</t>
        </is>
      </c>
      <c r="D77" s="65" t="inlineStr">
        <is>
          <t>Cadre de l'activité</t>
        </is>
      </c>
      <c r="E77" s="69" t="inlineStr">
        <is>
          <t>Contexte</t>
        </is>
      </c>
      <c r="F77" s="67" t="inlineStr">
        <is>
          <t>—</t>
        </is>
      </c>
      <c r="G77" s="67" t="inlineStr">
        <is>
          <t>Non</t>
        </is>
      </c>
      <c r="H77" s="68" t="inlineStr">
        <is>
          <t>FIN-47.01, FIN-47.02</t>
        </is>
      </c>
      <c r="I77" s="68" t="inlineStr">
        <is>
          <t>—</t>
        </is>
      </c>
      <c r="J77" s="68" t="inlineStr">
        <is>
          <t>—</t>
        </is>
      </c>
      <c r="K77" s="68" t="inlineStr">
        <is>
          <t>—</t>
        </is>
      </c>
      <c r="L77" s="68" t="inlineStr">
        <is>
          <t>—</t>
        </is>
      </c>
      <c r="M77" s="83" t="inlineStr">
        <is>
          <t>Nouveau</t>
        </is>
      </c>
    </row>
    <row r="78" ht="35.05" customHeight="1" s="53">
      <c r="A78" s="92" t="inlineStr">
        <is>
          <t>FIN-48</t>
        </is>
      </c>
      <c r="B78" s="68" t="inlineStr">
        <is>
          <t>Finance &amp; Rentabilité</t>
        </is>
      </c>
      <c r="C78" s="68" t="inlineStr">
        <is>
          <t>Financement</t>
        </is>
      </c>
      <c r="D78" s="65" t="inlineStr">
        <is>
          <t>Relation avec la banque</t>
        </is>
      </c>
      <c r="E78" s="70" t="inlineStr">
        <is>
          <t>Pratique</t>
        </is>
      </c>
      <c r="F78" s="67" t="inlineStr">
        <is>
          <t>Qualifié</t>
        </is>
      </c>
      <c r="G78" s="67" t="inlineStr">
        <is>
          <t>Non</t>
        </is>
      </c>
      <c r="H78" s="68" t="inlineStr">
        <is>
          <t>FIN-48.01</t>
        </is>
      </c>
      <c r="I78" s="68" t="inlineStr">
        <is>
          <t>—</t>
        </is>
      </c>
      <c r="J78" s="68" t="inlineStr">
        <is>
          <t>—</t>
        </is>
      </c>
      <c r="K78" s="68" t="inlineStr">
        <is>
          <t>—</t>
        </is>
      </c>
      <c r="L78" s="68" t="inlineStr">
        <is>
          <t>—</t>
        </is>
      </c>
      <c r="M78" s="83" t="inlineStr">
        <is>
          <t>Nouveau</t>
        </is>
      </c>
    </row>
    <row r="79" ht="35.05" customHeight="1" s="53">
      <c r="A79" s="85" t="inlineStr">
        <is>
          <t>RH-01</t>
        </is>
      </c>
      <c r="B79" s="86" t="inlineStr">
        <is>
          <t>RH &amp; Organisation</t>
        </is>
      </c>
      <c r="C79" s="86" t="inlineStr">
        <is>
          <t>Rôles et délégation</t>
        </is>
      </c>
      <c r="D79" s="87" t="inlineStr">
        <is>
          <t>Clarté des missions</t>
        </is>
      </c>
      <c r="E79" s="93" t="inlineStr">
        <is>
          <t>Pratique</t>
        </is>
      </c>
      <c r="F79" s="89" t="inlineStr">
        <is>
          <t>Qualifié</t>
        </is>
      </c>
      <c r="G79" s="90" t="inlineStr">
        <is>
          <t>Oui</t>
        </is>
      </c>
      <c r="H79" s="86" t="inlineStr">
        <is>
          <t>RH-01.01, RH-01.02</t>
        </is>
      </c>
      <c r="I79" s="86" t="inlineStr">
        <is>
          <t>Effectif (inscription)</t>
        </is>
      </c>
      <c r="J79" s="86" t="inlineStr">
        <is>
          <t>3 personnes → une phrase de mission par personne. 20 → une fiche par fonction.</t>
        </is>
      </c>
      <c r="K79" s="86" t="inlineStr">
        <is>
          <t>—</t>
        </is>
      </c>
      <c r="L79" s="86" t="inlineStr">
        <is>
          <t>Seul</t>
        </is>
      </c>
      <c r="M79" s="91" t="n"/>
    </row>
    <row r="80" ht="23.85" customHeight="1" s="53">
      <c r="A80" s="81" t="inlineStr">
        <is>
          <t>RH-02</t>
        </is>
      </c>
      <c r="B80" s="68" t="inlineStr">
        <is>
          <t>RH &amp; Organisation</t>
        </is>
      </c>
      <c r="C80" s="68" t="inlineStr">
        <is>
          <t>Rôles et délégation</t>
        </is>
      </c>
      <c r="D80" s="65" t="inlineStr">
        <is>
          <t>Répartition des responsabilités</t>
        </is>
      </c>
      <c r="E80" s="70" t="inlineStr">
        <is>
          <t>Pratique</t>
        </is>
      </c>
      <c r="F80" s="67" t="inlineStr">
        <is>
          <t>Qualifié</t>
        </is>
      </c>
      <c r="G80" s="82" t="inlineStr">
        <is>
          <t>Oui</t>
        </is>
      </c>
      <c r="H80" s="68" t="inlineStr">
        <is>
          <t>RH-02.01, RH-02.02</t>
        </is>
      </c>
      <c r="I80" s="68" t="inlineStr">
        <is>
          <t>Effectif (inscription)</t>
        </is>
      </c>
      <c r="J80" s="68" t="inlineStr">
        <is>
          <t>2 personnes → une liste « qui décide quoi ». 15 → un tableau par domaine.</t>
        </is>
      </c>
      <c r="K80" s="68" t="inlineStr">
        <is>
          <t>—</t>
        </is>
      </c>
      <c r="L80" s="68" t="inlineStr">
        <is>
          <t>—</t>
        </is>
      </c>
      <c r="M80" s="83" t="n"/>
    </row>
    <row r="81" ht="23.85" customHeight="1" s="53">
      <c r="A81" s="81" t="inlineStr">
        <is>
          <t>RH-03</t>
        </is>
      </c>
      <c r="B81" s="68" t="inlineStr">
        <is>
          <t>RH &amp; Organisation</t>
        </is>
      </c>
      <c r="C81" s="68" t="inlineStr">
        <is>
          <t>Rôles et délégation</t>
        </is>
      </c>
      <c r="D81" s="65" t="inlineStr">
        <is>
          <t>Autonomie</t>
        </is>
      </c>
      <c r="E81" s="66" t="inlineStr">
        <is>
          <t>Cohérence</t>
        </is>
      </c>
      <c r="F81" s="67" t="inlineStr">
        <is>
          <t>Qualifié</t>
        </is>
      </c>
      <c r="G81" s="82" t="inlineStr">
        <is>
          <t>Oui</t>
        </is>
      </c>
      <c r="H81" s="68" t="inlineStr">
        <is>
          <t>RH-03.01, RH-03.02, RH-03.03, RH-03.04, RH-03.05</t>
        </is>
      </c>
      <c r="I81" s="68" t="inlineStr">
        <is>
          <t>Effectif (inscription)</t>
        </is>
      </c>
      <c r="J81" s="68" t="inlineStr">
        <is>
          <t>5 par jour → règles écrites pour les cas fréquents. 40 par jour → déléguer un niveau de décision.</t>
        </is>
      </c>
      <c r="K81" s="68" t="inlineStr">
        <is>
          <t>Compter les sollicitations sur une journée type.</t>
        </is>
      </c>
      <c r="L81" s="68" t="inlineStr">
        <is>
          <t>Seul</t>
        </is>
      </c>
      <c r="M81" s="83" t="n"/>
    </row>
    <row r="82" ht="23.85" customHeight="1" s="53">
      <c r="A82" s="81" t="inlineStr">
        <is>
          <t>RH-04</t>
        </is>
      </c>
      <c r="B82" s="68" t="inlineStr">
        <is>
          <t>RH &amp; Organisation</t>
        </is>
      </c>
      <c r="C82" s="68" t="inlineStr">
        <is>
          <t>Rôles et délégation</t>
        </is>
      </c>
      <c r="D82" s="65" t="inlineStr">
        <is>
          <t>Délégation réelle</t>
        </is>
      </c>
      <c r="E82" s="66" t="inlineStr">
        <is>
          <t>Cohérence</t>
        </is>
      </c>
      <c r="F82" s="67" t="inlineStr">
        <is>
          <t>Qualifié</t>
        </is>
      </c>
      <c r="G82" s="82" t="inlineStr">
        <is>
          <t>Oui</t>
        </is>
      </c>
      <c r="H82" s="68" t="inlineStr">
        <is>
          <t>RH-04.01, RH-04.02, RH-04.03, RH-04.04, RH-04.05</t>
        </is>
      </c>
      <c r="I82" s="68" t="inlineStr">
        <is>
          <t>—</t>
        </is>
      </c>
      <c r="J82" s="68" t="inlineStr">
        <is>
          <t>Peu de tâches confiées → commencer par une tâche récurrente simple. Beaucoup confiées mais reprises → le problème est le suivi, pas la délégation.</t>
        </is>
      </c>
      <c r="K82" s="68" t="inlineStr">
        <is>
          <t>—</t>
        </is>
      </c>
      <c r="L82" s="68" t="inlineStr">
        <is>
          <t>Seul</t>
        </is>
      </c>
      <c r="M82" s="83" t="n"/>
    </row>
    <row r="83" ht="23.85" customHeight="1" s="53">
      <c r="A83" s="81" t="inlineStr">
        <is>
          <t>RH-05</t>
        </is>
      </c>
      <c r="B83" s="68" t="inlineStr">
        <is>
          <t>RH &amp; Organisation</t>
        </is>
      </c>
      <c r="C83" s="68" t="inlineStr">
        <is>
          <t>Rôles et délégation</t>
        </is>
      </c>
      <c r="D83" s="65" t="inlineStr">
        <is>
          <t>Temps du dirigeant</t>
        </is>
      </c>
      <c r="E83" s="66" t="inlineStr">
        <is>
          <t>Cohérence</t>
        </is>
      </c>
      <c r="F83" s="67" t="inlineStr">
        <is>
          <t>Chiffré (heures)</t>
        </is>
      </c>
      <c r="G83" s="82" t="inlineStr">
        <is>
          <t>Oui</t>
        </is>
      </c>
      <c r="H83" s="68" t="inlineStr">
        <is>
          <t>RH-05.01, RH-05.02, RH-05.03, RH-05.04, RH-05.05, RH-05.10, RH-05.11</t>
        </is>
      </c>
      <c r="I83" s="68" t="inlineStr">
        <is>
          <t>Partagé avec ACQ-21 (posé une seule fois)</t>
        </is>
      </c>
      <c r="J83" s="68" t="inlineStr">
        <is>
          <t>5 h déléguables → réorganiser les tâches. 20 h → envisager un renfort ou un prestataire (coût → Finance).</t>
        </is>
      </c>
      <c r="K83" s="68" t="inlineStr">
        <is>
          <t>Noter son temps pendant une semaine type.</t>
        </is>
      </c>
      <c r="L83" s="68" t="inlineStr">
        <is>
          <t>—</t>
        </is>
      </c>
      <c r="M83" s="83" t="n"/>
    </row>
    <row r="84" ht="23.85" customHeight="1" s="53">
      <c r="A84" s="81" t="inlineStr">
        <is>
          <t>RH-06</t>
        </is>
      </c>
      <c r="B84" s="68" t="inlineStr">
        <is>
          <t>RH &amp; Organisation</t>
        </is>
      </c>
      <c r="C84" s="68" t="inlineStr">
        <is>
          <t>Charge et planification</t>
        </is>
      </c>
      <c r="D84" s="65" t="inlineStr">
        <is>
          <t>Volume de travail</t>
        </is>
      </c>
      <c r="E84" s="66" t="inlineStr">
        <is>
          <t>Cohérence</t>
        </is>
      </c>
      <c r="F84" s="67" t="inlineStr">
        <is>
          <t>Qualifié</t>
        </is>
      </c>
      <c r="G84" s="82" t="inlineStr">
        <is>
          <t>Oui</t>
        </is>
      </c>
      <c r="H84" s="68" t="inlineStr">
        <is>
          <t>RH-06.01, RH-06.02, RH-06.03, RH-06.04, RH-06.05, RH-06.06, RH-06.07</t>
        </is>
      </c>
      <c r="I84" s="68" t="inlineStr">
        <is>
          <t>Partagé avec ACQ-21 et FIN-07 (posé une seule fois) ; Effectif (inscription)</t>
        </is>
      </c>
      <c r="J84" s="68" t="inlineStr">
        <is>
          <t>Surcharge ponctuelle → mieux planifier. Surcharge permanente → bloquant pour l'objectif.</t>
        </is>
      </c>
      <c r="K84" s="68" t="inlineStr">
        <is>
          <t>Estimer une semaine type, en fourchette.</t>
        </is>
      </c>
      <c r="L84" s="68" t="inlineStr">
        <is>
          <t>Seul</t>
        </is>
      </c>
      <c r="M84" s="83" t="n"/>
    </row>
    <row r="85" ht="15" customHeight="1" s="53">
      <c r="A85" s="81" t="inlineStr">
        <is>
          <t>RH-07</t>
        </is>
      </c>
      <c r="B85" s="68" t="inlineStr">
        <is>
          <t>RH &amp; Organisation</t>
        </is>
      </c>
      <c r="C85" s="68" t="inlineStr">
        <is>
          <t>Charge et planification</t>
        </is>
      </c>
      <c r="D85" s="65" t="inlineStr">
        <is>
          <t>Capacité disponible</t>
        </is>
      </c>
      <c r="E85" s="66" t="inlineStr">
        <is>
          <t>Cohérence</t>
        </is>
      </c>
      <c r="F85" s="67" t="inlineStr">
        <is>
          <t>Chiffré (heures)</t>
        </is>
      </c>
      <c r="G85" s="82" t="inlineStr">
        <is>
          <t>Oui</t>
        </is>
      </c>
      <c r="H85" s="68" t="inlineStr">
        <is>
          <t>RH-07.01, RH-07.02</t>
        </is>
      </c>
      <c r="I85" s="68" t="inlineStr">
        <is>
          <t>Partagé avec ACQ-21 (posé une seule fois) ; Objectif (inscription) ; capacité commerciale (ACQ-22)</t>
        </is>
      </c>
      <c r="J85" s="68" t="inlineStr">
        <is>
          <t>Objectif +15 % et aucune heure disponible → bloquant. 20 % de marge → l'objectif est absorbable sans renfort.</t>
        </is>
      </c>
      <c r="K85" s="68" t="inlineStr">
        <is>
          <t>Estimer en fourchette.</t>
        </is>
      </c>
      <c r="L85" s="68" t="inlineStr">
        <is>
          <t>—</t>
        </is>
      </c>
      <c r="M85" s="83" t="n"/>
    </row>
    <row r="86" ht="15" customHeight="1" s="53">
      <c r="A86" s="81" t="inlineStr">
        <is>
          <t>RH-08</t>
        </is>
      </c>
      <c r="B86" s="68" t="inlineStr">
        <is>
          <t>RH &amp; Organisation</t>
        </is>
      </c>
      <c r="C86" s="68" t="inlineStr">
        <is>
          <t>Charge et planification</t>
        </is>
      </c>
      <c r="D86" s="65" t="inlineStr">
        <is>
          <t>Répartition de la charge</t>
        </is>
      </c>
      <c r="E86" s="66" t="inlineStr">
        <is>
          <t>Cohérence</t>
        </is>
      </c>
      <c r="F86" s="67" t="inlineStr">
        <is>
          <t>Qualifié</t>
        </is>
      </c>
      <c r="G86" s="82" t="inlineStr">
        <is>
          <t>Oui</t>
        </is>
      </c>
      <c r="H86" s="68" t="inlineStr">
        <is>
          <t>RH-08.01, RH-08.02, RH-08.03, RH-08.04, RH-08.05, RH-08.06</t>
        </is>
      </c>
      <c r="I86" s="68" t="inlineStr">
        <is>
          <t>Moyenne (RH-06)</t>
        </is>
      </c>
      <c r="J86" s="68" t="inlineStr">
        <is>
          <t>Une personne à 55 h quand les autres sont à 35 h → rééquilibrer. Charge homogène → pas d'action.</t>
        </is>
      </c>
      <c r="K86" s="68" t="inlineStr">
        <is>
          <t>—</t>
        </is>
      </c>
      <c r="L86" s="68" t="inlineStr">
        <is>
          <t>Seul</t>
        </is>
      </c>
      <c r="M86" s="83" t="n"/>
    </row>
    <row r="87" ht="15" customHeight="1" s="53">
      <c r="A87" s="81" t="inlineStr">
        <is>
          <t>RH-09</t>
        </is>
      </c>
      <c r="B87" s="68" t="inlineStr">
        <is>
          <t>RH &amp; Organisation</t>
        </is>
      </c>
      <c r="C87" s="68" t="inlineStr">
        <is>
          <t>Charge et planification</t>
        </is>
      </c>
      <c r="D87" s="65" t="inlineStr">
        <is>
          <t>Urgences</t>
        </is>
      </c>
      <c r="E87" s="66" t="inlineStr">
        <is>
          <t>Cohérence</t>
        </is>
      </c>
      <c r="F87" s="67" t="inlineStr">
        <is>
          <t>Chiffré (heures)</t>
        </is>
      </c>
      <c r="G87" s="82" t="inlineStr">
        <is>
          <t>Oui</t>
        </is>
      </c>
      <c r="H87" s="68" t="inlineStr">
        <is>
          <t>RH-09.01, RH-09.02, RH-09.03, RH-09.04</t>
        </is>
      </c>
      <c r="I87" s="68" t="inlineStr">
        <is>
          <t>—</t>
        </is>
      </c>
      <c r="J87" s="68" t="inlineStr">
        <is>
          <t>Urgences surtout imprévisibles → organiser une permanence. Surtout anticipables → planifier et écrire les procédures des activités en cause.</t>
        </is>
      </c>
      <c r="K87" s="68" t="inlineStr">
        <is>
          <t>Tranches proposées, « je ne sais pas » accepté.</t>
        </is>
      </c>
      <c r="L87" s="68" t="inlineStr">
        <is>
          <t>—</t>
        </is>
      </c>
      <c r="M87" s="83" t="n"/>
    </row>
    <row r="88" ht="23.85" customHeight="1" s="53">
      <c r="A88" s="81" t="inlineStr">
        <is>
          <t>RH-10</t>
        </is>
      </c>
      <c r="B88" s="68" t="inlineStr">
        <is>
          <t>RH &amp; Organisation</t>
        </is>
      </c>
      <c r="C88" s="68" t="inlineStr">
        <is>
          <t>Charge et planification</t>
        </is>
      </c>
      <c r="D88" s="65" t="inlineStr">
        <is>
          <t>Interruptions</t>
        </is>
      </c>
      <c r="E88" s="66" t="inlineStr">
        <is>
          <t>Cohérence</t>
        </is>
      </c>
      <c r="F88" s="67" t="inlineStr">
        <is>
          <t>Chiffré (heures)</t>
        </is>
      </c>
      <c r="G88" s="82" t="inlineStr">
        <is>
          <t>Oui</t>
        </is>
      </c>
      <c r="H88" s="68" t="inlineStr">
        <is>
          <t>RH-10.01, RH-10.02, RH-10.03, RH-10.04, RH-10.05, RH-10.06</t>
        </is>
      </c>
      <c r="I88" s="68" t="inlineStr">
        <is>
          <t>—</t>
        </is>
      </c>
      <c r="J88" s="68" t="inlineStr">
        <is>
          <t>3 interruptions par jour → pas d'action. 15 par jour, surtout des validations → règles de décision écrites et créneaux d'échange regroupés.</t>
        </is>
      </c>
      <c r="K88" s="68" t="inlineStr">
        <is>
          <t>Tranches proposées, « je ne sais pas » accepté.</t>
        </is>
      </c>
      <c r="L88" s="68" t="inlineStr">
        <is>
          <t>—</t>
        </is>
      </c>
      <c r="M88" s="83" t="n"/>
    </row>
    <row r="89" ht="23.85" customHeight="1" s="53">
      <c r="A89" s="81" t="inlineStr">
        <is>
          <t>RH-11</t>
        </is>
      </c>
      <c r="B89" s="68" t="inlineStr">
        <is>
          <t>RH &amp; Organisation</t>
        </is>
      </c>
      <c r="C89" s="68" t="inlineStr">
        <is>
          <t>Charge et planification</t>
        </is>
      </c>
      <c r="D89" s="65" t="inlineStr">
        <is>
          <t>Pics et creux</t>
        </is>
      </c>
      <c r="E89" s="66" t="inlineStr">
        <is>
          <t>Cohérence</t>
        </is>
      </c>
      <c r="F89" s="67" t="inlineStr">
        <is>
          <t>Qualifié</t>
        </is>
      </c>
      <c r="G89" s="67" t="inlineStr">
        <is>
          <t>Calculé</t>
        </is>
      </c>
      <c r="H89" s="68" t="inlineStr">
        <is>
          <t>RH-11.01, RH-11.02</t>
        </is>
      </c>
      <c r="I89" s="68" t="inlineStr">
        <is>
          <t>Mois forts et faibles (ACQ-23) — partagé, posé une seule fois</t>
        </is>
      </c>
      <c r="J89" s="68" t="inlineStr">
        <is>
          <t>Pic d'un mois → heures supplémentaires planifiées. Pic de 4 mois → renfort saisonnier anticipé.</t>
        </is>
      </c>
      <c r="K89" s="68" t="inlineStr">
        <is>
          <t>—</t>
        </is>
      </c>
      <c r="L89" s="68" t="inlineStr">
        <is>
          <t>—</t>
        </is>
      </c>
      <c r="M89" s="83" t="n"/>
    </row>
    <row r="90" ht="15" customHeight="1" s="53">
      <c r="A90" s="81" t="inlineStr">
        <is>
          <t>RH-12</t>
        </is>
      </c>
      <c r="B90" s="68" t="inlineStr">
        <is>
          <t>RH &amp; Organisation</t>
        </is>
      </c>
      <c r="C90" s="68" t="inlineStr">
        <is>
          <t>Processus et outils</t>
        </is>
      </c>
      <c r="D90" s="65" t="inlineStr">
        <is>
          <t>Méthodes reproductibles</t>
        </is>
      </c>
      <c r="E90" s="70" t="inlineStr">
        <is>
          <t>Pratique</t>
        </is>
      </c>
      <c r="F90" s="67" t="inlineStr">
        <is>
          <t>Qualifié</t>
        </is>
      </c>
      <c r="G90" s="82" t="inlineStr">
        <is>
          <t>Oui</t>
        </is>
      </c>
      <c r="H90" s="68" t="inlineStr">
        <is>
          <t>RH-12.01</t>
        </is>
      </c>
      <c r="I90" s="68" t="inlineStr">
        <is>
          <t>—</t>
        </is>
      </c>
      <c r="J90" s="68" t="inlineStr">
        <is>
          <t>3 tâches clés → les écrire soi-même en une heure. 30 → commencer par les 3 plus fréquentes.</t>
        </is>
      </c>
      <c r="K90" s="68" t="inlineStr">
        <is>
          <t>—</t>
        </is>
      </c>
      <c r="L90" s="68" t="inlineStr">
        <is>
          <t>—</t>
        </is>
      </c>
      <c r="M90" s="83" t="n"/>
    </row>
    <row r="91" ht="23.85" customHeight="1" s="53">
      <c r="A91" s="81" t="inlineStr">
        <is>
          <t>RH-13</t>
        </is>
      </c>
      <c r="B91" s="68" t="inlineStr">
        <is>
          <t>RH &amp; Organisation</t>
        </is>
      </c>
      <c r="C91" s="68" t="inlineStr">
        <is>
          <t>Processus et outils</t>
        </is>
      </c>
      <c r="D91" s="65" t="inlineStr">
        <is>
          <t>Passage de relais</t>
        </is>
      </c>
      <c r="E91" s="70" t="inlineStr">
        <is>
          <t>Pratique</t>
        </is>
      </c>
      <c r="F91" s="67" t="inlineStr">
        <is>
          <t>Qualifié</t>
        </is>
      </c>
      <c r="G91" s="67" t="inlineStr">
        <is>
          <t>Non</t>
        </is>
      </c>
      <c r="H91" s="68" t="inlineStr">
        <is>
          <t>RH-13.01</t>
        </is>
      </c>
      <c r="I91" s="68" t="inlineStr">
        <is>
          <t>—</t>
        </is>
      </c>
      <c r="J91" s="68" t="inlineStr">
        <is>
          <t>—</t>
        </is>
      </c>
      <c r="K91" s="68" t="inlineStr">
        <is>
          <t>—</t>
        </is>
      </c>
      <c r="L91" s="68" t="inlineStr">
        <is>
          <t>Seul</t>
        </is>
      </c>
      <c r="M91" s="83" t="n"/>
    </row>
    <row r="92" ht="15" customHeight="1" s="53">
      <c r="A92" s="81" t="inlineStr">
        <is>
          <t>RH-14</t>
        </is>
      </c>
      <c r="B92" s="68" t="inlineStr">
        <is>
          <t>RH &amp; Organisation</t>
        </is>
      </c>
      <c r="C92" s="68" t="inlineStr">
        <is>
          <t>Processus et outils</t>
        </is>
      </c>
      <c r="D92" s="65" t="inlineStr">
        <is>
          <t>Accès à l'information</t>
        </is>
      </c>
      <c r="E92" s="70" t="inlineStr">
        <is>
          <t>Pratique</t>
        </is>
      </c>
      <c r="F92" s="67" t="inlineStr">
        <is>
          <t>Qualifié</t>
        </is>
      </c>
      <c r="G92" s="82" t="inlineStr">
        <is>
          <t>Oui</t>
        </is>
      </c>
      <c r="H92" s="68" t="inlineStr">
        <is>
          <t>RH-14.01, RH-14.02</t>
        </is>
      </c>
      <c r="I92" s="68" t="inlineStr">
        <is>
          <t>—</t>
        </is>
      </c>
      <c r="J92" s="68" t="inlineStr">
        <is>
          <t>—</t>
        </is>
      </c>
      <c r="K92" s="68" t="inlineStr">
        <is>
          <t>—</t>
        </is>
      </c>
      <c r="L92" s="68" t="inlineStr">
        <is>
          <t>—</t>
        </is>
      </c>
      <c r="M92" s="83" t="n"/>
    </row>
    <row r="93" ht="15" customHeight="1" s="53">
      <c r="A93" s="81" t="inlineStr">
        <is>
          <t>RH-15</t>
        </is>
      </c>
      <c r="B93" s="68" t="inlineStr">
        <is>
          <t>RH &amp; Organisation</t>
        </is>
      </c>
      <c r="C93" s="68" t="inlineStr">
        <is>
          <t>Processus et outils</t>
        </is>
      </c>
      <c r="D93" s="65" t="inlineStr">
        <is>
          <t>Outils</t>
        </is>
      </c>
      <c r="E93" s="70" t="inlineStr">
        <is>
          <t>Pratique</t>
        </is>
      </c>
      <c r="F93" s="67" t="inlineStr">
        <is>
          <t>Qualifié</t>
        </is>
      </c>
      <c r="G93" s="82" t="inlineStr">
        <is>
          <t>Oui</t>
        </is>
      </c>
      <c r="H93" s="68" t="inlineStr">
        <is>
          <t>RH-15.01, RH-15.02, RH-15.03</t>
        </is>
      </c>
      <c r="I93" s="68" t="inlineStr">
        <is>
          <t>—</t>
        </is>
      </c>
      <c r="J93" s="68" t="inlineStr">
        <is>
          <t>—</t>
        </is>
      </c>
      <c r="K93" s="68" t="inlineStr">
        <is>
          <t>—</t>
        </is>
      </c>
      <c r="L93" s="68" t="inlineStr">
        <is>
          <t>—</t>
        </is>
      </c>
      <c r="M93" s="83" t="n"/>
    </row>
    <row r="94" ht="15" customHeight="1" s="53">
      <c r="A94" s="81" t="inlineStr">
        <is>
          <t>RH-16</t>
        </is>
      </c>
      <c r="B94" s="68" t="inlineStr">
        <is>
          <t>RH &amp; Organisation</t>
        </is>
      </c>
      <c r="C94" s="68" t="inlineStr">
        <is>
          <t>Processus et outils</t>
        </is>
      </c>
      <c r="D94" s="65" t="inlineStr">
        <is>
          <t>Erreurs et reprises</t>
        </is>
      </c>
      <c r="E94" s="66" t="inlineStr">
        <is>
          <t>Cohérence</t>
        </is>
      </c>
      <c r="F94" s="67" t="inlineStr">
        <is>
          <t>Chiffré (heures)</t>
        </is>
      </c>
      <c r="G94" s="82" t="inlineStr">
        <is>
          <t>Oui</t>
        </is>
      </c>
      <c r="H94" s="68" t="inlineStr">
        <is>
          <t>RH-16.01, RH-16.02, RH-16.03, RH-16.04</t>
        </is>
      </c>
      <c r="I94" s="68" t="inlineStr">
        <is>
          <t>Partagé avec FIN-10 (posé une seule fois)</t>
        </is>
      </c>
      <c r="J94" s="68" t="inlineStr">
        <is>
          <t>2 par mois → traiter au cas par cas. 20 par mois → chercher la cause commune et écrire la méthode.</t>
        </is>
      </c>
      <c r="K94" s="68" t="inlineStr">
        <is>
          <t>Noter les reprises du mois en cours.</t>
        </is>
      </c>
      <c r="L94" s="68" t="inlineStr">
        <is>
          <t>—</t>
        </is>
      </c>
      <c r="M94" s="83" t="n"/>
    </row>
    <row r="95" ht="23.85" customHeight="1" s="53">
      <c r="A95" s="81" t="inlineStr">
        <is>
          <t>RH-17</t>
        </is>
      </c>
      <c r="B95" s="68" t="inlineStr">
        <is>
          <t>RH &amp; Organisation</t>
        </is>
      </c>
      <c r="C95" s="68" t="inlineStr">
        <is>
          <t>Processus et outils</t>
        </is>
      </c>
      <c r="D95" s="65" t="inlineStr">
        <is>
          <t>Tâches répétitives</t>
        </is>
      </c>
      <c r="E95" s="66" t="inlineStr">
        <is>
          <t>Cohérence</t>
        </is>
      </c>
      <c r="F95" s="67" t="inlineStr">
        <is>
          <t>Chiffré (heures)</t>
        </is>
      </c>
      <c r="G95" s="82" t="inlineStr">
        <is>
          <t>Oui</t>
        </is>
      </c>
      <c r="H95" s="68" t="inlineStr">
        <is>
          <t>RH-17.01, RH-17.02</t>
        </is>
      </c>
      <c r="I95" s="68" t="inlineStr">
        <is>
          <t>—</t>
        </is>
      </c>
      <c r="J95" s="68" t="inlineStr">
        <is>
          <t>2 h par semaine → simplifier. 15 h → outil d'automatisation.</t>
        </is>
      </c>
      <c r="K95" s="68" t="inlineStr">
        <is>
          <t>Lister les tâches faites chaque jour à l'identique.</t>
        </is>
      </c>
      <c r="L95" s="68" t="inlineStr">
        <is>
          <t>—</t>
        </is>
      </c>
      <c r="M95" s="83" t="n"/>
    </row>
    <row r="96" ht="15" customHeight="1" s="53">
      <c r="A96" s="81" t="inlineStr">
        <is>
          <t>RH-18</t>
        </is>
      </c>
      <c r="B96" s="68" t="inlineStr">
        <is>
          <t>RH &amp; Organisation</t>
        </is>
      </c>
      <c r="C96" s="68" t="inlineStr">
        <is>
          <t>Management</t>
        </is>
      </c>
      <c r="D96" s="65" t="inlineStr">
        <is>
          <t>Priorités</t>
        </is>
      </c>
      <c r="E96" s="70" t="inlineStr">
        <is>
          <t>Pratique</t>
        </is>
      </c>
      <c r="F96" s="67" t="inlineStr">
        <is>
          <t>Qualifié</t>
        </is>
      </c>
      <c r="G96" s="67" t="inlineStr">
        <is>
          <t>Non</t>
        </is>
      </c>
      <c r="H96" s="68" t="inlineStr">
        <is>
          <t>RH-18.01</t>
        </is>
      </c>
      <c r="I96" s="68" t="inlineStr">
        <is>
          <t>—</t>
        </is>
      </c>
      <c r="J96" s="68" t="inlineStr">
        <is>
          <t>—</t>
        </is>
      </c>
      <c r="K96" s="68" t="inlineStr">
        <is>
          <t>—</t>
        </is>
      </c>
      <c r="L96" s="68" t="inlineStr">
        <is>
          <t>Seul</t>
        </is>
      </c>
      <c r="M96" s="83" t="n"/>
    </row>
    <row r="97" ht="15" customHeight="1" s="53">
      <c r="A97" s="81" t="inlineStr">
        <is>
          <t>RH-19</t>
        </is>
      </c>
      <c r="B97" s="68" t="inlineStr">
        <is>
          <t>RH &amp; Organisation</t>
        </is>
      </c>
      <c r="C97" s="68" t="inlineStr">
        <is>
          <t>Management</t>
        </is>
      </c>
      <c r="D97" s="65" t="inlineStr">
        <is>
          <t>Échanges individuels et collectifs</t>
        </is>
      </c>
      <c r="E97" s="70" t="inlineStr">
        <is>
          <t>Pratique</t>
        </is>
      </c>
      <c r="F97" s="67" t="inlineStr">
        <is>
          <t>Qualifié</t>
        </is>
      </c>
      <c r="G97" s="82" t="inlineStr">
        <is>
          <t>Oui</t>
        </is>
      </c>
      <c r="H97" s="68" t="inlineStr">
        <is>
          <t>RH-19.01, RH-19.02, RH-19.03, RH-19.04</t>
        </is>
      </c>
      <c r="I97" s="68" t="inlineStr">
        <is>
          <t>Effectif (inscription)</t>
        </is>
      </c>
      <c r="J97" s="68" t="inlineStr">
        <is>
          <t>3 personnes → un point hebdomadaire de 15 minutes. 15 → réunions par équipe et entretiens individuels.</t>
        </is>
      </c>
      <c r="K97" s="68" t="inlineStr">
        <is>
          <t>—</t>
        </is>
      </c>
      <c r="L97" s="68" t="inlineStr">
        <is>
          <t>Seul</t>
        </is>
      </c>
      <c r="M97" s="83" t="n"/>
    </row>
    <row r="98" ht="15" customHeight="1" s="53">
      <c r="A98" s="81" t="inlineStr">
        <is>
          <t>RH-20</t>
        </is>
      </c>
      <c r="B98" s="68" t="inlineStr">
        <is>
          <t>RH &amp; Organisation</t>
        </is>
      </c>
      <c r="C98" s="68" t="inlineStr">
        <is>
          <t>Management</t>
        </is>
      </c>
      <c r="D98" s="65" t="inlineStr">
        <is>
          <t>Retours sur le travail</t>
        </is>
      </c>
      <c r="E98" s="70" t="inlineStr">
        <is>
          <t>Pratique</t>
        </is>
      </c>
      <c r="F98" s="67" t="inlineStr">
        <is>
          <t>Qualifié</t>
        </is>
      </c>
      <c r="G98" s="67" t="inlineStr">
        <is>
          <t>Non</t>
        </is>
      </c>
      <c r="H98" s="68" t="inlineStr">
        <is>
          <t>RH-20.01</t>
        </is>
      </c>
      <c r="I98" s="68" t="inlineStr">
        <is>
          <t>—</t>
        </is>
      </c>
      <c r="J98" s="68" t="inlineStr">
        <is>
          <t>—</t>
        </is>
      </c>
      <c r="K98" s="68" t="inlineStr">
        <is>
          <t>—</t>
        </is>
      </c>
      <c r="L98" s="68" t="inlineStr">
        <is>
          <t>Seul</t>
        </is>
      </c>
      <c r="M98" s="83" t="n"/>
    </row>
    <row r="99" ht="15" customHeight="1" s="53">
      <c r="A99" s="81" t="inlineStr">
        <is>
          <t>RH-21</t>
        </is>
      </c>
      <c r="B99" s="68" t="inlineStr">
        <is>
          <t>RH &amp; Organisation</t>
        </is>
      </c>
      <c r="C99" s="68" t="inlineStr">
        <is>
          <t>Management</t>
        </is>
      </c>
      <c r="D99" s="65" t="inlineStr">
        <is>
          <t>Disponibilité du responsable</t>
        </is>
      </c>
      <c r="E99" s="70" t="inlineStr">
        <is>
          <t>Pratique</t>
        </is>
      </c>
      <c r="F99" s="67" t="inlineStr">
        <is>
          <t>Qualifié</t>
        </is>
      </c>
      <c r="G99" s="67" t="inlineStr">
        <is>
          <t>Non</t>
        </is>
      </c>
      <c r="H99" s="68" t="inlineStr">
        <is>
          <t>RH-21.01</t>
        </is>
      </c>
      <c r="I99" s="68" t="inlineStr">
        <is>
          <t>Temps du dirigeant (RH-05)</t>
        </is>
      </c>
      <c r="J99" s="68" t="inlineStr">
        <is>
          <t>—</t>
        </is>
      </c>
      <c r="K99" s="68" t="inlineStr">
        <is>
          <t>—</t>
        </is>
      </c>
      <c r="L99" s="68" t="inlineStr">
        <is>
          <t>Seul</t>
        </is>
      </c>
      <c r="M99" s="83" t="n"/>
    </row>
    <row r="100" ht="35.05" customHeight="1" s="53">
      <c r="A100" s="81" t="inlineStr">
        <is>
          <t>RH-22</t>
        </is>
      </c>
      <c r="B100" s="68" t="inlineStr">
        <is>
          <t>RH &amp; Organisation</t>
        </is>
      </c>
      <c r="C100" s="68" t="inlineStr">
        <is>
          <t>Management</t>
        </is>
      </c>
      <c r="D100" s="65" t="inlineStr">
        <is>
          <t>Remontées de terrain</t>
        </is>
      </c>
      <c r="E100" s="70" t="inlineStr">
        <is>
          <t>Pratique</t>
        </is>
      </c>
      <c r="F100" s="67" t="inlineStr">
        <is>
          <t>Qualifié</t>
        </is>
      </c>
      <c r="G100" s="82" t="inlineStr">
        <is>
          <t>Oui</t>
        </is>
      </c>
      <c r="H100" s="68" t="inlineStr">
        <is>
          <t>RH-22.01</t>
        </is>
      </c>
      <c r="I100" s="68" t="inlineStr">
        <is>
          <t>—</t>
        </is>
      </c>
      <c r="J100" s="68" t="inlineStr">
        <is>
          <t>—</t>
        </is>
      </c>
      <c r="K100" s="68" t="inlineStr">
        <is>
          <t>—</t>
        </is>
      </c>
      <c r="L100" s="68" t="inlineStr">
        <is>
          <t>Moins de 6 personnes</t>
        </is>
      </c>
      <c r="M100" s="83" t="n"/>
    </row>
    <row r="101" ht="23.85" customHeight="1" s="53">
      <c r="A101" s="81" t="inlineStr">
        <is>
          <t>RH-23</t>
        </is>
      </c>
      <c r="B101" s="68" t="inlineStr">
        <is>
          <t>RH &amp; Organisation</t>
        </is>
      </c>
      <c r="C101" s="68" t="inlineStr">
        <is>
          <t>Compétences</t>
        </is>
      </c>
      <c r="D101" s="65" t="inlineStr">
        <is>
          <t>Couverture des savoir-faire</t>
        </is>
      </c>
      <c r="E101" s="70" t="inlineStr">
        <is>
          <t>Pratique</t>
        </is>
      </c>
      <c r="F101" s="67" t="inlineStr">
        <is>
          <t>Qualifié</t>
        </is>
      </c>
      <c r="G101" s="67" t="inlineStr">
        <is>
          <t>Non</t>
        </is>
      </c>
      <c r="H101" s="68" t="inlineStr">
        <is>
          <t>RH-23.01</t>
        </is>
      </c>
      <c r="I101" s="68" t="inlineStr">
        <is>
          <t>Effectif (inscription)</t>
        </is>
      </c>
      <c r="J101" s="68" t="inlineStr">
        <is>
          <t>Seul : compétence manquante → sous-traiter. En équipe → former ou recruter.</t>
        </is>
      </c>
      <c r="K101" s="68" t="inlineStr">
        <is>
          <t>—</t>
        </is>
      </c>
      <c r="L101" s="68" t="inlineStr">
        <is>
          <t>—</t>
        </is>
      </c>
      <c r="M101" s="83" t="n"/>
    </row>
    <row r="102" ht="23.85" customHeight="1" s="53">
      <c r="A102" s="81" t="inlineStr">
        <is>
          <t>RH-24</t>
        </is>
      </c>
      <c r="B102" s="68" t="inlineStr">
        <is>
          <t>RH &amp; Organisation</t>
        </is>
      </c>
      <c r="C102" s="68" t="inlineStr">
        <is>
          <t>Compétences</t>
        </is>
      </c>
      <c r="D102" s="65" t="inlineStr">
        <is>
          <t>Besoins de développement</t>
        </is>
      </c>
      <c r="E102" s="70" t="inlineStr">
        <is>
          <t>Pratique</t>
        </is>
      </c>
      <c r="F102" s="67" t="inlineStr">
        <is>
          <t>Qualifié</t>
        </is>
      </c>
      <c r="G102" s="67" t="inlineStr">
        <is>
          <t>Non</t>
        </is>
      </c>
      <c r="H102" s="68" t="inlineStr">
        <is>
          <t>RH-24.01</t>
        </is>
      </c>
      <c r="I102" s="68" t="inlineStr">
        <is>
          <t>—</t>
        </is>
      </c>
      <c r="J102" s="68" t="inlineStr">
        <is>
          <t>—</t>
        </is>
      </c>
      <c r="K102" s="68" t="inlineStr">
        <is>
          <t>—</t>
        </is>
      </c>
      <c r="L102" s="68" t="inlineStr">
        <is>
          <t>Moins de 6 personnes</t>
        </is>
      </c>
      <c r="M102" s="83" t="n"/>
    </row>
    <row r="103" ht="23.85" customHeight="1" s="53">
      <c r="A103" s="81" t="inlineStr">
        <is>
          <t>RH-25</t>
        </is>
      </c>
      <c r="B103" s="68" t="inlineStr">
        <is>
          <t>RH &amp; Organisation</t>
        </is>
      </c>
      <c r="C103" s="68" t="inlineStr">
        <is>
          <t>Compétences</t>
        </is>
      </c>
      <c r="D103" s="65" t="inlineStr">
        <is>
          <t>Apprentissage</t>
        </is>
      </c>
      <c r="E103" s="70" t="inlineStr">
        <is>
          <t>Pratique</t>
        </is>
      </c>
      <c r="F103" s="67" t="inlineStr">
        <is>
          <t>Qualifié</t>
        </is>
      </c>
      <c r="G103" s="82" t="inlineStr">
        <is>
          <t>Oui</t>
        </is>
      </c>
      <c r="H103" s="68" t="inlineStr">
        <is>
          <t>RH-25.01, RH-25.02</t>
        </is>
      </c>
      <c r="I103" s="68" t="inlineStr">
        <is>
          <t>—</t>
        </is>
      </c>
      <c r="J103" s="68" t="inlineStr">
        <is>
          <t>—</t>
        </is>
      </c>
      <c r="K103" s="68" t="inlineStr">
        <is>
          <t>—</t>
        </is>
      </c>
      <c r="L103" s="68" t="inlineStr">
        <is>
          <t>Seul</t>
        </is>
      </c>
      <c r="M103" s="83" t="n"/>
    </row>
    <row r="104" ht="23.85" customHeight="1" s="53">
      <c r="A104" s="81" t="inlineStr">
        <is>
          <t>RH-26</t>
        </is>
      </c>
      <c r="B104" s="68" t="inlineStr">
        <is>
          <t>RH &amp; Organisation</t>
        </is>
      </c>
      <c r="C104" s="68" t="inlineStr">
        <is>
          <t>Compétences</t>
        </is>
      </c>
      <c r="D104" s="65" t="inlineStr">
        <is>
          <t>Application</t>
        </is>
      </c>
      <c r="E104" s="69" t="inlineStr">
        <is>
          <t>Contexte</t>
        </is>
      </c>
      <c r="F104" s="67" t="inlineStr">
        <is>
          <t>—</t>
        </is>
      </c>
      <c r="G104" s="67" t="inlineStr">
        <is>
          <t>Non</t>
        </is>
      </c>
      <c r="H104" s="68" t="inlineStr">
        <is>
          <t>RH-26.01</t>
        </is>
      </c>
      <c r="I104" s="68" t="inlineStr">
        <is>
          <t>—</t>
        </is>
      </c>
      <c r="J104" s="68" t="inlineStr">
        <is>
          <t>Non noté : sert à l'IA pour expliquer le diagnostic.</t>
        </is>
      </c>
      <c r="K104" s="68" t="inlineStr">
        <is>
          <t>—</t>
        </is>
      </c>
      <c r="L104" s="68" t="inlineStr">
        <is>
          <t>Moins de 6 personnes</t>
        </is>
      </c>
      <c r="M104" s="83" t="n"/>
    </row>
    <row r="105" ht="23.85" customHeight="1" s="53">
      <c r="A105" s="81" t="inlineStr">
        <is>
          <t>RH-27</t>
        </is>
      </c>
      <c r="B105" s="68" t="inlineStr">
        <is>
          <t>RH &amp; Organisation</t>
        </is>
      </c>
      <c r="C105" s="68" t="inlineStr">
        <is>
          <t>Compétences</t>
        </is>
      </c>
      <c r="D105" s="65" t="inlineStr">
        <is>
          <t>Polyvalence</t>
        </is>
      </c>
      <c r="E105" s="66" t="inlineStr">
        <is>
          <t>Cohérence</t>
        </is>
      </c>
      <c r="F105" s="67" t="inlineStr">
        <is>
          <t>Qualifié</t>
        </is>
      </c>
      <c r="G105" s="82" t="inlineStr">
        <is>
          <t>Oui</t>
        </is>
      </c>
      <c r="H105" s="68" t="inlineStr">
        <is>
          <t>RH-27.01</t>
        </is>
      </c>
      <c r="I105" s="68" t="inlineStr">
        <is>
          <t>Tâches clés (RH-12)</t>
        </is>
      </c>
      <c r="J105" s="68" t="inlineStr">
        <is>
          <t>1 tâche → former un binôme. 8 tâches → plan de transmission par priorité.</t>
        </is>
      </c>
      <c r="K105" s="68" t="inlineStr">
        <is>
          <t>—</t>
        </is>
      </c>
      <c r="L105" s="68" t="inlineStr">
        <is>
          <t>Seul</t>
        </is>
      </c>
      <c r="M105" s="83" t="n"/>
    </row>
    <row r="106" ht="23.85" customHeight="1" s="53">
      <c r="A106" s="81" t="inlineStr">
        <is>
          <t>RH-28</t>
        </is>
      </c>
      <c r="B106" s="68" t="inlineStr">
        <is>
          <t>RH &amp; Organisation</t>
        </is>
      </c>
      <c r="C106" s="68" t="inlineStr">
        <is>
          <t>Recrutement et intégration</t>
        </is>
      </c>
      <c r="D106" s="65" t="inlineStr">
        <is>
          <t>Besoin</t>
        </is>
      </c>
      <c r="E106" s="70" t="inlineStr">
        <is>
          <t>Pratique</t>
        </is>
      </c>
      <c r="F106" s="67" t="inlineStr">
        <is>
          <t>Qualifié</t>
        </is>
      </c>
      <c r="G106" s="82" t="inlineStr">
        <is>
          <t>Oui</t>
        </is>
      </c>
      <c r="H106" s="68" t="inlineStr">
        <is>
          <t>RH-28.01, RH-28.02, RH-28.03, RH-28.04, RH-28.05, RH-28.06, RH-28.09, RH-28.10</t>
        </is>
      </c>
      <c r="I106" s="68" t="inlineStr">
        <is>
          <t>Objectif (inscription)</t>
        </is>
      </c>
      <c r="J106" s="68" t="inlineStr">
        <is>
          <t>1 recrutement par an → le préparer 3 mois avant. 10 par an → vivier de candidats permanent.</t>
        </is>
      </c>
      <c r="K106" s="68" t="inlineStr">
        <is>
          <t>—</t>
        </is>
      </c>
      <c r="L106" s="68" t="inlineStr">
        <is>
          <t>Aucun recrutement en 12 mois ni prévu</t>
        </is>
      </c>
      <c r="M106" s="83" t="n"/>
    </row>
    <row r="107" ht="23.85" customHeight="1" s="53">
      <c r="A107" s="81" t="inlineStr">
        <is>
          <t>RH-29</t>
        </is>
      </c>
      <c r="B107" s="68" t="inlineStr">
        <is>
          <t>RH &amp; Organisation</t>
        </is>
      </c>
      <c r="C107" s="68" t="inlineStr">
        <is>
          <t>Recrutement et intégration</t>
        </is>
      </c>
      <c r="D107" s="65" t="inlineStr">
        <is>
          <t>Préparation de l'accueil</t>
        </is>
      </c>
      <c r="E107" s="70" t="inlineStr">
        <is>
          <t>Pratique</t>
        </is>
      </c>
      <c r="F107" s="67" t="inlineStr">
        <is>
          <t>Qualifié</t>
        </is>
      </c>
      <c r="G107" s="67" t="inlineStr">
        <is>
          <t>Non</t>
        </is>
      </c>
      <c r="H107" s="68" t="inlineStr">
        <is>
          <t>RH-29.01</t>
        </is>
      </c>
      <c r="I107" s="68" t="inlineStr">
        <is>
          <t>—</t>
        </is>
      </c>
      <c r="J107" s="68" t="inlineStr">
        <is>
          <t>—</t>
        </is>
      </c>
      <c r="K107" s="68" t="inlineStr">
        <is>
          <t>—</t>
        </is>
      </c>
      <c r="L107" s="68" t="inlineStr">
        <is>
          <t>Aucun recrutement en 12 mois ni prévu</t>
        </is>
      </c>
      <c r="M107" s="83" t="n"/>
    </row>
    <row r="108" ht="15" customHeight="1" s="53">
      <c r="A108" s="81" t="inlineStr">
        <is>
          <t>RH-30</t>
        </is>
      </c>
      <c r="B108" s="68" t="inlineStr">
        <is>
          <t>RH &amp; Organisation</t>
        </is>
      </c>
      <c r="C108" s="68" t="inlineStr">
        <is>
          <t>Recrutement et intégration</t>
        </is>
      </c>
      <c r="D108" s="65" t="inlineStr">
        <is>
          <t>Accompagnement</t>
        </is>
      </c>
      <c r="E108" s="70" t="inlineStr">
        <is>
          <t>Pratique</t>
        </is>
      </c>
      <c r="F108" s="67" t="inlineStr">
        <is>
          <t>Qualifié</t>
        </is>
      </c>
      <c r="G108" s="67" t="inlineStr">
        <is>
          <t>Non</t>
        </is>
      </c>
      <c r="H108" s="68" t="inlineStr">
        <is>
          <t>RH-30.01</t>
        </is>
      </c>
      <c r="I108" s="68" t="inlineStr">
        <is>
          <t>—</t>
        </is>
      </c>
      <c r="J108" s="68" t="inlineStr">
        <is>
          <t>—</t>
        </is>
      </c>
      <c r="K108" s="68" t="inlineStr">
        <is>
          <t>—</t>
        </is>
      </c>
      <c r="L108" s="68" t="inlineStr">
        <is>
          <t>Aucun recrutement en 12 mois ni prévu</t>
        </is>
      </c>
      <c r="M108" s="83" t="n"/>
    </row>
    <row r="109" ht="23.85" customHeight="1" s="53">
      <c r="A109" s="81" t="inlineStr">
        <is>
          <t>RH-31</t>
        </is>
      </c>
      <c r="B109" s="68" t="inlineStr">
        <is>
          <t>RH &amp; Organisation</t>
        </is>
      </c>
      <c r="C109" s="68" t="inlineStr">
        <is>
          <t>Recrutement et intégration</t>
        </is>
      </c>
      <c r="D109" s="65" t="inlineStr">
        <is>
          <t>Progression vers l'autonomie</t>
        </is>
      </c>
      <c r="E109" s="66" t="inlineStr">
        <is>
          <t>Cohérence</t>
        </is>
      </c>
      <c r="F109" s="67" t="inlineStr">
        <is>
          <t>Qualifié</t>
        </is>
      </c>
      <c r="G109" s="82" t="inlineStr">
        <is>
          <t>Oui</t>
        </is>
      </c>
      <c r="H109" s="68" t="inlineStr">
        <is>
          <t>RH-31.01, RH-31.02, RH-31.03</t>
        </is>
      </c>
      <c r="I109" s="68" t="inlineStr">
        <is>
          <t>Échéance de l'objectif (inscription)</t>
        </is>
      </c>
      <c r="J109" s="68" t="inlineStr">
        <is>
          <t>Autonomie en 6 mois pour un objectif à 12 mois → recruter tout de suite ou revoir l'échéance.</t>
        </is>
      </c>
      <c r="K109" s="68" t="inlineStr">
        <is>
          <t>—</t>
        </is>
      </c>
      <c r="L109" s="68" t="inlineStr">
        <is>
          <t>Aucun recrutement en 12 mois ni prévu</t>
        </is>
      </c>
      <c r="M109" s="83" t="n"/>
    </row>
    <row r="110" ht="23.85" customHeight="1" s="53">
      <c r="A110" s="81" t="inlineStr">
        <is>
          <t>RH-32</t>
        </is>
      </c>
      <c r="B110" s="68" t="inlineStr">
        <is>
          <t>RH &amp; Organisation</t>
        </is>
      </c>
      <c r="C110" s="68" t="inlineStr">
        <is>
          <t>Stabilité</t>
        </is>
      </c>
      <c r="D110" s="65" t="inlineStr">
        <is>
          <t>Mouvements d'équipe</t>
        </is>
      </c>
      <c r="E110" s="84" t="inlineStr">
        <is>
          <t>Marché</t>
        </is>
      </c>
      <c r="F110" s="67" t="inlineStr">
        <is>
          <t>Qualifié</t>
        </is>
      </c>
      <c r="G110" s="82" t="inlineStr">
        <is>
          <t>Oui</t>
        </is>
      </c>
      <c r="H110" s="68" t="inlineStr">
        <is>
          <t>RH-32.01, RH-32.02, RH-32.03, RH-32.04, RH-32.06</t>
        </is>
      </c>
      <c r="I110" s="68" t="inlineStr">
        <is>
          <t>Effectif (inscription)</t>
        </is>
      </c>
      <c r="J110" s="68" t="inlineStr">
        <is>
          <t>Sous 10 personnes, un seul départ fausse le taux → lu comme contexte. Au-delà → comparé au taux du secteur.</t>
        </is>
      </c>
      <c r="K110" s="68" t="inlineStr">
        <is>
          <t>—</t>
        </is>
      </c>
      <c r="L110" s="68" t="inlineStr">
        <is>
          <t>Seul</t>
        </is>
      </c>
      <c r="M110" s="83" t="n"/>
    </row>
    <row r="111" ht="15" customHeight="1" s="53">
      <c r="A111" s="81" t="inlineStr">
        <is>
          <t>RH-33</t>
        </is>
      </c>
      <c r="B111" s="68" t="inlineStr">
        <is>
          <t>RH &amp; Organisation</t>
        </is>
      </c>
      <c r="C111" s="68" t="inlineStr">
        <is>
          <t>Stabilité</t>
        </is>
      </c>
      <c r="D111" s="65" t="inlineStr">
        <is>
          <t>Départs précoces</t>
        </is>
      </c>
      <c r="E111" s="66" t="inlineStr">
        <is>
          <t>Cohérence</t>
        </is>
      </c>
      <c r="F111" s="67" t="inlineStr">
        <is>
          <t>Qualifié</t>
        </is>
      </c>
      <c r="G111" s="82" t="inlineStr">
        <is>
          <t>Oui</t>
        </is>
      </c>
      <c r="H111" s="68" t="inlineStr">
        <is>
          <t>RH-33.01</t>
        </is>
      </c>
      <c r="I111" s="68" t="inlineStr">
        <is>
          <t>Recrutements (RH-28)</t>
        </is>
      </c>
      <c r="J111" s="68" t="inlineStr">
        <is>
          <t>Un départ précoce isolé → contexte. Plusieurs → revoir l'accueil (RH-29, RH-30).</t>
        </is>
      </c>
      <c r="K111" s="68" t="inlineStr">
        <is>
          <t>—</t>
        </is>
      </c>
      <c r="L111" s="68" t="inlineStr">
        <is>
          <t>Moins de 6 personnes</t>
        </is>
      </c>
      <c r="M111" s="83" t="n"/>
    </row>
    <row r="112" ht="15" customHeight="1" s="53">
      <c r="A112" s="81" t="inlineStr">
        <is>
          <t>RH-34</t>
        </is>
      </c>
      <c r="B112" s="68" t="inlineStr">
        <is>
          <t>RH &amp; Organisation</t>
        </is>
      </c>
      <c r="C112" s="68" t="inlineStr">
        <is>
          <t>Stabilité</t>
        </is>
      </c>
      <c r="D112" s="65" t="inlineStr">
        <is>
          <t>Absences</t>
        </is>
      </c>
      <c r="E112" s="84" t="inlineStr">
        <is>
          <t>Marché</t>
        </is>
      </c>
      <c r="F112" s="67" t="inlineStr">
        <is>
          <t>Qualifié</t>
        </is>
      </c>
      <c r="G112" s="82" t="inlineStr">
        <is>
          <t>Oui</t>
        </is>
      </c>
      <c r="H112" s="68" t="inlineStr">
        <is>
          <t>RH-34.01, RH-34.02, RH-34.03</t>
        </is>
      </c>
      <c r="I112" s="68" t="inlineStr">
        <is>
          <t>Effectif (inscription)</t>
        </is>
      </c>
      <c r="J112" s="68" t="inlineStr">
        <is>
          <t>Sous 10 personnes, une longue absence fausse le taux → lu comme contexte. Au-delà → comparé au taux du secteur.</t>
        </is>
      </c>
      <c r="K112" s="68" t="inlineStr">
        <is>
          <t>—</t>
        </is>
      </c>
      <c r="L112" s="68" t="inlineStr">
        <is>
          <t>Seul</t>
        </is>
      </c>
      <c r="M112" s="83" t="n"/>
    </row>
    <row r="113" ht="23.85" customHeight="1" s="53">
      <c r="A113" s="81" t="inlineStr">
        <is>
          <t>RH-35</t>
        </is>
      </c>
      <c r="B113" s="68" t="inlineStr">
        <is>
          <t>RH &amp; Organisation</t>
        </is>
      </c>
      <c r="C113" s="68" t="inlineStr">
        <is>
          <t>Stabilité</t>
        </is>
      </c>
      <c r="D113" s="65" t="inlineStr">
        <is>
          <t>Retours sur les conditions de travail</t>
        </is>
      </c>
      <c r="E113" s="70" t="inlineStr">
        <is>
          <t>Pratique</t>
        </is>
      </c>
      <c r="F113" s="67" t="inlineStr">
        <is>
          <t>Qualifié</t>
        </is>
      </c>
      <c r="G113" s="82" t="inlineStr">
        <is>
          <t>Oui</t>
        </is>
      </c>
      <c r="H113" s="68" t="inlineStr">
        <is>
          <t>RH-35.01</t>
        </is>
      </c>
      <c r="I113" s="68" t="inlineStr">
        <is>
          <t>—</t>
        </is>
      </c>
      <c r="J113" s="68" t="inlineStr">
        <is>
          <t>—</t>
        </is>
      </c>
      <c r="K113" s="68" t="inlineStr">
        <is>
          <t>—</t>
        </is>
      </c>
      <c r="L113" s="68" t="inlineStr">
        <is>
          <t>Moins de 6 personnes</t>
        </is>
      </c>
      <c r="M113" s="83" t="n"/>
    </row>
    <row r="114" ht="23.85" customHeight="1" s="53">
      <c r="A114" s="81" t="inlineStr">
        <is>
          <t>RH-36</t>
        </is>
      </c>
      <c r="B114" s="68" t="inlineStr">
        <is>
          <t>RH &amp; Organisation</t>
        </is>
      </c>
      <c r="C114" s="68" t="inlineStr">
        <is>
          <t>Stabilité</t>
        </is>
      </c>
      <c r="D114" s="65" t="inlineStr">
        <is>
          <t>Reconnaissance</t>
        </is>
      </c>
      <c r="E114" s="69" t="inlineStr">
        <is>
          <t>Contexte</t>
        </is>
      </c>
      <c r="F114" s="67" t="inlineStr">
        <is>
          <t>—</t>
        </is>
      </c>
      <c r="G114" s="67" t="inlineStr">
        <is>
          <t>Non</t>
        </is>
      </c>
      <c r="H114" s="68" t="inlineStr">
        <is>
          <t>RH-36.01</t>
        </is>
      </c>
      <c r="I114" s="68" t="inlineStr">
        <is>
          <t>—</t>
        </is>
      </c>
      <c r="J114" s="68" t="inlineStr">
        <is>
          <t>Non noté : sert à l'IA pour expliquer le diagnostic.</t>
        </is>
      </c>
      <c r="K114" s="68" t="inlineStr">
        <is>
          <t>—</t>
        </is>
      </c>
      <c r="L114" s="68" t="inlineStr">
        <is>
          <t>Moins de 6 personnes</t>
        </is>
      </c>
      <c r="M114" s="83" t="n"/>
    </row>
    <row r="115" ht="23.85" customHeight="1" s="53">
      <c r="A115" s="81" t="inlineStr">
        <is>
          <t>RH-37</t>
        </is>
      </c>
      <c r="B115" s="68" t="inlineStr">
        <is>
          <t>RH &amp; Organisation</t>
        </is>
      </c>
      <c r="C115" s="68" t="inlineStr">
        <is>
          <t>Continuité</t>
        </is>
      </c>
      <c r="D115" s="65" t="inlineStr">
        <is>
          <t>Dépendance aux personnes clés</t>
        </is>
      </c>
      <c r="E115" s="66" t="inlineStr">
        <is>
          <t>Cohérence</t>
        </is>
      </c>
      <c r="F115" s="67" t="inlineStr">
        <is>
          <t>Qualifié</t>
        </is>
      </c>
      <c r="G115" s="82" t="inlineStr">
        <is>
          <t>Oui</t>
        </is>
      </c>
      <c r="H115" s="68" t="inlineStr">
        <is>
          <t>RH-37.01, RH-37.02</t>
        </is>
      </c>
      <c r="I115" s="68" t="inlineStr">
        <is>
          <t>Polyvalence (RH-27)</t>
        </is>
      </c>
      <c r="J115" s="68" t="inlineStr">
        <is>
          <t>Une personne clé → binôme et méthode écrite. Plusieurs → plan de transmission sur 6 mois.</t>
        </is>
      </c>
      <c r="K115" s="68" t="inlineStr">
        <is>
          <t>—</t>
        </is>
      </c>
      <c r="L115" s="68" t="inlineStr">
        <is>
          <t>—</t>
        </is>
      </c>
      <c r="M115" s="83" t="n"/>
    </row>
    <row r="116" ht="23.85" customHeight="1" s="53">
      <c r="A116" s="81" t="inlineStr">
        <is>
          <t>RH-38</t>
        </is>
      </c>
      <c r="B116" s="68" t="inlineStr">
        <is>
          <t>RH &amp; Organisation</t>
        </is>
      </c>
      <c r="C116" s="68" t="inlineStr">
        <is>
          <t>Continuité</t>
        </is>
      </c>
      <c r="D116" s="65" t="inlineStr">
        <is>
          <t>Absence du dirigeant</t>
        </is>
      </c>
      <c r="E116" s="66" t="inlineStr">
        <is>
          <t>Cohérence</t>
        </is>
      </c>
      <c r="F116" s="67" t="inlineStr">
        <is>
          <t>Qualifié</t>
        </is>
      </c>
      <c r="G116" s="67" t="inlineStr">
        <is>
          <t>Calculé</t>
        </is>
      </c>
      <c r="H116" s="68" t="inlineStr">
        <is>
          <t>RH-38.01, RH-38.02</t>
        </is>
      </c>
      <c r="I116" s="68" t="inlineStr">
        <is>
          <t>—</t>
        </is>
      </c>
      <c r="J116" s="68" t="inlineStr">
        <is>
          <t>Aucun jour tenable → bloquant, premier chantier. Une semaine tenable → formaliser pour aller à deux.</t>
        </is>
      </c>
      <c r="K116" s="68" t="inlineStr">
        <is>
          <t>—</t>
        </is>
      </c>
      <c r="L116" s="68" t="inlineStr">
        <is>
          <t>—</t>
        </is>
      </c>
      <c r="M116" s="83" t="n"/>
    </row>
    <row r="117" ht="23.85" customHeight="1" s="53">
      <c r="A117" s="81" t="inlineStr">
        <is>
          <t>RH-39</t>
        </is>
      </c>
      <c r="B117" s="68" t="inlineStr">
        <is>
          <t>RH &amp; Organisation</t>
        </is>
      </c>
      <c r="C117" s="68" t="inlineStr">
        <is>
          <t>Continuité</t>
        </is>
      </c>
      <c r="D117" s="65" t="inlineStr">
        <is>
          <t>Changements d'organisation</t>
        </is>
      </c>
      <c r="E117" s="70" t="inlineStr">
        <is>
          <t>Pratique</t>
        </is>
      </c>
      <c r="F117" s="67" t="inlineStr">
        <is>
          <t>Qualifié</t>
        </is>
      </c>
      <c r="G117" s="67" t="inlineStr">
        <is>
          <t>Non</t>
        </is>
      </c>
      <c r="H117" s="68" t="inlineStr">
        <is>
          <t>RH-39.01</t>
        </is>
      </c>
      <c r="I117" s="68" t="inlineStr">
        <is>
          <t>—</t>
        </is>
      </c>
      <c r="J117" s="68" t="inlineStr">
        <is>
          <t>—</t>
        </is>
      </c>
      <c r="K117" s="68" t="inlineStr">
        <is>
          <t>—</t>
        </is>
      </c>
      <c r="L117" s="68" t="inlineStr">
        <is>
          <t>Moins de 6 personnes</t>
        </is>
      </c>
      <c r="M117" s="83" t="n"/>
    </row>
    <row r="118" ht="23.85" customHeight="1" s="53">
      <c r="A118" s="81" t="inlineStr">
        <is>
          <t>RH-40</t>
        </is>
      </c>
      <c r="B118" s="68" t="inlineStr">
        <is>
          <t>RH &amp; Organisation</t>
        </is>
      </c>
      <c r="C118" s="68" t="inlineStr">
        <is>
          <t>Continuité</t>
        </is>
      </c>
      <c r="D118" s="65" t="inlineStr">
        <is>
          <t>Indicateurs de suivi</t>
        </is>
      </c>
      <c r="E118" s="70" t="inlineStr">
        <is>
          <t>Pratique</t>
        </is>
      </c>
      <c r="F118" s="67" t="inlineStr">
        <is>
          <t>Qualifié</t>
        </is>
      </c>
      <c r="G118" s="67" t="inlineStr">
        <is>
          <t>Calculé</t>
        </is>
      </c>
      <c r="H118" s="68" t="inlineStr">
        <is>
          <t>RH-40.01</t>
        </is>
      </c>
      <c r="I118" s="68" t="inlineStr">
        <is>
          <t>—</t>
        </is>
      </c>
      <c r="J118" s="68" t="inlineStr">
        <is>
          <t>—</t>
        </is>
      </c>
      <c r="K118" s="68" t="inlineStr">
        <is>
          <t>—</t>
        </is>
      </c>
      <c r="L118" s="68" t="inlineStr">
        <is>
          <t>—</t>
        </is>
      </c>
      <c r="M118" s="83" t="n"/>
    </row>
    <row r="119" ht="23.85" customHeight="1" s="53">
      <c r="A119" s="92" t="inlineStr">
        <is>
          <t>RH-41</t>
        </is>
      </c>
      <c r="B119" s="68" t="inlineStr">
        <is>
          <t>RH &amp; Organisation</t>
        </is>
      </c>
      <c r="C119" s="68" t="inlineStr">
        <is>
          <t>S'entourer (dirigeant seul)</t>
        </is>
      </c>
      <c r="D119" s="65" t="inlineStr">
        <is>
          <t>Projet d'équipe</t>
        </is>
      </c>
      <c r="E119" s="69" t="inlineStr">
        <is>
          <t>Contexte</t>
        </is>
      </c>
      <c r="F119" s="67" t="inlineStr">
        <is>
          <t>—</t>
        </is>
      </c>
      <c r="G119" s="67" t="inlineStr">
        <is>
          <t>Non</t>
        </is>
      </c>
      <c r="H119" s="68" t="inlineStr">
        <is>
          <t>RH-41.01, RH-41.02, RH-41.03</t>
        </is>
      </c>
      <c r="I119" s="68" t="inlineStr">
        <is>
          <t>—</t>
        </is>
      </c>
      <c r="J119" s="68" t="inlineStr">
        <is>
          <t>—</t>
        </is>
      </c>
      <c r="K119" s="68" t="inlineStr">
        <is>
          <t>—</t>
        </is>
      </c>
      <c r="L119" s="68" t="inlineStr">
        <is>
          <t>Au moins un salarié</t>
        </is>
      </c>
      <c r="M119" s="83" t="inlineStr">
        <is>
          <t>Nouveau</t>
        </is>
      </c>
    </row>
    <row r="120" ht="15" customHeight="1" s="53">
      <c r="A120" s="92" t="inlineStr">
        <is>
          <t>RH-42</t>
        </is>
      </c>
      <c r="B120" s="68" t="inlineStr">
        <is>
          <t>RH &amp; Organisation</t>
        </is>
      </c>
      <c r="C120" s="68" t="inlineStr">
        <is>
          <t>S'entourer (dirigeant seul)</t>
        </is>
      </c>
      <c r="D120" s="65" t="inlineStr">
        <is>
          <t>Tâches à confier</t>
        </is>
      </c>
      <c r="E120" s="69" t="inlineStr">
        <is>
          <t>Contexte</t>
        </is>
      </c>
      <c r="F120" s="67" t="inlineStr">
        <is>
          <t>—</t>
        </is>
      </c>
      <c r="G120" s="67" t="inlineStr">
        <is>
          <t>Non</t>
        </is>
      </c>
      <c r="H120" s="68" t="inlineStr">
        <is>
          <t>RH-42.01, RH-42.02</t>
        </is>
      </c>
      <c r="I120" s="68" t="inlineStr">
        <is>
          <t>—</t>
        </is>
      </c>
      <c r="J120" s="68" t="inlineStr">
        <is>
          <t>—</t>
        </is>
      </c>
      <c r="K120" s="68" t="inlineStr">
        <is>
          <t>—</t>
        </is>
      </c>
      <c r="L120" s="68" t="inlineStr">
        <is>
          <t>Au moins un salarié</t>
        </is>
      </c>
      <c r="M120" s="83" t="inlineStr">
        <is>
          <t>Nouveau</t>
        </is>
      </c>
    </row>
    <row r="121" ht="15" customHeight="1" s="53">
      <c r="A121" s="92" t="inlineStr">
        <is>
          <t>RH-43</t>
        </is>
      </c>
      <c r="B121" s="68" t="inlineStr">
        <is>
          <t>RH &amp; Organisation</t>
        </is>
      </c>
      <c r="C121" s="68" t="inlineStr">
        <is>
          <t>S'entourer (dirigeant seul)</t>
        </is>
      </c>
      <c r="D121" s="65" t="inlineStr">
        <is>
          <t>Moyens pour une première aide</t>
        </is>
      </c>
      <c r="E121" s="66" t="inlineStr">
        <is>
          <t>Cohérence</t>
        </is>
      </c>
      <c r="F121" s="67" t="inlineStr">
        <is>
          <t>Qualifié</t>
        </is>
      </c>
      <c r="G121" s="82" t="inlineStr">
        <is>
          <t>Oui</t>
        </is>
      </c>
      <c r="H121" s="68" t="inlineStr">
        <is>
          <t>RH-43.01, RH-43.02, RH-43.03</t>
        </is>
      </c>
      <c r="I121" s="68" t="inlineStr">
        <is>
          <t>Demandes perdues partagées avec ACQ-22 (posées une seule fois)</t>
        </is>
      </c>
      <c r="J121" s="68" t="inlineStr">
        <is>
          <t>—</t>
        </is>
      </c>
      <c r="K121" s="68" t="inlineStr">
        <is>
          <t>—</t>
        </is>
      </c>
      <c r="L121" s="68" t="inlineStr">
        <is>
          <t>Au moins un salarié</t>
        </is>
      </c>
      <c r="M121" s="83" t="inlineStr">
        <is>
          <t>Nouveau</t>
        </is>
      </c>
    </row>
    <row r="122" ht="15" customHeight="1" s="53">
      <c r="A122" s="92" t="inlineStr">
        <is>
          <t>RH-44</t>
        </is>
      </c>
      <c r="B122" s="68" t="inlineStr">
        <is>
          <t>RH &amp; Organisation</t>
        </is>
      </c>
      <c r="C122" s="68" t="inlineStr">
        <is>
          <t>S'entourer (dirigeant seul)</t>
        </is>
      </c>
      <c r="D122" s="65" t="inlineStr">
        <is>
          <t>Freins</t>
        </is>
      </c>
      <c r="E122" s="69" t="inlineStr">
        <is>
          <t>Contexte</t>
        </is>
      </c>
      <c r="F122" s="67" t="inlineStr">
        <is>
          <t>—</t>
        </is>
      </c>
      <c r="G122" s="67" t="inlineStr">
        <is>
          <t>Non</t>
        </is>
      </c>
      <c r="H122" s="68" t="inlineStr">
        <is>
          <t>RH-44.01, RH-44.02, RH-44.03</t>
        </is>
      </c>
      <c r="I122" s="68" t="inlineStr">
        <is>
          <t>—</t>
        </is>
      </c>
      <c r="J122" s="68" t="inlineStr">
        <is>
          <t>—</t>
        </is>
      </c>
      <c r="K122" s="68" t="inlineStr">
        <is>
          <t>—</t>
        </is>
      </c>
      <c r="L122" s="68" t="inlineStr">
        <is>
          <t>Au moins un salarié</t>
        </is>
      </c>
      <c r="M122" s="83" t="inlineStr">
        <is>
          <t>Nouveau</t>
        </is>
      </c>
    </row>
    <row r="123" ht="23.85" customHeight="1" s="53">
      <c r="A123" s="92" t="inlineStr">
        <is>
          <t>RH-45</t>
        </is>
      </c>
      <c r="B123" s="68" t="inlineStr">
        <is>
          <t>RH &amp; Organisation</t>
        </is>
      </c>
      <c r="C123" s="68" t="inlineStr">
        <is>
          <t>S'entourer (dirigeant seul)</t>
        </is>
      </c>
      <c r="D123" s="65" t="inlineStr">
        <is>
          <t>Relais quand on est seul</t>
        </is>
      </c>
      <c r="E123" s="70" t="inlineStr">
        <is>
          <t>Pratique</t>
        </is>
      </c>
      <c r="F123" s="67" t="inlineStr">
        <is>
          <t>Qualifié</t>
        </is>
      </c>
      <c r="G123" s="67" t="inlineStr">
        <is>
          <t>Non</t>
        </is>
      </c>
      <c r="H123" s="68" t="inlineStr">
        <is>
          <t>RH-45.01, RH-45.02, RH-45.03</t>
        </is>
      </c>
      <c r="I123" s="68" t="inlineStr">
        <is>
          <t>—</t>
        </is>
      </c>
      <c r="J123" s="68" t="inlineStr">
        <is>
          <t>—</t>
        </is>
      </c>
      <c r="K123" s="68" t="inlineStr">
        <is>
          <t>—</t>
        </is>
      </c>
      <c r="L123" s="68" t="inlineStr">
        <is>
          <t>Au moins un salarié</t>
        </is>
      </c>
      <c r="M123" s="83" t="inlineStr">
        <is>
          <t>Nouveau</t>
        </is>
      </c>
    </row>
    <row r="124" ht="15" customHeight="1" s="53">
      <c r="A124" s="92" t="inlineStr">
        <is>
          <t>RH-46</t>
        </is>
      </c>
      <c r="B124" s="68" t="inlineStr">
        <is>
          <t>RH &amp; Organisation</t>
        </is>
      </c>
      <c r="C124" s="68" t="inlineStr">
        <is>
          <t>Rôles et délégation</t>
        </is>
      </c>
      <c r="D124" s="65" t="inlineStr">
        <is>
          <t>Composition de l'équipe</t>
        </is>
      </c>
      <c r="E124" s="69" t="inlineStr">
        <is>
          <t>Contexte</t>
        </is>
      </c>
      <c r="F124" s="67" t="inlineStr">
        <is>
          <t>—</t>
        </is>
      </c>
      <c r="G124" s="67" t="inlineStr">
        <is>
          <t>Non</t>
        </is>
      </c>
      <c r="H124" s="68" t="inlineStr">
        <is>
          <t>RH-46.01, RH-46.02</t>
        </is>
      </c>
      <c r="I124" s="68" t="inlineStr">
        <is>
          <t>Partagé avec ACQ-21 (posé une seule fois)</t>
        </is>
      </c>
      <c r="J124" s="68" t="inlineStr">
        <is>
          <t>—</t>
        </is>
      </c>
      <c r="K124" s="68" t="inlineStr">
        <is>
          <t>—</t>
        </is>
      </c>
      <c r="L124" s="68" t="inlineStr">
        <is>
          <t>Seul</t>
        </is>
      </c>
      <c r="M124" s="83" t="inlineStr">
        <is>
          <t>Nouveau</t>
        </is>
      </c>
    </row>
    <row r="125" ht="15" customHeight="1" s="53">
      <c r="A125" s="92" t="inlineStr">
        <is>
          <t>RH-47</t>
        </is>
      </c>
      <c r="B125" s="68" t="inlineStr">
        <is>
          <t>RH &amp; Organisation</t>
        </is>
      </c>
      <c r="C125" s="68" t="inlineStr">
        <is>
          <t>Charge et planification</t>
        </is>
      </c>
      <c r="D125" s="65" t="inlineStr">
        <is>
          <t>Planning de l'équipe</t>
        </is>
      </c>
      <c r="E125" s="70" t="inlineStr">
        <is>
          <t>Pratique</t>
        </is>
      </c>
      <c r="F125" s="67" t="inlineStr">
        <is>
          <t>Qualifié</t>
        </is>
      </c>
      <c r="G125" s="67" t="inlineStr">
        <is>
          <t>Non</t>
        </is>
      </c>
      <c r="H125" s="68" t="inlineStr">
        <is>
          <t>RH-47.01, RH-47.02, RH-47.03</t>
        </is>
      </c>
      <c r="I125" s="68" t="inlineStr">
        <is>
          <t>—</t>
        </is>
      </c>
      <c r="J125" s="68" t="inlineStr">
        <is>
          <t>—</t>
        </is>
      </c>
      <c r="K125" s="68" t="inlineStr">
        <is>
          <t>—</t>
        </is>
      </c>
      <c r="L125" s="68" t="inlineStr">
        <is>
          <t>Seul</t>
        </is>
      </c>
      <c r="M125" s="83" t="inlineStr">
        <is>
          <t>Nouveau</t>
        </is>
      </c>
    </row>
    <row r="126" ht="15" customHeight="1" s="53">
      <c r="A126" s="92" t="inlineStr">
        <is>
          <t>RH-48</t>
        </is>
      </c>
      <c r="B126" s="68" t="inlineStr">
        <is>
          <t>RH &amp; Organisation</t>
        </is>
      </c>
      <c r="C126" s="68" t="inlineStr">
        <is>
          <t>Management</t>
        </is>
      </c>
      <c r="D126" s="65" t="inlineStr">
        <is>
          <t>Objectifs individuels</t>
        </is>
      </c>
      <c r="E126" s="70" t="inlineStr">
        <is>
          <t>Pratique</t>
        </is>
      </c>
      <c r="F126" s="67" t="inlineStr">
        <is>
          <t>Qualifié</t>
        </is>
      </c>
      <c r="G126" s="67" t="inlineStr">
        <is>
          <t>Non</t>
        </is>
      </c>
      <c r="H126" s="68" t="inlineStr">
        <is>
          <t>RH-48.01, RH-48.02</t>
        </is>
      </c>
      <c r="I126" s="68" t="inlineStr">
        <is>
          <t>—</t>
        </is>
      </c>
      <c r="J126" s="68" t="inlineStr">
        <is>
          <t>—</t>
        </is>
      </c>
      <c r="K126" s="68" t="inlineStr">
        <is>
          <t>—</t>
        </is>
      </c>
      <c r="L126" s="68" t="inlineStr">
        <is>
          <t>Seul</t>
        </is>
      </c>
      <c r="M126" s="83" t="inlineStr">
        <is>
          <t>Nouveau</t>
        </is>
      </c>
    </row>
    <row r="127" ht="15" customHeight="1" s="53">
      <c r="A127" s="92" t="inlineStr">
        <is>
          <t>RH-49</t>
        </is>
      </c>
      <c r="B127" s="68" t="inlineStr">
        <is>
          <t>RH &amp; Organisation</t>
        </is>
      </c>
      <c r="C127" s="68" t="inlineStr">
        <is>
          <t>Management</t>
        </is>
      </c>
      <c r="D127" s="65" t="inlineStr">
        <is>
          <t>Encadrement</t>
        </is>
      </c>
      <c r="E127" s="70" t="inlineStr">
        <is>
          <t>Pratique</t>
        </is>
      </c>
      <c r="F127" s="67" t="inlineStr">
        <is>
          <t>Qualifié</t>
        </is>
      </c>
      <c r="G127" s="67" t="inlineStr">
        <is>
          <t>Non</t>
        </is>
      </c>
      <c r="H127" s="68" t="inlineStr">
        <is>
          <t>RH-49.01, RH-49.02</t>
        </is>
      </c>
      <c r="I127" s="68" t="inlineStr">
        <is>
          <t>—</t>
        </is>
      </c>
      <c r="J127" s="68" t="inlineStr">
        <is>
          <t>—</t>
        </is>
      </c>
      <c r="K127" s="68" t="inlineStr">
        <is>
          <t>—</t>
        </is>
      </c>
      <c r="L127" s="68" t="inlineStr">
        <is>
          <t>Moins de 6 personnes</t>
        </is>
      </c>
      <c r="M127" s="83" t="inlineStr">
        <is>
          <t>Nouveau</t>
        </is>
      </c>
    </row>
    <row r="128" ht="15" customHeight="1" s="53">
      <c r="A128" s="85" t="inlineStr">
        <is>
          <t>COM-01</t>
        </is>
      </c>
      <c r="B128" s="86" t="inlineStr">
        <is>
          <t>Comm &amp; Création</t>
        </is>
      </c>
      <c r="C128" s="86" t="inlineStr">
        <is>
          <t>Identité et offre</t>
        </is>
      </c>
      <c r="D128" s="87" t="inlineStr">
        <is>
          <t>Positionnement</t>
        </is>
      </c>
      <c r="E128" s="93" t="inlineStr">
        <is>
          <t>Pratique</t>
        </is>
      </c>
      <c r="F128" s="89" t="inlineStr">
        <is>
          <t>Qualifié</t>
        </is>
      </c>
      <c r="G128" s="89" t="inlineStr">
        <is>
          <t>Non</t>
        </is>
      </c>
      <c r="H128" s="86" t="inlineStr">
        <is>
          <t>COM-01.01</t>
        </is>
      </c>
      <c r="I128" s="86" t="inlineStr">
        <is>
          <t>—</t>
        </is>
      </c>
      <c r="J128" s="86" t="inlineStr">
        <is>
          <t>—</t>
        </is>
      </c>
      <c r="K128" s="86" t="inlineStr">
        <is>
          <t>—</t>
        </is>
      </c>
      <c r="L128" s="86" t="inlineStr">
        <is>
          <t>—</t>
        </is>
      </c>
      <c r="M128" s="91" t="n"/>
    </row>
    <row r="129" ht="15" customHeight="1" s="53">
      <c r="A129" s="81" t="inlineStr">
        <is>
          <t>COM-02</t>
        </is>
      </c>
      <c r="B129" s="68" t="inlineStr">
        <is>
          <t>Comm &amp; Création</t>
        </is>
      </c>
      <c r="C129" s="68" t="inlineStr">
        <is>
          <t>Identité et offre</t>
        </is>
      </c>
      <c r="D129" s="65" t="inlineStr">
        <is>
          <t>Cible</t>
        </is>
      </c>
      <c r="E129" s="66" t="inlineStr">
        <is>
          <t>Cohérence</t>
        </is>
      </c>
      <c r="F129" s="67" t="inlineStr">
        <is>
          <t>Qualifié</t>
        </is>
      </c>
      <c r="G129" s="67" t="inlineStr">
        <is>
          <t>Non</t>
        </is>
      </c>
      <c r="H129" s="68" t="inlineStr">
        <is>
          <t>COM-02.01</t>
        </is>
      </c>
      <c r="I129" s="68" t="inlineStr">
        <is>
          <t>Cible (ACQ-01)</t>
        </is>
      </c>
      <c r="J129" s="68" t="inlineStr">
        <is>
          <t>Cible déclarée différente des clients qui rapportent → aligner la communication sur les clients réels.</t>
        </is>
      </c>
      <c r="K129" s="68" t="inlineStr">
        <is>
          <t>—</t>
        </is>
      </c>
      <c r="L129" s="68" t="inlineStr">
        <is>
          <t>—</t>
        </is>
      </c>
      <c r="M129" s="83" t="n"/>
    </row>
    <row r="130" ht="23.85" customHeight="1" s="53">
      <c r="A130" s="81" t="inlineStr">
        <is>
          <t>COM-03</t>
        </is>
      </c>
      <c r="B130" s="68" t="inlineStr">
        <is>
          <t>Comm &amp; Création</t>
        </is>
      </c>
      <c r="C130" s="68" t="inlineStr">
        <is>
          <t>Identité et offre</t>
        </is>
      </c>
      <c r="D130" s="65" t="inlineStr">
        <is>
          <t>Promesse</t>
        </is>
      </c>
      <c r="E130" s="70" t="inlineStr">
        <is>
          <t>Pratique</t>
        </is>
      </c>
      <c r="F130" s="67" t="inlineStr">
        <is>
          <t>Qualifié</t>
        </is>
      </c>
      <c r="G130" s="67" t="inlineStr">
        <is>
          <t>Non</t>
        </is>
      </c>
      <c r="H130" s="68" t="inlineStr">
        <is>
          <t>COM-03.01</t>
        </is>
      </c>
      <c r="I130" s="68" t="inlineStr">
        <is>
          <t>—</t>
        </is>
      </c>
      <c r="J130" s="68" t="inlineStr">
        <is>
          <t>—</t>
        </is>
      </c>
      <c r="K130" s="68" t="inlineStr">
        <is>
          <t>—</t>
        </is>
      </c>
      <c r="L130" s="68" t="inlineStr">
        <is>
          <t>—</t>
        </is>
      </c>
      <c r="M130" s="83" t="n"/>
    </row>
    <row r="131" ht="35.05" customHeight="1" s="53">
      <c r="A131" s="81" t="inlineStr">
        <is>
          <t>COM-04</t>
        </is>
      </c>
      <c r="B131" s="68" t="inlineStr">
        <is>
          <t>Comm &amp; Création</t>
        </is>
      </c>
      <c r="C131" s="68" t="inlineStr">
        <is>
          <t>Identité et offre</t>
        </is>
      </c>
      <c r="D131" s="65" t="inlineStr">
        <is>
          <t>Force de l'offre</t>
        </is>
      </c>
      <c r="E131" s="70" t="inlineStr">
        <is>
          <t>Pratique</t>
        </is>
      </c>
      <c r="F131" s="67" t="inlineStr">
        <is>
          <t>Qualifié</t>
        </is>
      </c>
      <c r="G131" s="67" t="inlineStr">
        <is>
          <t>Non</t>
        </is>
      </c>
      <c r="H131" s="68" t="inlineStr">
        <is>
          <t>COM-04.01</t>
        </is>
      </c>
      <c r="I131" s="68" t="inlineStr">
        <is>
          <t>—</t>
        </is>
      </c>
      <c r="J131" s="68" t="inlineStr">
        <is>
          <t>—</t>
        </is>
      </c>
      <c r="K131" s="68" t="inlineStr">
        <is>
          <t>—</t>
        </is>
      </c>
      <c r="L131" s="68" t="inlineStr">
        <is>
          <t>—</t>
        </is>
      </c>
      <c r="M131" s="83" t="n"/>
    </row>
    <row r="132" ht="23.85" customHeight="1" s="53">
      <c r="A132" s="81" t="inlineStr">
        <is>
          <t>COM-05</t>
        </is>
      </c>
      <c r="B132" s="68" t="inlineStr">
        <is>
          <t>Comm &amp; Création</t>
        </is>
      </c>
      <c r="C132" s="68" t="inlineStr">
        <is>
          <t>Identité et offre</t>
        </is>
      </c>
      <c r="D132" s="65" t="inlineStr">
        <is>
          <t>Garantie</t>
        </is>
      </c>
      <c r="E132" s="70" t="inlineStr">
        <is>
          <t>Pratique</t>
        </is>
      </c>
      <c r="F132" s="67" t="inlineStr">
        <is>
          <t>Qualifié</t>
        </is>
      </c>
      <c r="G132" s="67" t="inlineStr">
        <is>
          <t>Non</t>
        </is>
      </c>
      <c r="H132" s="68" t="inlineStr">
        <is>
          <t>COM-05.01, COM-05.02</t>
        </is>
      </c>
      <c r="I132" s="68" t="inlineStr">
        <is>
          <t>—</t>
        </is>
      </c>
      <c r="J132" s="68" t="inlineStr">
        <is>
          <t>—</t>
        </is>
      </c>
      <c r="K132" s="68" t="inlineStr">
        <is>
          <t>—</t>
        </is>
      </c>
      <c r="L132" s="68" t="inlineStr">
        <is>
          <t>—</t>
        </is>
      </c>
      <c r="M132" s="83" t="n"/>
    </row>
    <row r="133" ht="23.85" customHeight="1" s="53">
      <c r="A133" s="81" t="inlineStr">
        <is>
          <t>COM-06</t>
        </is>
      </c>
      <c r="B133" s="68" t="inlineStr">
        <is>
          <t>Comm &amp; Création</t>
        </is>
      </c>
      <c r="C133" s="68" t="inlineStr">
        <is>
          <t>Identité et offre</t>
        </is>
      </c>
      <c r="D133" s="65" t="inlineStr">
        <is>
          <t>Ton</t>
        </is>
      </c>
      <c r="E133" s="70" t="inlineStr">
        <is>
          <t>Pratique</t>
        </is>
      </c>
      <c r="F133" s="67" t="inlineStr">
        <is>
          <t>Qualifié</t>
        </is>
      </c>
      <c r="G133" s="67" t="inlineStr">
        <is>
          <t>Non</t>
        </is>
      </c>
      <c r="H133" s="68" t="inlineStr">
        <is>
          <t>—</t>
        </is>
      </c>
      <c r="I133" s="68" t="inlineStr">
        <is>
          <t>—</t>
        </is>
      </c>
      <c r="J133" s="68" t="inlineStr">
        <is>
          <t>—</t>
        </is>
      </c>
      <c r="K133" s="68" t="inlineStr">
        <is>
          <t>—</t>
        </is>
      </c>
      <c r="L133" s="68" t="inlineStr">
        <is>
          <t>—</t>
        </is>
      </c>
      <c r="M133" s="83" t="n"/>
    </row>
    <row r="134" ht="35.05" customHeight="1" s="53">
      <c r="A134" s="81" t="inlineStr">
        <is>
          <t>COM-07</t>
        </is>
      </c>
      <c r="B134" s="68" t="inlineStr">
        <is>
          <t>Comm &amp; Création</t>
        </is>
      </c>
      <c r="C134" s="68" t="inlineStr">
        <is>
          <t>Identité et offre</t>
        </is>
      </c>
      <c r="D134" s="65" t="inlineStr">
        <is>
          <t>Cohérence de marque</t>
        </is>
      </c>
      <c r="E134" s="70" t="inlineStr">
        <is>
          <t>Pratique</t>
        </is>
      </c>
      <c r="F134" s="67" t="inlineStr">
        <is>
          <t>Qualifié</t>
        </is>
      </c>
      <c r="G134" s="67" t="inlineStr">
        <is>
          <t>Non</t>
        </is>
      </c>
      <c r="H134" s="68" t="inlineStr">
        <is>
          <t>COM-07.01</t>
        </is>
      </c>
      <c r="I134" s="68" t="inlineStr">
        <is>
          <t>—</t>
        </is>
      </c>
      <c r="J134" s="68" t="inlineStr">
        <is>
          <t>—</t>
        </is>
      </c>
      <c r="K134" s="68" t="inlineStr">
        <is>
          <t>—</t>
        </is>
      </c>
      <c r="L134" s="68" t="inlineStr">
        <is>
          <t>—</t>
        </is>
      </c>
      <c r="M134" s="83" t="n"/>
    </row>
    <row r="135" ht="23.85" customHeight="1" s="53">
      <c r="A135" s="81" t="inlineStr">
        <is>
          <t>COM-08</t>
        </is>
      </c>
      <c r="B135" s="68" t="inlineStr">
        <is>
          <t>Comm &amp; Création</t>
        </is>
      </c>
      <c r="C135" s="68" t="inlineStr">
        <is>
          <t>Identité et offre</t>
        </is>
      </c>
      <c r="D135" s="65" t="inlineStr">
        <is>
          <t>Réassurance</t>
        </is>
      </c>
      <c r="E135" s="70" t="inlineStr">
        <is>
          <t>Pratique</t>
        </is>
      </c>
      <c r="F135" s="67" t="inlineStr">
        <is>
          <t>Qualifié</t>
        </is>
      </c>
      <c r="G135" s="67" t="inlineStr">
        <is>
          <t>Non</t>
        </is>
      </c>
      <c r="H135" s="68" t="inlineStr">
        <is>
          <t>COM-08.01</t>
        </is>
      </c>
      <c r="I135" s="68" t="inlineStr">
        <is>
          <t>Avis (COM-44) ; ancienneté (inscription)</t>
        </is>
      </c>
      <c r="J135" s="68" t="inlineStr">
        <is>
          <t>—</t>
        </is>
      </c>
      <c r="K135" s="68" t="inlineStr">
        <is>
          <t>—</t>
        </is>
      </c>
      <c r="L135" s="68" t="inlineStr">
        <is>
          <t>—</t>
        </is>
      </c>
      <c r="M135" s="83" t="n"/>
    </row>
    <row r="136" ht="35.05" customHeight="1" s="53">
      <c r="A136" s="81" t="inlineStr">
        <is>
          <t>COM-09</t>
        </is>
      </c>
      <c r="B136" s="68" t="inlineStr">
        <is>
          <t>Comm &amp; Création</t>
        </is>
      </c>
      <c r="C136" s="68" t="inlineStr">
        <is>
          <t>Identité et offre</t>
        </is>
      </c>
      <c r="D136" s="65" t="inlineStr">
        <is>
          <t>Preuve et expertise</t>
        </is>
      </c>
      <c r="E136" s="70" t="inlineStr">
        <is>
          <t>Pratique</t>
        </is>
      </c>
      <c r="F136" s="67" t="inlineStr">
        <is>
          <t>Qualifié</t>
        </is>
      </c>
      <c r="G136" s="82" t="inlineStr">
        <is>
          <t>Oui</t>
        </is>
      </c>
      <c r="H136" s="68" t="inlineStr">
        <is>
          <t>COM-09.01, COM-09.02, COM-09.03, COM-09.08</t>
        </is>
      </c>
      <c r="I136" s="68" t="inlineStr">
        <is>
          <t>—</t>
        </is>
      </c>
      <c r="J136" s="68" t="inlineStr">
        <is>
          <t>Aucun cas → en collecter 3. 50 réalisations → sélectionner les 5 meilleures.</t>
        </is>
      </c>
      <c r="K136" s="68" t="inlineStr">
        <is>
          <t>—</t>
        </is>
      </c>
      <c r="L136" s="68" t="inlineStr">
        <is>
          <t>—</t>
        </is>
      </c>
      <c r="M136" s="83" t="n"/>
    </row>
    <row r="137" ht="23.85" customHeight="1" s="53">
      <c r="A137" s="81" t="inlineStr">
        <is>
          <t>COM-10</t>
        </is>
      </c>
      <c r="B137" s="68" t="inlineStr">
        <is>
          <t>Comm &amp; Création</t>
        </is>
      </c>
      <c r="C137" s="68" t="inlineStr">
        <is>
          <t>Présence et canaux</t>
        </is>
      </c>
      <c r="D137" s="65" t="inlineStr">
        <is>
          <t>Réseaux actifs</t>
        </is>
      </c>
      <c r="E137" s="70" t="inlineStr">
        <is>
          <t>Pratique</t>
        </is>
      </c>
      <c r="F137" s="67" t="inlineStr">
        <is>
          <t>Qualifié</t>
        </is>
      </c>
      <c r="G137" s="82" t="inlineStr">
        <is>
          <t>Oui</t>
        </is>
      </c>
      <c r="H137" s="68" t="inlineStr">
        <is>
          <t>COM-10.01, COM-10.03, COM-10.04, COM-10.05, COM-10.07, COM-10.08</t>
        </is>
      </c>
      <c r="I137" s="68" t="inlineStr">
        <is>
          <t>—</t>
        </is>
      </c>
      <c r="J137" s="68" t="inlineStr">
        <is>
          <t>3 réseaux à 1 publication par mois → n'en garder qu'un. 1 réseau bien tenu → l'amplifier avant d'en ouvrir un autre.</t>
        </is>
      </c>
      <c r="K137" s="68" t="inlineStr">
        <is>
          <t>Lu sur les profils.</t>
        </is>
      </c>
      <c r="L137" s="68" t="inlineStr">
        <is>
          <t>Ne publie pas (parcours mise en place)</t>
        </is>
      </c>
      <c r="M137" s="83" t="n"/>
    </row>
    <row r="138" ht="23.85" customHeight="1" s="53">
      <c r="A138" s="81" t="inlineStr">
        <is>
          <t>COM-11</t>
        </is>
      </c>
      <c r="B138" s="68" t="inlineStr">
        <is>
          <t>Comm &amp; Création</t>
        </is>
      </c>
      <c r="C138" s="68" t="inlineStr">
        <is>
          <t>Présence et canaux</t>
        </is>
      </c>
      <c r="D138" s="65" t="inlineStr">
        <is>
          <t>Adéquation canal-cible</t>
        </is>
      </c>
      <c r="E138" s="66" t="inlineStr">
        <is>
          <t>Cohérence</t>
        </is>
      </c>
      <c r="F138" s="67" t="inlineStr">
        <is>
          <t>Qualifié</t>
        </is>
      </c>
      <c r="G138" s="67" t="inlineStr">
        <is>
          <t>Non</t>
        </is>
      </c>
      <c r="H138" s="68" t="inlineStr">
        <is>
          <t>—</t>
        </is>
      </c>
      <c r="I138" s="68" t="inlineStr">
        <is>
          <t>Cible (COM-02) ; réseaux (COM-10)</t>
        </is>
      </c>
      <c r="J138" s="68" t="inlineStr">
        <is>
          <t>Réseau où la cible n'est pas → déplacer l'effort. Bon réseau → pas d'action.</t>
        </is>
      </c>
      <c r="K138" s="68" t="inlineStr">
        <is>
          <t>—</t>
        </is>
      </c>
      <c r="L138" s="68" t="inlineStr">
        <is>
          <t>Ne publie pas (parcours mise en place)</t>
        </is>
      </c>
      <c r="M138" s="83" t="n"/>
    </row>
    <row r="139" ht="23.85" customHeight="1" s="53">
      <c r="A139" s="81" t="inlineStr">
        <is>
          <t>COM-12</t>
        </is>
      </c>
      <c r="B139" s="68" t="inlineStr">
        <is>
          <t>Comm &amp; Création</t>
        </is>
      </c>
      <c r="C139" s="68" t="inlineStr">
        <is>
          <t>Présence et canaux</t>
        </is>
      </c>
      <c r="D139" s="65" t="inlineStr">
        <is>
          <t>Les quatre canaux d'acquisition</t>
        </is>
      </c>
      <c r="E139" s="66" t="inlineStr">
        <is>
          <t>Cohérence</t>
        </is>
      </c>
      <c r="F139" s="67" t="inlineStr">
        <is>
          <t>Chiffré (contacts)</t>
        </is>
      </c>
      <c r="G139" s="67" t="inlineStr">
        <is>
          <t>Calculé</t>
        </is>
      </c>
      <c r="H139" s="68" t="inlineStr">
        <is>
          <t>COM-12.01</t>
        </is>
      </c>
      <c r="I139" s="68" t="inlineStr">
        <is>
          <t>Contacts par canal (ACQ-03) — partagé, posé une seule fois</t>
        </is>
      </c>
      <c r="J139" s="68" t="inlineStr">
        <is>
          <t>Un seul canal utilisé sur 4 → en tester un second. Les 4 utilisés mais dispersés → concentrer sur le plus rentable.</t>
        </is>
      </c>
      <c r="K139" s="68" t="inlineStr">
        <is>
          <t>—</t>
        </is>
      </c>
      <c r="L139" s="68" t="inlineStr">
        <is>
          <t>—</t>
        </is>
      </c>
      <c r="M139" s="83" t="n"/>
    </row>
    <row r="140" ht="23.85" customHeight="1" s="53">
      <c r="A140" s="81" t="inlineStr">
        <is>
          <t>COM-13</t>
        </is>
      </c>
      <c r="B140" s="68" t="inlineStr">
        <is>
          <t>Comm &amp; Création</t>
        </is>
      </c>
      <c r="C140" s="68" t="inlineStr">
        <is>
          <t>Présence et canaux</t>
        </is>
      </c>
      <c r="D140" s="65" t="inlineStr">
        <is>
          <t>Site web</t>
        </is>
      </c>
      <c r="E140" s="70" t="inlineStr">
        <is>
          <t>Pratique</t>
        </is>
      </c>
      <c r="F140" s="67" t="inlineStr">
        <is>
          <t>Qualifié</t>
        </is>
      </c>
      <c r="G140" s="82" t="inlineStr">
        <is>
          <t>Oui</t>
        </is>
      </c>
      <c r="H140" s="68" t="inlineStr">
        <is>
          <t>COM-13.01, COM-13.02, COM-13.03, COM-13.04, COM-13.05, COM-13.06, COM-13.10, COM-13.11</t>
        </is>
      </c>
      <c r="I140" s="68" t="inlineStr">
        <is>
          <t>Partagé avec ACQ-02 et ACQ-06 (posé une seule fois)</t>
        </is>
      </c>
      <c r="J140" s="68" t="inlineStr">
        <is>
          <t>Peu de visites → liens depuis la fiche Google et les réseaux. Beaucoup de visites et peu de demandes → revoir l'appel à l'action du site.</t>
        </is>
      </c>
      <c r="K140" s="68" t="inlineStr">
        <is>
          <t>Lu dans les statistiques du site, sinon ignoré.</t>
        </is>
      </c>
      <c r="L140" s="68" t="inlineStr">
        <is>
          <t>—</t>
        </is>
      </c>
      <c r="M140" s="83" t="n"/>
    </row>
    <row r="141" ht="23.85" customHeight="1" s="53">
      <c r="A141" s="81" t="inlineStr">
        <is>
          <t>COM-14</t>
        </is>
      </c>
      <c r="B141" s="68" t="inlineStr">
        <is>
          <t>Comm &amp; Création</t>
        </is>
      </c>
      <c r="C141" s="68" t="inlineStr">
        <is>
          <t>Présence et canaux</t>
        </is>
      </c>
      <c r="D141" s="65" t="inlineStr">
        <is>
          <t>Fiche Google</t>
        </is>
      </c>
      <c r="E141" s="70" t="inlineStr">
        <is>
          <t>Pratique</t>
        </is>
      </c>
      <c r="F141" s="67" t="inlineStr">
        <is>
          <t>Qualifié</t>
        </is>
      </c>
      <c r="G141" s="67" t="inlineStr">
        <is>
          <t>Calculé</t>
        </is>
      </c>
      <c r="H141" s="68" t="inlineStr">
        <is>
          <t>COM-14.01, COM-14.02</t>
        </is>
      </c>
      <c r="I141" s="68" t="inlineStr">
        <is>
          <t>Partagé avec ACQ-06 (posé une seule fois) ; Lue sur la fiche si connectée</t>
        </is>
      </c>
      <c r="J141" s="68" t="inlineStr">
        <is>
          <t>—</t>
        </is>
      </c>
      <c r="K141" s="68" t="inlineStr">
        <is>
          <t>—</t>
        </is>
      </c>
      <c r="L141" s="68" t="inlineStr">
        <is>
          <t>—</t>
        </is>
      </c>
      <c r="M141" s="83" t="n"/>
    </row>
    <row r="142" ht="23.85" customHeight="1" s="53">
      <c r="A142" s="81" t="inlineStr">
        <is>
          <t>COM-15</t>
        </is>
      </c>
      <c r="B142" s="68" t="inlineStr">
        <is>
          <t>Comm &amp; Création</t>
        </is>
      </c>
      <c r="C142" s="68" t="inlineStr">
        <is>
          <t>Présence et canaux</t>
        </is>
      </c>
      <c r="D142" s="65" t="inlineStr">
        <is>
          <t>Canaux possédés</t>
        </is>
      </c>
      <c r="E142" s="70" t="inlineStr">
        <is>
          <t>Pratique</t>
        </is>
      </c>
      <c r="F142" s="67" t="inlineStr">
        <is>
          <t>Chiffré (contacts)</t>
        </is>
      </c>
      <c r="G142" s="82" t="inlineStr">
        <is>
          <t>Oui</t>
        </is>
      </c>
      <c r="H142" s="68" t="inlineStr">
        <is>
          <t>COM-15.01, COM-15.02, COM-15.03, COM-15.04, COM-15.05, COM-15.06, COM-15.12</t>
        </is>
      </c>
      <c r="I142" s="68" t="inlineStr">
        <is>
          <t>—</t>
        </is>
      </c>
      <c r="J142" s="68" t="inlineStr">
        <is>
          <t>Aucun contact → commencer à collecter. 2 000 contacts jamais sollicités → première campagne email.</t>
        </is>
      </c>
      <c r="K142" s="68" t="inlineStr">
        <is>
          <t>Exporter le fichier clients du logiciel de facturation.</t>
        </is>
      </c>
      <c r="L142" s="68" t="inlineStr">
        <is>
          <t>—</t>
        </is>
      </c>
      <c r="M142" s="83" t="n"/>
    </row>
    <row r="143" ht="23.85" customHeight="1" s="53">
      <c r="A143" s="81" t="inlineStr">
        <is>
          <t>COM-16</t>
        </is>
      </c>
      <c r="B143" s="68" t="inlineStr">
        <is>
          <t>Comm &amp; Création</t>
        </is>
      </c>
      <c r="C143" s="68" t="inlineStr">
        <is>
          <t>Présence et canaux</t>
        </is>
      </c>
      <c r="D143" s="65" t="inlineStr">
        <is>
          <t>Référencement local</t>
        </is>
      </c>
      <c r="E143" s="70" t="inlineStr">
        <is>
          <t>Pratique</t>
        </is>
      </c>
      <c r="F143" s="67" t="inlineStr">
        <is>
          <t>Qualifié</t>
        </is>
      </c>
      <c r="G143" s="67" t="inlineStr">
        <is>
          <t>Non</t>
        </is>
      </c>
      <c r="H143" s="68" t="inlineStr">
        <is>
          <t>COM-16.01</t>
        </is>
      </c>
      <c r="I143" s="68" t="inlineStr">
        <is>
          <t>Constaté par une recherche test « métier + ville »</t>
        </is>
      </c>
      <c r="J143" s="68" t="inlineStr">
        <is>
          <t>—</t>
        </is>
      </c>
      <c r="K143" s="68" t="inlineStr">
        <is>
          <t>—</t>
        </is>
      </c>
      <c r="L143" s="68" t="inlineStr">
        <is>
          <t>—</t>
        </is>
      </c>
      <c r="M143" s="83" t="n"/>
    </row>
    <row r="144" ht="23.85" customHeight="1" s="53">
      <c r="A144" s="94" t="inlineStr">
        <is>
          <t>COM-17</t>
        </is>
      </c>
      <c r="B144" s="68" t="inlineStr">
        <is>
          <t>Comm &amp; Création</t>
        </is>
      </c>
      <c r="C144" s="68" t="inlineStr">
        <is>
          <t>De la publication au contact</t>
        </is>
      </c>
      <c r="D144" s="65" t="inlineStr">
        <is>
          <t>Funnel 1 · Être vu : portée</t>
        </is>
      </c>
      <c r="E144" s="66" t="inlineStr">
        <is>
          <t>Cohérence</t>
        </is>
      </c>
      <c r="F144" s="67" t="inlineStr">
        <is>
          <t>Chiffré (contacts)</t>
        </is>
      </c>
      <c r="G144" s="82" t="inlineStr">
        <is>
          <t>Oui</t>
        </is>
      </c>
      <c r="H144" s="68" t="inlineStr">
        <is>
          <t>COM-17.01, COM-17.02, COM-17.03</t>
        </is>
      </c>
      <c r="I144" s="68" t="inlineStr">
        <is>
          <t>Statistiques Google ou Meta si connectées</t>
        </is>
      </c>
      <c r="J144" s="68" t="inlineStr">
        <is>
          <t>Faible portée et peu d'abonnés → activer le réseau existant. Bonne portée et peu de contacts → le blocage est plus loin dans le parcours.</t>
        </is>
      </c>
      <c r="K144" s="68" t="inlineStr">
        <is>
          <t>Lu dans les statistiques de la plateforme.</t>
        </is>
      </c>
      <c r="L144" s="68" t="inlineStr">
        <is>
          <t>Ne publie pas (parcours mise en place)</t>
        </is>
      </c>
      <c r="M144" s="83" t="inlineStr">
        <is>
          <t>Nom du thème</t>
        </is>
      </c>
    </row>
    <row r="145" ht="15" customHeight="1" s="53">
      <c r="A145" s="94" t="inlineStr">
        <is>
          <t>COM-18</t>
        </is>
      </c>
      <c r="B145" s="68" t="inlineStr">
        <is>
          <t>Comm &amp; Création</t>
        </is>
      </c>
      <c r="C145" s="68" t="inlineStr">
        <is>
          <t>De la publication au contact</t>
        </is>
      </c>
      <c r="D145" s="65" t="inlineStr">
        <is>
          <t>Funnel 2 · Intéresser : réactions</t>
        </is>
      </c>
      <c r="E145" s="84" t="inlineStr">
        <is>
          <t>Marché</t>
        </is>
      </c>
      <c r="F145" s="67" t="inlineStr">
        <is>
          <t>Chiffré (contacts)</t>
        </is>
      </c>
      <c r="G145" s="82" t="inlineStr">
        <is>
          <t>Oui</t>
        </is>
      </c>
      <c r="H145" s="68" t="inlineStr">
        <is>
          <t>COM-18.01</t>
        </is>
      </c>
      <c r="I145" s="68" t="inlineStr">
        <is>
          <t>Portée (COM-17)</t>
        </is>
      </c>
      <c r="J145" s="68" t="inlineStr">
        <is>
          <t>Engagement faible sur peu de publications → tester les formats. Sur beaucoup → revoir accroche et angle (grille COM-49 à COM-54).</t>
        </is>
      </c>
      <c r="K145" s="68" t="inlineStr">
        <is>
          <t>Lu dans les statistiques de la plateforme.</t>
        </is>
      </c>
      <c r="L145" s="68" t="inlineStr">
        <is>
          <t>Ne publie pas (parcours mise en place)</t>
        </is>
      </c>
      <c r="M145" s="83" t="inlineStr">
        <is>
          <t>Nom du thème</t>
        </is>
      </c>
    </row>
    <row r="146" ht="23.85" customHeight="1" s="53">
      <c r="A146" s="94" t="inlineStr">
        <is>
          <t>COM-19</t>
        </is>
      </c>
      <c r="B146" s="68" t="inlineStr">
        <is>
          <t>Comm &amp; Création</t>
        </is>
      </c>
      <c r="C146" s="68" t="inlineStr">
        <is>
          <t>De la publication au contact</t>
        </is>
      </c>
      <c r="D146" s="65" t="inlineStr">
        <is>
          <t>Funnel 4 · Passer à l'action : clics</t>
        </is>
      </c>
      <c r="E146" s="84" t="inlineStr">
        <is>
          <t>Marché</t>
        </is>
      </c>
      <c r="F146" s="67" t="inlineStr">
        <is>
          <t>Chiffré (contacts)</t>
        </is>
      </c>
      <c r="G146" s="82" t="inlineStr">
        <is>
          <t>Oui</t>
        </is>
      </c>
      <c r="H146" s="68" t="inlineStr">
        <is>
          <t>COM-19.01</t>
        </is>
      </c>
      <c r="I146" s="68" t="inlineStr">
        <is>
          <t>Portée (COM-17)</t>
        </is>
      </c>
      <c r="J146" s="68" t="inlineStr">
        <is>
          <t>Peu de clics et pas de lien → ajouter un lien. Lien présent et peu de clics → revoir l'appel à l'action.</t>
        </is>
      </c>
      <c r="K146" s="68" t="inlineStr">
        <is>
          <t>Lu dans les statistiques de la plateforme.</t>
        </is>
      </c>
      <c r="L146" s="68" t="inlineStr">
        <is>
          <t>Ne publie pas (parcours mise en place)</t>
        </is>
      </c>
      <c r="M146" s="83" t="inlineStr">
        <is>
          <t>Nom du thème</t>
        </is>
      </c>
    </row>
    <row r="147" ht="23.85" customHeight="1" s="53">
      <c r="A147" s="81" t="inlineStr">
        <is>
          <t>COM-20</t>
        </is>
      </c>
      <c r="B147" s="68" t="inlineStr">
        <is>
          <t>Comm &amp; Création</t>
        </is>
      </c>
      <c r="C147" s="68" t="inlineStr">
        <is>
          <t>De la publication au contact</t>
        </is>
      </c>
      <c r="D147" s="65" t="inlineStr">
        <is>
          <t>Appel à l'action</t>
        </is>
      </c>
      <c r="E147" s="70" t="inlineStr">
        <is>
          <t>Pratique</t>
        </is>
      </c>
      <c r="F147" s="67" t="inlineStr">
        <is>
          <t>Qualifié</t>
        </is>
      </c>
      <c r="G147" s="67" t="inlineStr">
        <is>
          <t>Calculé</t>
        </is>
      </c>
      <c r="H147" s="68" t="inlineStr">
        <is>
          <t>—</t>
        </is>
      </c>
      <c r="I147" s="68" t="inlineStr">
        <is>
          <t>Grille de qualité (COM-53)</t>
        </is>
      </c>
      <c r="J147" s="68" t="inlineStr">
        <is>
          <t>—</t>
        </is>
      </c>
      <c r="K147" s="68" t="inlineStr">
        <is>
          <t>—</t>
        </is>
      </c>
      <c r="L147" s="68" t="inlineStr">
        <is>
          <t>Ne publie pas (parcours mise en place)</t>
        </is>
      </c>
      <c r="M147" s="83" t="n"/>
    </row>
    <row r="148" ht="23.85" customHeight="1" s="53">
      <c r="A148" s="94" t="inlineStr">
        <is>
          <t>COM-21</t>
        </is>
      </c>
      <c r="B148" s="68" t="inlineStr">
        <is>
          <t>Comm &amp; Création</t>
        </is>
      </c>
      <c r="C148" s="68" t="inlineStr">
        <is>
          <t>De la publication au contact</t>
        </is>
      </c>
      <c r="D148" s="65" t="inlineStr">
        <is>
          <t>Funnel 6 · Devenir un contact : offre gratuite</t>
        </is>
      </c>
      <c r="E148" s="70" t="inlineStr">
        <is>
          <t>Pratique</t>
        </is>
      </c>
      <c r="F148" s="67" t="inlineStr">
        <is>
          <t>Chiffré (contacts)</t>
        </is>
      </c>
      <c r="G148" s="82" t="inlineStr">
        <is>
          <t>Oui</t>
        </is>
      </c>
      <c r="H148" s="68" t="inlineStr">
        <is>
          <t>COM-21.01, COM-21.02, COM-21.03, COM-21.04</t>
        </is>
      </c>
      <c r="I148" s="68" t="inlineStr">
        <is>
          <t>—</t>
        </is>
      </c>
      <c r="J148" s="68" t="inlineStr">
        <is>
          <t>Aucune offre d'appel → en créer une. Offre existante qui récolte peu → revoir sa promesse.</t>
        </is>
      </c>
      <c r="K148" s="68" t="inlineStr">
        <is>
          <t>—</t>
        </is>
      </c>
      <c r="L148" s="68" t="inlineStr">
        <is>
          <t>—</t>
        </is>
      </c>
      <c r="M148" s="83" t="inlineStr">
        <is>
          <t>Nom du thème</t>
        </is>
      </c>
    </row>
    <row r="149" ht="23.85" customHeight="1" s="53">
      <c r="A149" s="94" t="inlineStr">
        <is>
          <t>COM-22</t>
        </is>
      </c>
      <c r="B149" s="68" t="inlineStr">
        <is>
          <t>Comm &amp; Création</t>
        </is>
      </c>
      <c r="C149" s="68" t="inlineStr">
        <is>
          <t>De la publication au contact</t>
        </is>
      </c>
      <c r="D149" s="65" t="inlineStr">
        <is>
          <t>Funnel 6 · Devenir un contact : demandes venues des réseaux</t>
        </is>
      </c>
      <c r="E149" s="66" t="inlineStr">
        <is>
          <t>Cohérence</t>
        </is>
      </c>
      <c r="F149" s="67" t="inlineStr">
        <is>
          <t>Chiffré (contacts)</t>
        </is>
      </c>
      <c r="G149" s="82" t="inlineStr">
        <is>
          <t>Oui</t>
        </is>
      </c>
      <c r="H149" s="68" t="inlineStr">
        <is>
          <t>COM-22.01, COM-22.04</t>
        </is>
      </c>
      <c r="I149" s="68" t="inlineStr">
        <is>
          <t>Contacts par canal (ACQ-03)</t>
        </is>
      </c>
      <c r="J149" s="68" t="inlineStr">
        <is>
          <t>Beaucoup de portée et peu de contacts → travailler le passage au contact. Peu des deux → travailler la portée.</t>
        </is>
      </c>
      <c r="K149" s="68" t="inlineStr">
        <is>
          <t>—</t>
        </is>
      </c>
      <c r="L149" s="68" t="inlineStr">
        <is>
          <t>Ne publie pas (parcours mise en place)</t>
        </is>
      </c>
      <c r="M149" s="83" t="inlineStr">
        <is>
          <t>Nom du thème</t>
        </is>
      </c>
    </row>
    <row r="150" ht="15" customHeight="1" s="53">
      <c r="A150" s="94" t="inlineStr">
        <is>
          <t>COM-23</t>
        </is>
      </c>
      <c r="B150" s="68" t="inlineStr">
        <is>
          <t>Comm &amp; Création</t>
        </is>
      </c>
      <c r="C150" s="68" t="inlineStr">
        <is>
          <t>De la publication au contact</t>
        </is>
      </c>
      <c r="D150" s="65" t="inlineStr">
        <is>
          <t>Funnel 4 · Passer à l'action : messages privés</t>
        </is>
      </c>
      <c r="E150" s="84" t="inlineStr">
        <is>
          <t>Marché</t>
        </is>
      </c>
      <c r="F150" s="67" t="inlineStr">
        <is>
          <t>Chiffré (contacts)</t>
        </is>
      </c>
      <c r="G150" s="82" t="inlineStr">
        <is>
          <t>Oui</t>
        </is>
      </c>
      <c r="H150" s="68" t="inlineStr">
        <is>
          <t>COM-23.01, COM-23.02, COM-23.03</t>
        </is>
      </c>
      <c r="I150" s="68" t="inlineStr">
        <is>
          <t>—</t>
        </is>
      </c>
      <c r="J150" s="68" t="inlineStr">
        <is>
          <t>10 messages par mois → réponse personnelle dans la journée. 200 → réponses types et notifications.</t>
        </is>
      </c>
      <c r="K150" s="68" t="inlineStr">
        <is>
          <t>Noter le délai sur les 10 prochains messages.</t>
        </is>
      </c>
      <c r="L150" s="68" t="inlineStr">
        <is>
          <t>Ne publie pas (parcours mise en place)</t>
        </is>
      </c>
      <c r="M150" s="83" t="inlineStr">
        <is>
          <t>Nom du thème</t>
        </is>
      </c>
    </row>
    <row r="151" ht="23.85" customHeight="1" s="53">
      <c r="A151" s="81" t="inlineStr">
        <is>
          <t>COM-24</t>
        </is>
      </c>
      <c r="B151" s="68" t="inlineStr">
        <is>
          <t>Comm &amp; Création</t>
        </is>
      </c>
      <c r="C151" s="68" t="inlineStr">
        <is>
          <t>Stratégie de contenu</t>
        </is>
      </c>
      <c r="D151" s="65" t="inlineStr">
        <is>
          <t>Objectif</t>
        </is>
      </c>
      <c r="E151" s="70" t="inlineStr">
        <is>
          <t>Pratique</t>
        </is>
      </c>
      <c r="F151" s="67" t="inlineStr">
        <is>
          <t>Qualifié</t>
        </is>
      </c>
      <c r="G151" s="67" t="inlineStr">
        <is>
          <t>Non</t>
        </is>
      </c>
      <c r="H151" s="68" t="inlineStr">
        <is>
          <t>COM-24.01</t>
        </is>
      </c>
      <c r="I151" s="68" t="inlineStr">
        <is>
          <t>Objectif (inscription)</t>
        </is>
      </c>
      <c r="J151" s="68" t="inlineStr">
        <is>
          <t>—</t>
        </is>
      </c>
      <c r="K151" s="68" t="inlineStr">
        <is>
          <t>—</t>
        </is>
      </c>
      <c r="L151" s="68" t="inlineStr">
        <is>
          <t>—</t>
        </is>
      </c>
      <c r="M151" s="83" t="n"/>
    </row>
    <row r="152" ht="23.85" customHeight="1" s="53">
      <c r="A152" s="81" t="inlineStr">
        <is>
          <t>COM-25</t>
        </is>
      </c>
      <c r="B152" s="68" t="inlineStr">
        <is>
          <t>Comm &amp; Création</t>
        </is>
      </c>
      <c r="C152" s="68" t="inlineStr">
        <is>
          <t>Stratégie de contenu</t>
        </is>
      </c>
      <c r="D152" s="65" t="inlineStr">
        <is>
          <t>Lignes éditoriales</t>
        </is>
      </c>
      <c r="E152" s="70" t="inlineStr">
        <is>
          <t>Pratique</t>
        </is>
      </c>
      <c r="F152" s="67" t="inlineStr">
        <is>
          <t>Qualifié</t>
        </is>
      </c>
      <c r="G152" s="67" t="inlineStr">
        <is>
          <t>Non</t>
        </is>
      </c>
      <c r="H152" s="68" t="inlineStr">
        <is>
          <t>COM-25.01</t>
        </is>
      </c>
      <c r="I152" s="68" t="inlineStr">
        <is>
          <t>—</t>
        </is>
      </c>
      <c r="J152" s="68" t="inlineStr">
        <is>
          <t>—</t>
        </is>
      </c>
      <c r="K152" s="68" t="inlineStr">
        <is>
          <t>—</t>
        </is>
      </c>
      <c r="L152" s="68" t="inlineStr">
        <is>
          <t>Ne publie pas (parcours mise en place)</t>
        </is>
      </c>
      <c r="M152" s="83" t="n"/>
    </row>
    <row r="153" ht="35.05" customHeight="1" s="53">
      <c r="A153" s="81" t="inlineStr">
        <is>
          <t>COM-26</t>
        </is>
      </c>
      <c r="B153" s="68" t="inlineStr">
        <is>
          <t>Comm &amp; Création</t>
        </is>
      </c>
      <c r="C153" s="68" t="inlineStr">
        <is>
          <t>Stratégie de contenu</t>
        </is>
      </c>
      <c r="D153" s="65" t="inlineStr">
        <is>
          <t>Équilibre des formats</t>
        </is>
      </c>
      <c r="E153" s="66" t="inlineStr">
        <is>
          <t>Cohérence</t>
        </is>
      </c>
      <c r="F153" s="67" t="inlineStr">
        <is>
          <t>Qualifié</t>
        </is>
      </c>
      <c r="G153" s="82" t="inlineStr">
        <is>
          <t>Oui</t>
        </is>
      </c>
      <c r="H153" s="68" t="inlineStr">
        <is>
          <t>COM-26.01</t>
        </is>
      </c>
      <c r="I153" s="68" t="inlineStr">
        <is>
          <t>Lue sur les publications si connectées</t>
        </is>
      </c>
      <c r="J153" s="68" t="inlineStr">
        <is>
          <t>Un seul format qui marche → le garder et le décliner. Formats variés sans résultat → revenir au plus performant (COM-39).</t>
        </is>
      </c>
      <c r="K153" s="68" t="inlineStr">
        <is>
          <t>Lu sur les profils.</t>
        </is>
      </c>
      <c r="L153" s="68" t="inlineStr">
        <is>
          <t>Ne publie pas (parcours mise en place)</t>
        </is>
      </c>
      <c r="M153" s="83" t="n"/>
    </row>
    <row r="154" ht="23.85" customHeight="1" s="53">
      <c r="A154" s="94" t="inlineStr">
        <is>
          <t>COM-27</t>
        </is>
      </c>
      <c r="B154" s="68" t="inlineStr">
        <is>
          <t>Comm &amp; Création</t>
        </is>
      </c>
      <c r="C154" s="68" t="inlineStr">
        <is>
          <t>Stratégie de contenu</t>
        </is>
      </c>
      <c r="D154" s="65" t="inlineStr">
        <is>
          <t>Funnel 0 · Publications par étape</t>
        </is>
      </c>
      <c r="E154" s="70" t="inlineStr">
        <is>
          <t>Pratique</t>
        </is>
      </c>
      <c r="F154" s="67" t="inlineStr">
        <is>
          <t>Qualifié</t>
        </is>
      </c>
      <c r="G154" s="67" t="inlineStr">
        <is>
          <t>Calculé</t>
        </is>
      </c>
      <c r="H154" s="68" t="inlineStr">
        <is>
          <t>COM-27.02</t>
        </is>
      </c>
      <c r="I154" s="68" t="inlineStr">
        <is>
          <t>Lue sur les publications</t>
        </is>
      </c>
      <c r="J154" s="68" t="inlineStr">
        <is>
          <t>—</t>
        </is>
      </c>
      <c r="K154" s="68" t="inlineStr">
        <is>
          <t>—</t>
        </is>
      </c>
      <c r="L154" s="68" t="inlineStr">
        <is>
          <t>Ne publie pas (parcours mise en place)</t>
        </is>
      </c>
      <c r="M154" s="83" t="inlineStr">
        <is>
          <t>Nom du thème</t>
        </is>
      </c>
    </row>
    <row r="155" ht="23.85" customHeight="1" s="53">
      <c r="A155" s="81" t="inlineStr">
        <is>
          <t>COM-28</t>
        </is>
      </c>
      <c r="B155" s="68" t="inlineStr">
        <is>
          <t>Comm &amp; Création</t>
        </is>
      </c>
      <c r="C155" s="68" t="inlineStr">
        <is>
          <t>Stratégie de contenu</t>
        </is>
      </c>
      <c r="D155" s="65" t="inlineStr">
        <is>
          <t>Planification</t>
        </is>
      </c>
      <c r="E155" s="70" t="inlineStr">
        <is>
          <t>Pratique</t>
        </is>
      </c>
      <c r="F155" s="67" t="inlineStr">
        <is>
          <t>Qualifié</t>
        </is>
      </c>
      <c r="G155" s="67" t="inlineStr">
        <is>
          <t>Non</t>
        </is>
      </c>
      <c r="H155" s="68" t="inlineStr">
        <is>
          <t>COM-28.01</t>
        </is>
      </c>
      <c r="I155" s="68" t="inlineStr">
        <is>
          <t>—</t>
        </is>
      </c>
      <c r="J155" s="68" t="inlineStr">
        <is>
          <t>—</t>
        </is>
      </c>
      <c r="K155" s="68" t="inlineStr">
        <is>
          <t>—</t>
        </is>
      </c>
      <c r="L155" s="68" t="inlineStr">
        <is>
          <t>Ne publie pas (parcours mise en place)</t>
        </is>
      </c>
      <c r="M155" s="83" t="n"/>
    </row>
    <row r="156" ht="23.85" customHeight="1" s="53">
      <c r="A156" s="81" t="inlineStr">
        <is>
          <t>COM-29</t>
        </is>
      </c>
      <c r="B156" s="68" t="inlineStr">
        <is>
          <t>Comm &amp; Création</t>
        </is>
      </c>
      <c r="C156" s="68" t="inlineStr">
        <is>
          <t>Stratégie de contenu</t>
        </is>
      </c>
      <c r="D156" s="65" t="inlineStr">
        <is>
          <t>Veille concurrentielle</t>
        </is>
      </c>
      <c r="E156" s="70" t="inlineStr">
        <is>
          <t>Pratique</t>
        </is>
      </c>
      <c r="F156" s="67" t="inlineStr">
        <is>
          <t>Qualifié</t>
        </is>
      </c>
      <c r="G156" s="67" t="inlineStr">
        <is>
          <t>Non</t>
        </is>
      </c>
      <c r="H156" s="68" t="inlineStr">
        <is>
          <t>COM-29.01</t>
        </is>
      </c>
      <c r="I156" s="68" t="inlineStr">
        <is>
          <t>—</t>
        </is>
      </c>
      <c r="J156" s="68" t="inlineStr">
        <is>
          <t>—</t>
        </is>
      </c>
      <c r="K156" s="68" t="inlineStr">
        <is>
          <t>—</t>
        </is>
      </c>
      <c r="L156" s="68" t="inlineStr">
        <is>
          <t>—</t>
        </is>
      </c>
      <c r="M156" s="83" t="n"/>
    </row>
    <row r="157" ht="23.85" customHeight="1" s="53">
      <c r="A157" s="81" t="inlineStr">
        <is>
          <t>COM-30</t>
        </is>
      </c>
      <c r="B157" s="68" t="inlineStr">
        <is>
          <t>Comm &amp; Création</t>
        </is>
      </c>
      <c r="C157" s="68" t="inlineStr">
        <is>
          <t>Production</t>
        </is>
      </c>
      <c r="D157" s="65" t="inlineStr">
        <is>
          <t>Qui produit</t>
        </is>
      </c>
      <c r="E157" s="69" t="inlineStr">
        <is>
          <t>Contexte</t>
        </is>
      </c>
      <c r="F157" s="67" t="inlineStr">
        <is>
          <t>—</t>
        </is>
      </c>
      <c r="G157" s="67" t="inlineStr">
        <is>
          <t>Non</t>
        </is>
      </c>
      <c r="H157" s="68" t="inlineStr">
        <is>
          <t>—</t>
        </is>
      </c>
      <c r="I157" s="68" t="inlineStr">
        <is>
          <t>—</t>
        </is>
      </c>
      <c r="J157" s="68" t="inlineStr">
        <is>
          <t>Non noté : sert à l'IA pour expliquer le diagnostic.</t>
        </is>
      </c>
      <c r="K157" s="68" t="inlineStr">
        <is>
          <t>—</t>
        </is>
      </c>
      <c r="L157" s="68" t="inlineStr">
        <is>
          <t>Ne publie pas (parcours mise en place)</t>
        </is>
      </c>
      <c r="M157" s="83" t="n"/>
    </row>
    <row r="158" ht="23.85" customHeight="1" s="53">
      <c r="A158" s="81" t="inlineStr">
        <is>
          <t>COM-31</t>
        </is>
      </c>
      <c r="B158" s="68" t="inlineStr">
        <is>
          <t>Comm &amp; Création</t>
        </is>
      </c>
      <c r="C158" s="68" t="inlineStr">
        <is>
          <t>Production</t>
        </is>
      </c>
      <c r="D158" s="65" t="inlineStr">
        <is>
          <t>Temps consacré</t>
        </is>
      </c>
      <c r="E158" s="66" t="inlineStr">
        <is>
          <t>Cohérence</t>
        </is>
      </c>
      <c r="F158" s="67" t="inlineStr">
        <is>
          <t>Chiffré (heures)</t>
        </is>
      </c>
      <c r="G158" s="82" t="inlineStr">
        <is>
          <t>Oui</t>
        </is>
      </c>
      <c r="H158" s="68" t="inlineStr">
        <is>
          <t>COM-31.01, COM-31.02, COM-31.03, COM-31.04</t>
        </is>
      </c>
      <c r="I158" s="68" t="inlineStr">
        <is>
          <t>Coût d'une heure (FIN-07) pour valoriser ce temps</t>
        </is>
      </c>
      <c r="J158" s="68" t="inlineStr">
        <is>
          <t>1 h par semaine → un format simple, décliné partout. 10 h sans contact généré → revoir la stratégie avant de produire plus.</t>
        </is>
      </c>
      <c r="K158" s="68" t="inlineStr">
        <is>
          <t>Estimer une semaine type.</t>
        </is>
      </c>
      <c r="L158" s="68" t="inlineStr">
        <is>
          <t>Ne publie pas (parcours mise en place)</t>
        </is>
      </c>
      <c r="M158" s="83" t="n"/>
    </row>
    <row r="159" ht="23.85" customHeight="1" s="53">
      <c r="A159" s="81" t="inlineStr">
        <is>
          <t>COM-32</t>
        </is>
      </c>
      <c r="B159" s="68" t="inlineStr">
        <is>
          <t>Comm &amp; Création</t>
        </is>
      </c>
      <c r="C159" s="68" t="inlineStr">
        <is>
          <t>Production</t>
        </is>
      </c>
      <c r="D159" s="65" t="inlineStr">
        <is>
          <t>Moyens</t>
        </is>
      </c>
      <c r="E159" s="66" t="inlineStr">
        <is>
          <t>Cohérence</t>
        </is>
      </c>
      <c r="F159" s="67" t="inlineStr">
        <is>
          <t>Chiffré (contacts)</t>
        </is>
      </c>
      <c r="G159" s="82" t="inlineStr">
        <is>
          <t>Oui</t>
        </is>
      </c>
      <c r="H159" s="68" t="inlineStr">
        <is>
          <t>COM-32.01, COM-32.02, COM-32.03</t>
        </is>
      </c>
      <c r="I159" s="68" t="inlineStr">
        <is>
          <t>Partagé avec FIN-05 (posé une seule fois) ; Création de contenu, agence, outils (ACQ-07) — partagé, posé une seule fois</t>
        </is>
      </c>
      <c r="J159" s="68" t="inlineStr">
        <is>
          <t>Budget élevé et peu de demandes → couper le poste le plus cher par demande. Budget nul et contenu qui convertit → un petit budget sur ce contenu.</t>
        </is>
      </c>
      <c r="K159" s="68" t="inlineStr">
        <is>
          <t>Additionner les factures de prestataires et outils du dernier mois.</t>
        </is>
      </c>
      <c r="L159" s="68" t="inlineStr">
        <is>
          <t>—</t>
        </is>
      </c>
      <c r="M159" s="83" t="n"/>
    </row>
    <row r="160" ht="23.85" customHeight="1" s="53">
      <c r="A160" s="81" t="inlineStr">
        <is>
          <t>COM-33</t>
        </is>
      </c>
      <c r="B160" s="68" t="inlineStr">
        <is>
          <t>Comm &amp; Création</t>
        </is>
      </c>
      <c r="C160" s="68" t="inlineStr">
        <is>
          <t>Production</t>
        </is>
      </c>
      <c r="D160" s="65" t="inlineStr">
        <is>
          <t>Rythme réel</t>
        </is>
      </c>
      <c r="E160" s="70" t="inlineStr">
        <is>
          <t>Pratique</t>
        </is>
      </c>
      <c r="F160" s="67" t="inlineStr">
        <is>
          <t>Qualifié</t>
        </is>
      </c>
      <c r="G160" s="82" t="inlineStr">
        <is>
          <t>Oui</t>
        </is>
      </c>
      <c r="H160" s="68" t="inlineStr">
        <is>
          <t>COM-33.01</t>
        </is>
      </c>
      <c r="I160" s="68" t="inlineStr">
        <is>
          <t>Lu sur les profils si connectés</t>
        </is>
      </c>
      <c r="J160" s="68" t="inlineStr">
        <is>
          <t>Publications irrégulières → un rythme plus bas mais tenu. Rythme tenu → pas d'action.</t>
        </is>
      </c>
      <c r="K160" s="68" t="inlineStr">
        <is>
          <t>Lu sur les profils.</t>
        </is>
      </c>
      <c r="L160" s="68" t="inlineStr">
        <is>
          <t>Ne publie pas (parcours mise en place)</t>
        </is>
      </c>
      <c r="M160" s="83" t="n"/>
    </row>
    <row r="161" ht="23.85" customHeight="1" s="53">
      <c r="A161" s="81" t="inlineStr">
        <is>
          <t>COM-34</t>
        </is>
      </c>
      <c r="B161" s="68" t="inlineStr">
        <is>
          <t>Comm &amp; Création</t>
        </is>
      </c>
      <c r="C161" s="68" t="inlineStr">
        <is>
          <t>Production</t>
        </is>
      </c>
      <c r="D161" s="65" t="inlineStr">
        <is>
          <t>Réemploi du contenu</t>
        </is>
      </c>
      <c r="E161" s="70" t="inlineStr">
        <is>
          <t>Pratique</t>
        </is>
      </c>
      <c r="F161" s="67" t="inlineStr">
        <is>
          <t>Qualifié</t>
        </is>
      </c>
      <c r="G161" s="82" t="inlineStr">
        <is>
          <t>Oui</t>
        </is>
      </c>
      <c r="H161" s="68" t="inlineStr">
        <is>
          <t>COM-34.01, COM-34.02</t>
        </is>
      </c>
      <c r="I161" s="68" t="inlineStr">
        <is>
          <t>—</t>
        </is>
      </c>
      <c r="J161" s="68" t="inlineStr">
        <is>
          <t>—</t>
        </is>
      </c>
      <c r="K161" s="68" t="inlineStr">
        <is>
          <t>—</t>
        </is>
      </c>
      <c r="L161" s="68" t="inlineStr">
        <is>
          <t>Ne publie pas (parcours mise en place)</t>
        </is>
      </c>
      <c r="M161" s="83" t="n"/>
    </row>
    <row r="162" ht="23.85" customHeight="1" s="53">
      <c r="A162" s="81" t="inlineStr">
        <is>
          <t>COM-35</t>
        </is>
      </c>
      <c r="B162" s="68" t="inlineStr">
        <is>
          <t>Comm &amp; Création</t>
        </is>
      </c>
      <c r="C162" s="68" t="inlineStr">
        <is>
          <t>Production</t>
        </is>
      </c>
      <c r="D162" s="65" t="inlineStr">
        <is>
          <t>Réserve d'avance</t>
        </is>
      </c>
      <c r="E162" s="70" t="inlineStr">
        <is>
          <t>Pratique</t>
        </is>
      </c>
      <c r="F162" s="67" t="inlineStr">
        <is>
          <t>Qualifié</t>
        </is>
      </c>
      <c r="G162" s="82" t="inlineStr">
        <is>
          <t>Oui</t>
        </is>
      </c>
      <c r="H162" s="68" t="inlineStr">
        <is>
          <t>COM-35.01, COM-35.02</t>
        </is>
      </c>
      <c r="I162" s="68" t="inlineStr">
        <is>
          <t>Rythme (COM-33)</t>
        </is>
      </c>
      <c r="J162" s="68" t="inlineStr">
        <is>
          <t>Aucune réserve et rythme irrégulier → préparer 4 contenus d'avance. Réserve existante → pas d'action.</t>
        </is>
      </c>
      <c r="K162" s="68" t="inlineStr">
        <is>
          <t>—</t>
        </is>
      </c>
      <c r="L162" s="68" t="inlineStr">
        <is>
          <t>Ne publie pas (parcours mise en place)</t>
        </is>
      </c>
      <c r="M162" s="83" t="n"/>
    </row>
    <row r="163" ht="15" customHeight="1" s="53">
      <c r="A163" s="81" t="inlineStr">
        <is>
          <t>COM-36</t>
        </is>
      </c>
      <c r="B163" s="68" t="inlineStr">
        <is>
          <t>Comm &amp; Création</t>
        </is>
      </c>
      <c r="C163" s="68" t="inlineStr">
        <is>
          <t>Performance</t>
        </is>
      </c>
      <c r="D163" s="65" t="inlineStr">
        <is>
          <t>Taux d'engagement</t>
        </is>
      </c>
      <c r="E163" s="84" t="inlineStr">
        <is>
          <t>Marché</t>
        </is>
      </c>
      <c r="F163" s="67" t="inlineStr">
        <is>
          <t>Chiffré (contacts)</t>
        </is>
      </c>
      <c r="G163" s="67" t="inlineStr">
        <is>
          <t>Calculé</t>
        </is>
      </c>
      <c r="H163" s="68" t="inlineStr">
        <is>
          <t>—</t>
        </is>
      </c>
      <c r="I163" s="68" t="inlineStr">
        <is>
          <t>Réactions (COM-18) ÷ portée (COM-17)</t>
        </is>
      </c>
      <c r="J163" s="68" t="inlineStr">
        <is>
          <t>—</t>
        </is>
      </c>
      <c r="K163" s="68" t="inlineStr">
        <is>
          <t>—</t>
        </is>
      </c>
      <c r="L163" s="68" t="inlineStr">
        <is>
          <t>Ne publie pas (parcours mise en place)</t>
        </is>
      </c>
      <c r="M163" s="83" t="n"/>
    </row>
    <row r="164" ht="23.85" customHeight="1" s="53">
      <c r="A164" s="94" t="inlineStr">
        <is>
          <t>COM-37</t>
        </is>
      </c>
      <c r="B164" s="68" t="inlineStr">
        <is>
          <t>Comm &amp; Création</t>
        </is>
      </c>
      <c r="C164" s="68" t="inlineStr">
        <is>
          <t>Performance</t>
        </is>
      </c>
      <c r="D164" s="65" t="inlineStr">
        <is>
          <t>Funnel 1 · Être vu : évolution de l'audience</t>
        </is>
      </c>
      <c r="E164" s="66" t="inlineStr">
        <is>
          <t>Cohérence</t>
        </is>
      </c>
      <c r="F164" s="67" t="inlineStr">
        <is>
          <t>Qualifié</t>
        </is>
      </c>
      <c r="G164" s="82" t="inlineStr">
        <is>
          <t>Oui</t>
        </is>
      </c>
      <c r="H164" s="68" t="inlineStr">
        <is>
          <t>COM-37.01</t>
        </is>
      </c>
      <c r="I164" s="68" t="inlineStr">
        <is>
          <t>Abonnés actuels (COM-17)</t>
        </is>
      </c>
      <c r="J164" s="68" t="inlineStr">
        <is>
          <t>Érosion → retravailler les contenus. Croissance sans contacts → le blocage est le passage au contact.</t>
        </is>
      </c>
      <c r="K164" s="68" t="inlineStr">
        <is>
          <t>Lu dans les statistiques de la plateforme.</t>
        </is>
      </c>
      <c r="L164" s="68" t="inlineStr">
        <is>
          <t>Ne publie pas (parcours mise en place)</t>
        </is>
      </c>
      <c r="M164" s="83" t="inlineStr">
        <is>
          <t>Nom du thème</t>
        </is>
      </c>
    </row>
    <row r="165" ht="23.85" customHeight="1" s="53">
      <c r="A165" s="81" t="inlineStr">
        <is>
          <t>COM-38</t>
        </is>
      </c>
      <c r="B165" s="68" t="inlineStr">
        <is>
          <t>Comm &amp; Création</t>
        </is>
      </c>
      <c r="C165" s="68" t="inlineStr">
        <is>
          <t>Performance</t>
        </is>
      </c>
      <c r="D165" s="65" t="inlineStr">
        <is>
          <t>Rendement de l'audience</t>
        </is>
      </c>
      <c r="E165" s="66" t="inlineStr">
        <is>
          <t>Cohérence</t>
        </is>
      </c>
      <c r="F165" s="67" t="inlineStr">
        <is>
          <t>Chiffré (contacts)</t>
        </is>
      </c>
      <c r="G165" s="67" t="inlineStr">
        <is>
          <t>Calculé</t>
        </is>
      </c>
      <c r="H165" s="68" t="inlineStr">
        <is>
          <t>—</t>
        </is>
      </c>
      <c r="I165" s="68" t="inlineStr">
        <is>
          <t>Contacts (COM-22) ÷ abonnés (COM-17)</t>
        </is>
      </c>
      <c r="J165" s="68" t="inlineStr">
        <is>
          <t>—</t>
        </is>
      </c>
      <c r="K165" s="68" t="inlineStr">
        <is>
          <t>—</t>
        </is>
      </c>
      <c r="L165" s="68" t="inlineStr">
        <is>
          <t>Ne publie pas (parcours mise en place)</t>
        </is>
      </c>
      <c r="M165" s="83" t="n"/>
    </row>
    <row r="166" ht="23.85" customHeight="1" s="53">
      <c r="A166" s="81" t="inlineStr">
        <is>
          <t>COM-39</t>
        </is>
      </c>
      <c r="B166" s="68" t="inlineStr">
        <is>
          <t>Comm &amp; Création</t>
        </is>
      </c>
      <c r="C166" s="68" t="inlineStr">
        <is>
          <t>Performance</t>
        </is>
      </c>
      <c r="D166" s="65" t="inlineStr">
        <is>
          <t>Contenus les plus performants</t>
        </is>
      </c>
      <c r="E166" s="66" t="inlineStr">
        <is>
          <t>Cohérence</t>
        </is>
      </c>
      <c r="F166" s="67" t="inlineStr">
        <is>
          <t>Qualifié</t>
        </is>
      </c>
      <c r="G166" s="82" t="inlineStr">
        <is>
          <t>Oui</t>
        </is>
      </c>
      <c r="H166" s="68" t="inlineStr">
        <is>
          <t>COM-39.01, COM-39.02, COM-39.03, COM-39.07</t>
        </is>
      </c>
      <c r="I166" s="68" t="inlineStr">
        <is>
          <t>Lues si connectées</t>
        </is>
      </c>
      <c r="J166" s="68" t="inlineStr">
        <is>
          <t>—</t>
        </is>
      </c>
      <c r="K166" s="68" t="inlineStr">
        <is>
          <t>Saisir les chiffres des 10 dernières publications.</t>
        </is>
      </c>
      <c r="L166" s="68" t="inlineStr">
        <is>
          <t>Ne publie pas (parcours mise en place)</t>
        </is>
      </c>
      <c r="M166" s="83" t="n"/>
    </row>
    <row r="167" ht="23.85" customHeight="1" s="53">
      <c r="A167" s="81" t="inlineStr">
        <is>
          <t>COM-40</t>
        </is>
      </c>
      <c r="B167" s="68" t="inlineStr">
        <is>
          <t>Comm &amp; Création</t>
        </is>
      </c>
      <c r="C167" s="68" t="inlineStr">
        <is>
          <t>Performance</t>
        </is>
      </c>
      <c r="D167" s="65" t="inlineStr">
        <is>
          <t>Écart entre ce qui marche et ce qui est publié</t>
        </is>
      </c>
      <c r="E167" s="66" t="inlineStr">
        <is>
          <t>Cohérence</t>
        </is>
      </c>
      <c r="F167" s="67" t="inlineStr">
        <is>
          <t>Qualifié</t>
        </is>
      </c>
      <c r="G167" s="67" t="inlineStr">
        <is>
          <t>Calculé</t>
        </is>
      </c>
      <c r="H167" s="68" t="inlineStr">
        <is>
          <t>—</t>
        </is>
      </c>
      <c r="I167" s="68" t="inlineStr">
        <is>
          <t>COM-39 comparé à COM-26</t>
        </is>
      </c>
      <c r="J167" s="68" t="inlineStr">
        <is>
          <t>Écart fort → publier plus de ce qui marche (amplifier avant de diversifier).</t>
        </is>
      </c>
      <c r="K167" s="68" t="inlineStr">
        <is>
          <t>—</t>
        </is>
      </c>
      <c r="L167" s="68" t="inlineStr">
        <is>
          <t>Ne publie pas (parcours mise en place)</t>
        </is>
      </c>
      <c r="M167" s="83" t="n"/>
    </row>
    <row r="168" ht="23.85" customHeight="1" s="53">
      <c r="A168" s="81" t="inlineStr">
        <is>
          <t>COM-41</t>
        </is>
      </c>
      <c r="B168" s="68" t="inlineStr">
        <is>
          <t>Comm &amp; Création</t>
        </is>
      </c>
      <c r="C168" s="68" t="inlineStr">
        <is>
          <t>Performance</t>
        </is>
      </c>
      <c r="D168" s="65" t="inlineStr">
        <is>
          <t>Contenus les moins performants</t>
        </is>
      </c>
      <c r="E168" s="66" t="inlineStr">
        <is>
          <t>Cohérence</t>
        </is>
      </c>
      <c r="F168" s="67" t="inlineStr">
        <is>
          <t>Qualifié</t>
        </is>
      </c>
      <c r="G168" s="67" t="inlineStr">
        <is>
          <t>Calculé</t>
        </is>
      </c>
      <c r="H168" s="68" t="inlineStr">
        <is>
          <t>—</t>
        </is>
      </c>
      <c r="I168" s="68" t="inlineStr">
        <is>
          <t>Statistiques (COM-39)</t>
        </is>
      </c>
      <c r="J168" s="68" t="inlineStr">
        <is>
          <t>—</t>
        </is>
      </c>
      <c r="K168" s="68" t="inlineStr">
        <is>
          <t>—</t>
        </is>
      </c>
      <c r="L168" s="68" t="inlineStr">
        <is>
          <t>Ne publie pas (parcours mise en place)</t>
        </is>
      </c>
      <c r="M168" s="83" t="n"/>
    </row>
    <row r="169" ht="15" customHeight="1" s="53">
      <c r="A169" s="81" t="inlineStr">
        <is>
          <t>COM-42</t>
        </is>
      </c>
      <c r="B169" s="68" t="inlineStr">
        <is>
          <t>Comm &amp; Création</t>
        </is>
      </c>
      <c r="C169" s="68" t="inlineStr">
        <is>
          <t>Performance</t>
        </is>
      </c>
      <c r="D169" s="65" t="inlineStr">
        <is>
          <t>Notoriété</t>
        </is>
      </c>
      <c r="E169" s="69" t="inlineStr">
        <is>
          <t>Contexte</t>
        </is>
      </c>
      <c r="F169" s="67" t="inlineStr">
        <is>
          <t>—</t>
        </is>
      </c>
      <c r="G169" s="82" t="inlineStr">
        <is>
          <t>Oui</t>
        </is>
      </c>
      <c r="H169" s="68" t="inlineStr">
        <is>
          <t>COM-42.01, COM-42.02</t>
        </is>
      </c>
      <c r="I169" s="68" t="inlineStr">
        <is>
          <t>—</t>
        </is>
      </c>
      <c r="J169" s="68" t="inlineStr">
        <is>
          <t>Non noté : sert à l'IA pour expliquer le diagnostic.</t>
        </is>
      </c>
      <c r="K169" s="68" t="inlineStr">
        <is>
          <t>—</t>
        </is>
      </c>
      <c r="L169" s="68" t="inlineStr">
        <is>
          <t>—</t>
        </is>
      </c>
      <c r="M169" s="83" t="n"/>
    </row>
    <row r="170" ht="23.85" customHeight="1" s="53">
      <c r="A170" s="81" t="inlineStr">
        <is>
          <t>COM-43</t>
        </is>
      </c>
      <c r="B170" s="68" t="inlineStr">
        <is>
          <t>Comm &amp; Création</t>
        </is>
      </c>
      <c r="C170" s="68" t="inlineStr">
        <is>
          <t>Performance</t>
        </is>
      </c>
      <c r="D170" s="65" t="inlineStr">
        <is>
          <t>Suivi des chiffres</t>
        </is>
      </c>
      <c r="E170" s="70" t="inlineStr">
        <is>
          <t>Pratique</t>
        </is>
      </c>
      <c r="F170" s="67" t="inlineStr">
        <is>
          <t>Qualifié</t>
        </is>
      </c>
      <c r="G170" s="67" t="inlineStr">
        <is>
          <t>Calculé</t>
        </is>
      </c>
      <c r="H170" s="68" t="inlineStr">
        <is>
          <t>COM-43.01, COM-43.03</t>
        </is>
      </c>
      <c r="I170" s="68" t="inlineStr">
        <is>
          <t>Partagé avec ACQ-20 (posé une seule fois) ; Calculé sur le questionnaire</t>
        </is>
      </c>
      <c r="J170" s="68" t="inlineStr">
        <is>
          <t>—</t>
        </is>
      </c>
      <c r="K170" s="68" t="inlineStr">
        <is>
          <t>—</t>
        </is>
      </c>
      <c r="L170" s="68" t="inlineStr">
        <is>
          <t>Ne publie pas (parcours mise en place)</t>
        </is>
      </c>
      <c r="M170" s="83" t="n"/>
    </row>
    <row r="171" ht="23.85" customHeight="1" s="53">
      <c r="A171" s="81" t="inlineStr">
        <is>
          <t>COM-44</t>
        </is>
      </c>
      <c r="B171" s="68" t="inlineStr">
        <is>
          <t>Comm &amp; Création</t>
        </is>
      </c>
      <c r="C171" s="68" t="inlineStr">
        <is>
          <t>Vitrines et relation</t>
        </is>
      </c>
      <c r="D171" s="65" t="inlineStr">
        <is>
          <t>Avis clients</t>
        </is>
      </c>
      <c r="E171" s="84" t="inlineStr">
        <is>
          <t>Marché</t>
        </is>
      </c>
      <c r="F171" s="67" t="inlineStr">
        <is>
          <t>Qualifié</t>
        </is>
      </c>
      <c r="G171" s="82" t="inlineStr">
        <is>
          <t>Oui</t>
        </is>
      </c>
      <c r="H171" s="68" t="inlineStr">
        <is>
          <t>COM-44.01, COM-44.02, COM-44.03, COM-44.04</t>
        </is>
      </c>
      <c r="I171" s="68" t="inlineStr">
        <is>
          <t>Partagé avec ACQ-06 (posé une seule fois)</t>
        </is>
      </c>
      <c r="J171" s="68" t="inlineStr">
        <is>
          <t>5 avis → campagne de sollicitation. 200 avis à 4,8 → maintenir.</t>
        </is>
      </c>
      <c r="K171" s="68" t="inlineStr">
        <is>
          <t>Lu sur la fiche Google.</t>
        </is>
      </c>
      <c r="L171" s="68" t="inlineStr">
        <is>
          <t>—</t>
        </is>
      </c>
      <c r="M171" s="83" t="n"/>
    </row>
    <row r="172" ht="23.85" customHeight="1" s="53">
      <c r="A172" s="81" t="inlineStr">
        <is>
          <t>COM-45</t>
        </is>
      </c>
      <c r="B172" s="68" t="inlineStr">
        <is>
          <t>Comm &amp; Création</t>
        </is>
      </c>
      <c r="C172" s="68" t="inlineStr">
        <is>
          <t>Vitrines et relation</t>
        </is>
      </c>
      <c r="D172" s="65" t="inlineStr">
        <is>
          <t>Sollicitation d'avis</t>
        </is>
      </c>
      <c r="E172" s="70" t="inlineStr">
        <is>
          <t>Pratique</t>
        </is>
      </c>
      <c r="F172" s="67" t="inlineStr">
        <is>
          <t>Qualifié</t>
        </is>
      </c>
      <c r="G172" s="67" t="inlineStr">
        <is>
          <t>Non</t>
        </is>
      </c>
      <c r="H172" s="68" t="inlineStr">
        <is>
          <t>COM-45.01, COM-45.02</t>
        </is>
      </c>
      <c r="I172" s="68" t="inlineStr">
        <is>
          <t>Clients signés (ACQ-11) → part des clients qui laissent un avis</t>
        </is>
      </c>
      <c r="J172" s="68" t="inlineStr">
        <is>
          <t>20 clients par mois → demande en main propre. 500 → envoi automatique après prestation.</t>
        </is>
      </c>
      <c r="K172" s="68" t="inlineStr">
        <is>
          <t>—</t>
        </is>
      </c>
      <c r="L172" s="68" t="inlineStr">
        <is>
          <t>—</t>
        </is>
      </c>
      <c r="M172" s="83" t="n"/>
    </row>
    <row r="173" ht="23.85" customHeight="1" s="53">
      <c r="A173" s="81" t="inlineStr">
        <is>
          <t>COM-46</t>
        </is>
      </c>
      <c r="B173" s="68" t="inlineStr">
        <is>
          <t>Comm &amp; Création</t>
        </is>
      </c>
      <c r="C173" s="68" t="inlineStr">
        <is>
          <t>Vitrines et relation</t>
        </is>
      </c>
      <c r="D173" s="65" t="inlineStr">
        <is>
          <t>Réponse aux avis</t>
        </is>
      </c>
      <c r="E173" s="70" t="inlineStr">
        <is>
          <t>Pratique</t>
        </is>
      </c>
      <c r="F173" s="67" t="inlineStr">
        <is>
          <t>Qualifié</t>
        </is>
      </c>
      <c r="G173" s="82" t="inlineStr">
        <is>
          <t>Oui</t>
        </is>
      </c>
      <c r="H173" s="68" t="inlineStr">
        <is>
          <t>COM-46.01, COM-46.02</t>
        </is>
      </c>
      <c r="I173" s="68" t="inlineStr">
        <is>
          <t>Avis (COM-44)</t>
        </is>
      </c>
      <c r="J173" s="68" t="inlineStr">
        <is>
          <t>10 avis → réponse personnelle à chacun. 300 → réponses types personnalisées.</t>
        </is>
      </c>
      <c r="K173" s="68" t="inlineStr">
        <is>
          <t>Lu sur la fiche Google.</t>
        </is>
      </c>
      <c r="L173" s="68" t="inlineStr">
        <is>
          <t>—</t>
        </is>
      </c>
      <c r="M173" s="83" t="n"/>
    </row>
    <row r="174" ht="23.85" customHeight="1" s="53">
      <c r="A174" s="81" t="inlineStr">
        <is>
          <t>COM-47</t>
        </is>
      </c>
      <c r="B174" s="68" t="inlineStr">
        <is>
          <t>Comm &amp; Création</t>
        </is>
      </c>
      <c r="C174" s="68" t="inlineStr">
        <is>
          <t>Vitrines et relation</t>
        </is>
      </c>
      <c r="D174" s="65" t="inlineStr">
        <is>
          <t>Relation avec la communauté</t>
        </is>
      </c>
      <c r="E174" s="70" t="inlineStr">
        <is>
          <t>Pratique</t>
        </is>
      </c>
      <c r="F174" s="67" t="inlineStr">
        <is>
          <t>Qualifié</t>
        </is>
      </c>
      <c r="G174" s="82" t="inlineStr">
        <is>
          <t>Oui</t>
        </is>
      </c>
      <c r="H174" s="68" t="inlineStr">
        <is>
          <t>COM-47.01</t>
        </is>
      </c>
      <c r="I174" s="68" t="inlineStr">
        <is>
          <t>—</t>
        </is>
      </c>
      <c r="J174" s="68" t="inlineStr">
        <is>
          <t>—</t>
        </is>
      </c>
      <c r="K174" s="68" t="inlineStr">
        <is>
          <t>—</t>
        </is>
      </c>
      <c r="L174" s="68" t="inlineStr">
        <is>
          <t>Ne publie pas (parcours mise en place)</t>
        </is>
      </c>
      <c r="M174" s="83" t="n"/>
    </row>
    <row r="175" ht="23.85" customHeight="1" s="53">
      <c r="A175" s="81" t="inlineStr">
        <is>
          <t>COM-48</t>
        </is>
      </c>
      <c r="B175" s="68" t="inlineStr">
        <is>
          <t>Comm &amp; Création</t>
        </is>
      </c>
      <c r="C175" s="68" t="inlineStr">
        <is>
          <t>Vitrines et relation</t>
        </is>
      </c>
      <c r="D175" s="65" t="inlineStr">
        <is>
          <t>Partenaires et relais</t>
        </is>
      </c>
      <c r="E175" s="70" t="inlineStr">
        <is>
          <t>Pratique</t>
        </is>
      </c>
      <c r="F175" s="67" t="inlineStr">
        <is>
          <t>Qualifié</t>
        </is>
      </c>
      <c r="G175" s="82" t="inlineStr">
        <is>
          <t>Oui</t>
        </is>
      </c>
      <c r="H175" s="68" t="inlineStr">
        <is>
          <t>COM-48.01, COM-48.02</t>
        </is>
      </c>
      <c r="I175" s="68" t="inlineStr">
        <is>
          <t>—</t>
        </is>
      </c>
      <c r="J175" s="68" t="inlineStr">
        <is>
          <t>—</t>
        </is>
      </c>
      <c r="K175" s="68" t="inlineStr">
        <is>
          <t>—</t>
        </is>
      </c>
      <c r="L175" s="68" t="inlineStr">
        <is>
          <t>—</t>
        </is>
      </c>
      <c r="M175" s="83" t="n"/>
    </row>
    <row r="176" ht="23.85" customHeight="1" s="53">
      <c r="A176" s="81" t="inlineStr">
        <is>
          <t>COM-49</t>
        </is>
      </c>
      <c r="B176" s="68" t="inlineStr">
        <is>
          <t>Comm &amp; Création</t>
        </is>
      </c>
      <c r="C176" s="68" t="inlineStr">
        <is>
          <t>Qualité des publications</t>
        </is>
      </c>
      <c r="D176" s="65" t="inlineStr">
        <is>
          <t>Accroche</t>
        </is>
      </c>
      <c r="E176" s="70" t="inlineStr">
        <is>
          <t>Pratique</t>
        </is>
      </c>
      <c r="F176" s="67" t="inlineStr">
        <is>
          <t>Qualifié</t>
        </is>
      </c>
      <c r="G176" s="67" t="inlineStr">
        <is>
          <t>Non</t>
        </is>
      </c>
      <c r="H176" s="68" t="inlineStr">
        <is>
          <t>—</t>
        </is>
      </c>
      <c r="I176" s="68" t="inlineStr">
        <is>
          <t>Grille fixe appliquée aux 10 dernières publications</t>
        </is>
      </c>
      <c r="J176" s="68" t="inlineStr">
        <is>
          <t>—</t>
        </is>
      </c>
      <c r="K176" s="68" t="inlineStr">
        <is>
          <t>—</t>
        </is>
      </c>
      <c r="L176" s="68" t="inlineStr">
        <is>
          <t>Ne publie pas (parcours mise en place)</t>
        </is>
      </c>
      <c r="M176" s="83" t="n"/>
    </row>
    <row r="177" ht="23.85" customHeight="1" s="53">
      <c r="A177" s="81" t="inlineStr">
        <is>
          <t>COM-50</t>
        </is>
      </c>
      <c r="B177" s="68" t="inlineStr">
        <is>
          <t>Comm &amp; Création</t>
        </is>
      </c>
      <c r="C177" s="68" t="inlineStr">
        <is>
          <t>Qualité des publications</t>
        </is>
      </c>
      <c r="D177" s="65" t="inlineStr">
        <is>
          <t>Angle client</t>
        </is>
      </c>
      <c r="E177" s="70" t="inlineStr">
        <is>
          <t>Pratique</t>
        </is>
      </c>
      <c r="F177" s="67" t="inlineStr">
        <is>
          <t>Qualifié</t>
        </is>
      </c>
      <c r="G177" s="67" t="inlineStr">
        <is>
          <t>Non</t>
        </is>
      </c>
      <c r="H177" s="68" t="inlineStr">
        <is>
          <t>—</t>
        </is>
      </c>
      <c r="I177" s="68" t="inlineStr">
        <is>
          <t>Grille fixe appliquée aux 10 dernières publications</t>
        </is>
      </c>
      <c r="J177" s="68" t="inlineStr">
        <is>
          <t>—</t>
        </is>
      </c>
      <c r="K177" s="68" t="inlineStr">
        <is>
          <t>—</t>
        </is>
      </c>
      <c r="L177" s="68" t="inlineStr">
        <is>
          <t>Ne publie pas (parcours mise en place)</t>
        </is>
      </c>
      <c r="M177" s="83" t="n"/>
    </row>
    <row r="178" ht="68.65000000000001" customHeight="1" s="53">
      <c r="A178" s="81" t="inlineStr">
        <is>
          <t>COM-51</t>
        </is>
      </c>
      <c r="B178" s="68" t="inlineStr">
        <is>
          <t>Comm &amp; Création</t>
        </is>
      </c>
      <c r="C178" s="68" t="inlineStr">
        <is>
          <t>Qualité des publications</t>
        </is>
      </c>
      <c r="D178" s="65" t="inlineStr">
        <is>
          <t>Bénéfice explicite</t>
        </is>
      </c>
      <c r="E178" s="70" t="inlineStr">
        <is>
          <t>Pratique</t>
        </is>
      </c>
      <c r="F178" s="67" t="inlineStr">
        <is>
          <t>Qualifié</t>
        </is>
      </c>
      <c r="G178" s="67" t="inlineStr">
        <is>
          <t>Non</t>
        </is>
      </c>
      <c r="H178" s="68" t="inlineStr">
        <is>
          <t>—</t>
        </is>
      </c>
      <c r="I178" s="68" t="inlineStr">
        <is>
          <t>Grille fixe appliquée aux 10 dernières publications</t>
        </is>
      </c>
      <c r="J178" s="68" t="inlineStr">
        <is>
          <t>—</t>
        </is>
      </c>
      <c r="K178" s="68" t="inlineStr">
        <is>
          <t>—</t>
        </is>
      </c>
      <c r="L178" s="68" t="inlineStr">
        <is>
          <t>Ne publie pas (parcours mise en place)</t>
        </is>
      </c>
      <c r="M178" s="83" t="n"/>
    </row>
    <row r="179" ht="23.85" customHeight="1" s="53">
      <c r="A179" s="81" t="inlineStr">
        <is>
          <t>COM-52</t>
        </is>
      </c>
      <c r="B179" s="68" t="inlineStr">
        <is>
          <t>Comm &amp; Création</t>
        </is>
      </c>
      <c r="C179" s="68" t="inlineStr">
        <is>
          <t>Qualité des publications</t>
        </is>
      </c>
      <c r="D179" s="65" t="inlineStr">
        <is>
          <t>Preuve</t>
        </is>
      </c>
      <c r="E179" s="70" t="inlineStr">
        <is>
          <t>Pratique</t>
        </is>
      </c>
      <c r="F179" s="67" t="inlineStr">
        <is>
          <t>Qualifié</t>
        </is>
      </c>
      <c r="G179" s="67" t="inlineStr">
        <is>
          <t>Non</t>
        </is>
      </c>
      <c r="H179" s="68" t="inlineStr">
        <is>
          <t>—</t>
        </is>
      </c>
      <c r="I179" s="68" t="inlineStr">
        <is>
          <t>Grille fixe appliquée aux 10 dernières publications</t>
        </is>
      </c>
      <c r="J179" s="68" t="inlineStr">
        <is>
          <t>—</t>
        </is>
      </c>
      <c r="K179" s="68" t="inlineStr">
        <is>
          <t>—</t>
        </is>
      </c>
      <c r="L179" s="68" t="inlineStr">
        <is>
          <t>Ne publie pas (parcours mise en place)</t>
        </is>
      </c>
      <c r="M179" s="83" t="n"/>
    </row>
    <row r="180" ht="23.85" customHeight="1" s="53">
      <c r="A180" s="81" t="inlineStr">
        <is>
          <t>COM-53</t>
        </is>
      </c>
      <c r="B180" s="68" t="inlineStr">
        <is>
          <t>Comm &amp; Création</t>
        </is>
      </c>
      <c r="C180" s="68" t="inlineStr">
        <is>
          <t>Qualité des publications</t>
        </is>
      </c>
      <c r="D180" s="65" t="inlineStr">
        <is>
          <t>Appel à l'action</t>
        </is>
      </c>
      <c r="E180" s="70" t="inlineStr">
        <is>
          <t>Pratique</t>
        </is>
      </c>
      <c r="F180" s="67" t="inlineStr">
        <is>
          <t>Qualifié</t>
        </is>
      </c>
      <c r="G180" s="67" t="inlineStr">
        <is>
          <t>Non</t>
        </is>
      </c>
      <c r="H180" s="68" t="inlineStr">
        <is>
          <t>—</t>
        </is>
      </c>
      <c r="I180" s="68" t="inlineStr">
        <is>
          <t>Grille fixe appliquée aux 10 dernières publications</t>
        </is>
      </c>
      <c r="J180" s="68" t="inlineStr">
        <is>
          <t>—</t>
        </is>
      </c>
      <c r="K180" s="68" t="inlineStr">
        <is>
          <t>—</t>
        </is>
      </c>
      <c r="L180" s="68" t="inlineStr">
        <is>
          <t>Ne publie pas (parcours mise en place)</t>
        </is>
      </c>
      <c r="M180" s="83" t="n"/>
    </row>
    <row r="181" ht="23.85" customHeight="1" s="53">
      <c r="A181" s="81" t="inlineStr">
        <is>
          <t>COM-54</t>
        </is>
      </c>
      <c r="B181" s="68" t="inlineStr">
        <is>
          <t>Comm &amp; Création</t>
        </is>
      </c>
      <c r="C181" s="68" t="inlineStr">
        <is>
          <t>Qualité des publications</t>
        </is>
      </c>
      <c r="D181" s="65" t="inlineStr">
        <is>
          <t>Alignement avec la cible</t>
        </is>
      </c>
      <c r="E181" s="70" t="inlineStr">
        <is>
          <t>Pratique</t>
        </is>
      </c>
      <c r="F181" s="67" t="inlineStr">
        <is>
          <t>Qualifié</t>
        </is>
      </c>
      <c r="G181" s="67" t="inlineStr">
        <is>
          <t>Non</t>
        </is>
      </c>
      <c r="H181" s="68" t="inlineStr">
        <is>
          <t>—</t>
        </is>
      </c>
      <c r="I181" s="68" t="inlineStr">
        <is>
          <t>Grille fixe appliquée aux 10 dernières publications</t>
        </is>
      </c>
      <c r="J181" s="68" t="inlineStr">
        <is>
          <t>—</t>
        </is>
      </c>
      <c r="K181" s="68" t="inlineStr">
        <is>
          <t>—</t>
        </is>
      </c>
      <c r="L181" s="68" t="inlineStr">
        <is>
          <t>Ne publie pas (parcours mise en place)</t>
        </is>
      </c>
      <c r="M181" s="83" t="n"/>
    </row>
    <row r="182" ht="23.85" customHeight="1" s="53">
      <c r="A182" s="92" t="inlineStr">
        <is>
          <t>COM-55</t>
        </is>
      </c>
      <c r="B182" s="68" t="inlineStr">
        <is>
          <t>Comm &amp; Création</t>
        </is>
      </c>
      <c r="C182" s="68" t="inlineStr">
        <is>
          <t>De la publication au contact</t>
        </is>
      </c>
      <c r="D182" s="65" t="inlineStr">
        <is>
          <t>Funnel 3 · Visiter le profil : ce qu'il contient</t>
        </is>
      </c>
      <c r="E182" s="70" t="inlineStr">
        <is>
          <t>Pratique</t>
        </is>
      </c>
      <c r="F182" s="67" t="inlineStr">
        <is>
          <t>Qualifié</t>
        </is>
      </c>
      <c r="G182" s="67" t="inlineStr">
        <is>
          <t>Non</t>
        </is>
      </c>
      <c r="H182" s="68" t="inlineStr">
        <is>
          <t>COM-55.01</t>
        </is>
      </c>
      <c r="I182" s="68" t="inlineStr">
        <is>
          <t>—</t>
        </is>
      </c>
      <c r="J182" s="68" t="inlineStr">
        <is>
          <t>—</t>
        </is>
      </c>
      <c r="K182" s="68" t="inlineStr">
        <is>
          <t>—</t>
        </is>
      </c>
      <c r="L182" s="68" t="inlineStr">
        <is>
          <t>Ne publie pas (parcours mise en place)</t>
        </is>
      </c>
      <c r="M182" s="83" t="inlineStr">
        <is>
          <t>Nouveau</t>
        </is>
      </c>
    </row>
    <row r="183">
      <c r="A183" s="92" t="inlineStr">
        <is>
          <t>COM-56</t>
        </is>
      </c>
      <c r="B183" s="68" t="inlineStr">
        <is>
          <t>Comm &amp; Création</t>
        </is>
      </c>
      <c r="C183" s="68" t="inlineStr">
        <is>
          <t>Présence et canaux</t>
        </is>
      </c>
      <c r="D183" s="65" t="inlineStr">
        <is>
          <t>Démarrage</t>
        </is>
      </c>
      <c r="E183" s="69" t="inlineStr">
        <is>
          <t>Contexte</t>
        </is>
      </c>
      <c r="F183" s="67" t="inlineStr">
        <is>
          <t>—</t>
        </is>
      </c>
      <c r="G183" s="67" t="inlineStr">
        <is>
          <t>Non</t>
        </is>
      </c>
      <c r="H183" s="68" t="inlineStr">
        <is>
          <t>COM-56.01, COM-56.02, COM-56.03, COM-56.04</t>
        </is>
      </c>
      <c r="I183" s="68" t="inlineStr">
        <is>
          <t>—</t>
        </is>
      </c>
      <c r="J183" s="68" t="inlineStr">
        <is>
          <t>—</t>
        </is>
      </c>
      <c r="K183" s="68" t="inlineStr">
        <is>
          <t>—</t>
        </is>
      </c>
      <c r="L183" s="68" t="inlineStr">
        <is>
          <t>—</t>
        </is>
      </c>
      <c r="M183" s="83" t="inlineStr">
        <is>
          <t>Nouveau</t>
        </is>
      </c>
    </row>
    <row r="184">
      <c r="A184" s="92" t="inlineStr">
        <is>
          <t>COM-57</t>
        </is>
      </c>
      <c r="B184" s="68" t="inlineStr">
        <is>
          <t>Comm &amp; Création</t>
        </is>
      </c>
      <c r="C184" s="68" t="inlineStr">
        <is>
          <t>Production</t>
        </is>
      </c>
      <c r="D184" s="65" t="inlineStr">
        <is>
          <t>Brief de création</t>
        </is>
      </c>
      <c r="E184" s="69" t="inlineStr">
        <is>
          <t>Contexte</t>
        </is>
      </c>
      <c r="F184" s="67" t="inlineStr">
        <is>
          <t>—</t>
        </is>
      </c>
      <c r="G184" s="67" t="inlineStr">
        <is>
          <t>Non</t>
        </is>
      </c>
      <c r="H184" s="68" t="inlineStr">
        <is>
          <t>COM-57.01, COM-57.02, COM-57.03, COM-57.04, COM-57.05, COM-57.06, COM-57.07, COM-57.08, COM-57.10, COM-57.11, COM-57.12, COM-57.13, COM-57.14, COM-57.15, COM-57.16</t>
        </is>
      </c>
      <c r="I184" s="68" t="inlineStr">
        <is>
          <t>—</t>
        </is>
      </c>
      <c r="J184" s="68" t="inlineStr">
        <is>
          <t>—</t>
        </is>
      </c>
      <c r="K184" s="68" t="inlineStr">
        <is>
          <t>—</t>
        </is>
      </c>
      <c r="L184" s="68" t="inlineStr">
        <is>
          <t>—</t>
        </is>
      </c>
      <c r="M184" s="83" t="inlineStr">
        <is>
          <t>Nouveau</t>
        </is>
      </c>
    </row>
    <row r="185">
      <c r="A185" s="92" t="inlineStr">
        <is>
          <t>COM-58</t>
        </is>
      </c>
      <c r="B185" s="68" t="inlineStr">
        <is>
          <t>Comm &amp; Création</t>
        </is>
      </c>
      <c r="C185" s="68" t="inlineStr">
        <is>
          <t>De la publication au contact</t>
        </is>
      </c>
      <c r="D185" s="65" t="inlineStr">
        <is>
          <t>Funnel 0 · Le chemin prévu</t>
        </is>
      </c>
      <c r="E185" s="70" t="inlineStr">
        <is>
          <t>Pratique</t>
        </is>
      </c>
      <c r="F185" s="67" t="inlineStr">
        <is>
          <t>Qualifié</t>
        </is>
      </c>
      <c r="G185" s="67" t="inlineStr">
        <is>
          <t>Non</t>
        </is>
      </c>
      <c r="H185" s="68" t="inlineStr">
        <is>
          <t>COM-58.01, COM-58.02</t>
        </is>
      </c>
      <c r="I185" s="68" t="inlineStr">
        <is>
          <t>—</t>
        </is>
      </c>
      <c r="J185" s="68" t="inlineStr">
        <is>
          <t>—</t>
        </is>
      </c>
      <c r="K185" s="68" t="inlineStr">
        <is>
          <t>—</t>
        </is>
      </c>
      <c r="L185" s="68" t="inlineStr">
        <is>
          <t>—</t>
        </is>
      </c>
      <c r="M185" s="83" t="inlineStr">
        <is>
          <t>Nouveau</t>
        </is>
      </c>
    </row>
    <row r="186">
      <c r="A186" s="92" t="inlineStr">
        <is>
          <t>COM-59</t>
        </is>
      </c>
      <c r="B186" s="68" t="inlineStr">
        <is>
          <t>Comm &amp; Création</t>
        </is>
      </c>
      <c r="C186" s="68" t="inlineStr">
        <is>
          <t>De la publication au contact</t>
        </is>
      </c>
      <c r="D186" s="65" t="inlineStr">
        <is>
          <t>Funnel 3 · Visiter le profil</t>
        </is>
      </c>
      <c r="E186" s="66" t="inlineStr">
        <is>
          <t>Cohérence</t>
        </is>
      </c>
      <c r="F186" s="67" t="inlineStr">
        <is>
          <t>Chiffré (contacts)</t>
        </is>
      </c>
      <c r="G186" s="82" t="inlineStr">
        <is>
          <t>Oui</t>
        </is>
      </c>
      <c r="H186" s="68" t="inlineStr">
        <is>
          <t>COM-59.01</t>
        </is>
      </c>
      <c r="I186" s="68" t="inlineStr">
        <is>
          <t>—</t>
        </is>
      </c>
      <c r="J186" s="68" t="inlineStr">
        <is>
          <t>—</t>
        </is>
      </c>
      <c r="K186" s="68" t="inlineStr">
        <is>
          <t>—</t>
        </is>
      </c>
      <c r="L186" s="68" t="inlineStr">
        <is>
          <t>Ne publie pas (parcours mise en place)</t>
        </is>
      </c>
      <c r="M186" s="83" t="inlineStr">
        <is>
          <t>Nouveau</t>
        </is>
      </c>
    </row>
    <row r="187">
      <c r="A187" s="92" t="inlineStr">
        <is>
          <t>COM-60</t>
        </is>
      </c>
      <c r="B187" s="68" t="inlineStr">
        <is>
          <t>Comm &amp; Création</t>
        </is>
      </c>
      <c r="C187" s="68" t="inlineStr">
        <is>
          <t>De la publication au contact</t>
        </is>
      </c>
      <c r="D187" s="65" t="inlineStr">
        <is>
          <t>Funnel 5 · Arriver au bon endroit</t>
        </is>
      </c>
      <c r="E187" s="70" t="inlineStr">
        <is>
          <t>Pratique</t>
        </is>
      </c>
      <c r="F187" s="67" t="inlineStr">
        <is>
          <t>Qualifié</t>
        </is>
      </c>
      <c r="G187" s="67" t="inlineStr">
        <is>
          <t>Non</t>
        </is>
      </c>
      <c r="H187" s="68" t="inlineStr">
        <is>
          <t>COM-60.01, COM-60.02</t>
        </is>
      </c>
      <c r="I187" s="68" t="inlineStr">
        <is>
          <t>—</t>
        </is>
      </c>
      <c r="J187" s="68" t="inlineStr">
        <is>
          <t>—</t>
        </is>
      </c>
      <c r="K187" s="68" t="inlineStr">
        <is>
          <t>—</t>
        </is>
      </c>
      <c r="L187" s="68" t="inlineStr">
        <is>
          <t>Ne publie pas (parcours mise en place)</t>
        </is>
      </c>
      <c r="M187" s="83" t="inlineStr">
        <is>
          <t>Nouveau</t>
        </is>
      </c>
    </row>
    <row r="188">
      <c r="A188" s="92" t="inlineStr">
        <is>
          <t>COM-61</t>
        </is>
      </c>
      <c r="B188" s="68" t="inlineStr">
        <is>
          <t>Comm &amp; Création</t>
        </is>
      </c>
      <c r="C188" s="68" t="inlineStr">
        <is>
          <t>De la publication au contact</t>
        </is>
      </c>
      <c r="D188" s="65" t="inlineStr">
        <is>
          <t>Funnel 7 · Relancer les intéressés</t>
        </is>
      </c>
      <c r="E188" s="70" t="inlineStr">
        <is>
          <t>Pratique</t>
        </is>
      </c>
      <c r="F188" s="67" t="inlineStr">
        <is>
          <t>Qualifié</t>
        </is>
      </c>
      <c r="G188" s="67" t="inlineStr">
        <is>
          <t>Non</t>
        </is>
      </c>
      <c r="H188" s="68" t="inlineStr">
        <is>
          <t>COM-61.01, COM-61.02</t>
        </is>
      </c>
      <c r="I188" s="68" t="inlineStr">
        <is>
          <t>—</t>
        </is>
      </c>
      <c r="J188" s="68" t="inlineStr">
        <is>
          <t>—</t>
        </is>
      </c>
      <c r="K188" s="68" t="inlineStr">
        <is>
          <t>—</t>
        </is>
      </c>
      <c r="L188" s="68" t="inlineStr">
        <is>
          <t>Ne publie pas (parcours mise en place)</t>
        </is>
      </c>
      <c r="M188" s="83" t="inlineStr">
        <is>
          <t>Nouveau</t>
        </is>
      </c>
    </row>
    <row r="189">
      <c r="A189" s="92" t="inlineStr">
        <is>
          <t>COM-62</t>
        </is>
      </c>
      <c r="B189" s="68" t="inlineStr">
        <is>
          <t>Comm &amp; Création</t>
        </is>
      </c>
      <c r="C189" s="68" t="inlineStr">
        <is>
          <t>Présence et canaux</t>
        </is>
      </c>
      <c r="D189" s="65" t="inlineStr">
        <is>
          <t>Référencement du site (SEO)</t>
        </is>
      </c>
      <c r="E189" s="70" t="inlineStr">
        <is>
          <t>Contexte</t>
        </is>
      </c>
      <c r="F189" s="67" t="inlineStr">
        <is>
          <t>—</t>
        </is>
      </c>
      <c r="G189" s="67" t="inlineStr">
        <is>
          <t>Non</t>
        </is>
      </c>
      <c r="H189" s="68" t="inlineStr">
        <is>
          <t>COM-62.01, COM-62.02, COM-62.03, COM-62.04, COM-62.05, COM-62.06, COM-62.07, COM-62.08</t>
        </is>
      </c>
      <c r="I189" s="68" t="inlineStr">
        <is>
          <t>—</t>
        </is>
      </c>
      <c r="J189" s="68" t="inlineStr">
        <is>
          <t>—</t>
        </is>
      </c>
      <c r="K189" s="68" t="inlineStr">
        <is>
          <t>—</t>
        </is>
      </c>
      <c r="L189" s="68" t="inlineStr">
        <is>
          <t>—</t>
        </is>
      </c>
      <c r="M189" s="83" t="inlineStr">
        <is>
          <t>Nouveau : nature, impact et étape proposés, à valider</t>
        </is>
      </c>
    </row>
    <row r="190">
      <c r="A190" s="92" t="inlineStr">
        <is>
          <t>COM-63</t>
        </is>
      </c>
      <c r="B190" s="68" t="inlineStr">
        <is>
          <t>Comm &amp; Création</t>
        </is>
      </c>
      <c r="C190" s="68" t="inlineStr">
        <is>
          <t>Présence et canaux</t>
        </is>
      </c>
      <c r="D190" s="65" t="inlineStr">
        <is>
          <t>Annonces Google (SEA)</t>
        </is>
      </c>
      <c r="E190" s="70" t="inlineStr">
        <is>
          <t>Contexte</t>
        </is>
      </c>
      <c r="F190" s="67" t="inlineStr">
        <is>
          <t>—</t>
        </is>
      </c>
      <c r="G190" s="67" t="inlineStr">
        <is>
          <t>Non</t>
        </is>
      </c>
      <c r="H190" s="68" t="inlineStr">
        <is>
          <t>COM-63.01, COM-63.02, COM-63.03, COM-63.04, COM-63.05, COM-63.06, COM-63.07, COM-63.08</t>
        </is>
      </c>
      <c r="I190" s="68" t="inlineStr">
        <is>
          <t>—</t>
        </is>
      </c>
      <c r="J190" s="68" t="inlineStr">
        <is>
          <t>—</t>
        </is>
      </c>
      <c r="K190" s="68" t="inlineStr">
        <is>
          <t>—</t>
        </is>
      </c>
      <c r="L190" s="68" t="inlineStr">
        <is>
          <t>—</t>
        </is>
      </c>
      <c r="M190" s="83" t="inlineStr">
        <is>
          <t>Nouveau : nature, impact et étape proposés, à valider</t>
        </is>
      </c>
    </row>
  </sheetData>
  <autoFilter ref="A1:M190"/>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X324"/>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10" customWidth="1" style="52" min="1" max="1"/>
    <col width="8" customWidth="1" style="52" min="2" max="2"/>
    <col width="18" customWidth="1" style="52" min="3" max="3"/>
    <col width="22" customWidth="1" style="52" min="4" max="4"/>
    <col width="46" customWidth="1" style="52" min="5" max="5"/>
    <col width="18" customWidth="1" style="52" min="6" max="6"/>
    <col width="11" customWidth="1" style="52" min="7" max="8"/>
    <col width="20" customWidth="1" style="52" min="9" max="10"/>
    <col width="6.51" customWidth="1" style="52" min="11" max="18"/>
    <col width="16" customWidth="1" style="52" min="19" max="19"/>
    <col width="42" customWidth="1" style="52" min="20" max="20"/>
    <col width="22" customWidth="1" style="52" min="21" max="21"/>
    <col width="26" customWidth="1" style="52" min="22" max="22"/>
    <col width="30" customWidth="1" style="52" min="23" max="23"/>
    <col width="48" customWidth="1" style="53" min="24" max="24"/>
  </cols>
  <sheetData>
    <row r="1" ht="31.5" customHeight="1" s="53">
      <c r="A1" s="75" t="inlineStr">
        <is>
          <t>Code</t>
        </is>
      </c>
      <c r="B1" s="75" t="inlineStr">
        <is>
          <t>Thème</t>
        </is>
      </c>
      <c r="C1" s="75" t="inlineStr">
        <is>
          <t>Nom du thème</t>
        </is>
      </c>
      <c r="D1" s="75" t="inlineStr">
        <is>
          <t>Écran</t>
        </is>
      </c>
      <c r="E1" s="75" t="inlineStr">
        <is>
          <t>Donnée</t>
        </is>
      </c>
      <c r="F1" s="75" t="inlineStr">
        <is>
          <t>Format de réponse</t>
        </is>
      </c>
      <c r="G1" s="75" t="inlineStr">
        <is>
          <t>Mode</t>
        </is>
      </c>
      <c r="H1" s="75" t="inlineStr">
        <is>
          <t>Niveau</t>
        </is>
      </c>
      <c r="I1" s="75" t="inlineStr">
        <is>
          <t>Condition d'affichage</t>
        </is>
      </c>
      <c r="J1" s="75" t="inlineStr">
        <is>
          <t>Période (selon l'ancienneté)</t>
        </is>
      </c>
      <c r="K1" s="75" t="inlineStr">
        <is>
          <t>RDV</t>
        </is>
      </c>
      <c r="L1" s="75" t="inlineStr">
        <is>
          <t>Commerce</t>
        </is>
      </c>
      <c r="M1" s="75" t="inlineStr">
        <is>
          <t>E-commerce</t>
        </is>
      </c>
      <c r="N1" s="75" t="inlineStr">
        <is>
          <t>Restaurant</t>
        </is>
      </c>
      <c r="O1" s="75" t="inlineStr">
        <is>
          <t>Chantier</t>
        </is>
      </c>
      <c r="P1" s="75" t="inlineStr">
        <is>
          <t>B2B</t>
        </is>
      </c>
      <c r="Q1" s="75" t="inlineStr">
        <is>
          <t>Abonnement</t>
        </is>
      </c>
      <c r="R1" s="75" t="inlineStr">
        <is>
          <t>Location</t>
        </is>
      </c>
      <c r="S1" s="75" t="inlineStr">
        <is>
          <t>Sert à</t>
        </is>
      </c>
      <c r="T1" s="75" t="inlineStr">
        <is>
          <t>Calcul ou source</t>
        </is>
      </c>
      <c r="U1" s="75" t="inlineStr">
        <is>
          <t>Données utilisées</t>
        </is>
      </c>
      <c r="V1" s="75" t="inlineStr">
        <is>
          <t>Utilisée dans</t>
        </is>
      </c>
      <c r="W1" s="75" t="inlineStr">
        <is>
          <t>Changement du 20 oct.</t>
        </is>
      </c>
      <c r="X1" s="75" t="inlineStr">
        <is>
          <t>Métiers concernés</t>
        </is>
      </c>
    </row>
    <row r="2" ht="46.25" customHeight="1" s="53">
      <c r="A2" s="94" t="inlineStr">
        <is>
          <t>ACQ-01.01</t>
        </is>
      </c>
      <c r="B2" s="67" t="inlineStr">
        <is>
          <t>ACQ-01</t>
        </is>
      </c>
      <c r="C2" s="95">
        <f>IFERROR(INDEX(Thèmes!$D$2:$D$190,MATCH(B2,Thèmes!$A$2:$A$190,0)),"")</f>
        <v/>
      </c>
      <c r="D2" s="68" t="inlineStr">
        <is>
          <t>A01 · Vos types de clients (tableau)</t>
        </is>
      </c>
      <c r="E2" s="68" t="inlineStr">
        <is>
          <t>Types de clients (ex. particuliers, professionnels, collectivités), jusqu'à 4 — partagée avec Comm (COM-02.01, COM-09.03) : posée par le premier agent qui en a besoin</t>
        </is>
      </c>
      <c r="F2" s="68" t="inlineStr">
        <is>
          <t>Liste</t>
        </is>
      </c>
      <c r="G2" s="67" t="inlineStr">
        <is>
          <t>Demandée</t>
        </is>
      </c>
      <c r="H2" s="67" t="inlineStr">
        <is>
          <t>Essentiel</t>
        </is>
      </c>
      <c r="I2" s="68" t="inlineStr">
        <is>
          <t>—</t>
        </is>
      </c>
      <c r="J2" s="68" t="inlineStr">
        <is>
          <t>—</t>
        </is>
      </c>
      <c r="K2" s="67" t="inlineStr">
        <is>
          <t>●</t>
        </is>
      </c>
      <c r="L2" s="67" t="inlineStr">
        <is>
          <t>●</t>
        </is>
      </c>
      <c r="M2" s="67" t="inlineStr">
        <is>
          <t>●</t>
        </is>
      </c>
      <c r="N2" s="67" t="inlineStr">
        <is>
          <t>●</t>
        </is>
      </c>
      <c r="O2" s="67" t="inlineStr">
        <is>
          <t>●</t>
        </is>
      </c>
      <c r="P2" s="67" t="inlineStr">
        <is>
          <t>●</t>
        </is>
      </c>
      <c r="Q2" s="67" t="inlineStr">
        <is>
          <t>●</t>
        </is>
      </c>
      <c r="R2" s="67" t="inlineStr">
        <is>
          <t>●</t>
        </is>
      </c>
      <c r="S2" s="68" t="inlineStr">
        <is>
          <t>Parcours</t>
        </is>
      </c>
      <c r="T2" s="68" t="inlineStr">
        <is>
          <t>—</t>
        </is>
      </c>
      <c r="U2" s="68" t="inlineStr">
        <is>
          <t>—</t>
        </is>
      </c>
      <c r="V2" s="68" t="inlineStr">
        <is>
          <t>COM-09.07</t>
        </is>
      </c>
      <c r="W2" s="83" t="inlineStr">
        <is>
          <t>Libellé (« Donnée »)</t>
        </is>
      </c>
    </row>
    <row r="3" ht="23.85" customHeight="1" s="53">
      <c r="A3" s="81" t="inlineStr">
        <is>
          <t>ACQ-01.02</t>
        </is>
      </c>
      <c r="B3" s="67" t="inlineStr">
        <is>
          <t>ACQ-01</t>
        </is>
      </c>
      <c r="C3" s="95">
        <f>IFERROR(INDEX(Thèmes!$D$2:$D$190,MATCH(B3,Thèmes!$A$2:$A$190,0)),"")</f>
        <v/>
      </c>
      <c r="D3" s="68" t="inlineStr">
        <is>
          <t>A01 · Vos types de clients (tableau)</t>
        </is>
      </c>
      <c r="E3" s="68" t="inlineStr">
        <is>
          <t>Part du CA par type de client</t>
        </is>
      </c>
      <c r="F3" s="68" t="inlineStr">
        <is>
          <t>% par ligne</t>
        </is>
      </c>
      <c r="G3" s="67" t="inlineStr">
        <is>
          <t>Demandée</t>
        </is>
      </c>
      <c r="H3" s="67" t="inlineStr">
        <is>
          <t>Essentiel</t>
        </is>
      </c>
      <c r="I3" s="68" t="inlineStr">
        <is>
          <t>—</t>
        </is>
      </c>
      <c r="J3" s="68" t="inlineStr">
        <is>
          <t>—</t>
        </is>
      </c>
      <c r="K3" s="67" t="inlineStr">
        <is>
          <t>●</t>
        </is>
      </c>
      <c r="L3" s="67" t="inlineStr">
        <is>
          <t>●</t>
        </is>
      </c>
      <c r="M3" s="67" t="inlineStr">
        <is>
          <t>●</t>
        </is>
      </c>
      <c r="N3" s="67" t="inlineStr">
        <is>
          <t>●</t>
        </is>
      </c>
      <c r="O3" s="67" t="inlineStr">
        <is>
          <t>●</t>
        </is>
      </c>
      <c r="P3" s="67" t="inlineStr">
        <is>
          <t>●</t>
        </is>
      </c>
      <c r="Q3" s="67" t="inlineStr">
        <is>
          <t>●</t>
        </is>
      </c>
      <c r="R3" s="67" t="inlineStr">
        <is>
          <t>●</t>
        </is>
      </c>
      <c r="S3" s="68" t="inlineStr">
        <is>
          <t>Risque, Levier</t>
        </is>
      </c>
      <c r="T3" s="68" t="inlineStr">
        <is>
          <t>—</t>
        </is>
      </c>
      <c r="U3" s="68" t="inlineStr">
        <is>
          <t>—</t>
        </is>
      </c>
      <c r="V3" s="68" t="inlineStr">
        <is>
          <t>ACQ-01.11</t>
        </is>
      </c>
      <c r="W3" s="83" t="n"/>
    </row>
    <row r="4" ht="35.05" customHeight="1" s="53">
      <c r="A4" s="81" t="inlineStr">
        <is>
          <t>ACQ-01.03</t>
        </is>
      </c>
      <c r="B4" s="67" t="inlineStr">
        <is>
          <t>ACQ-01</t>
        </is>
      </c>
      <c r="C4" s="95">
        <f>IFERROR(INDEX(Thèmes!$D$2:$D$190,MATCH(B4,Thèmes!$A$2:$A$190,0)),"")</f>
        <v/>
      </c>
      <c r="D4" s="68" t="inlineStr">
        <is>
          <t>A01 · Vos types de clients (tableau)</t>
        </is>
      </c>
      <c r="E4" s="68" t="inlineStr">
        <is>
          <t>Nombre de clients par type sur 12 mois</t>
        </is>
      </c>
      <c r="F4" s="68" t="inlineStr">
        <is>
          <t>Nombre par ligne</t>
        </is>
      </c>
      <c r="G4" s="67" t="inlineStr">
        <is>
          <t>Demandée</t>
        </is>
      </c>
      <c r="H4" s="67" t="inlineStr">
        <is>
          <t>Essentiel</t>
        </is>
      </c>
      <c r="I4" s="68" t="inlineStr">
        <is>
          <t>—</t>
        </is>
      </c>
      <c r="J4" s="68" t="inlineStr">
        <is>
          <t>Période adaptée : depuis la création si moins de 12 mois</t>
        </is>
      </c>
      <c r="K4" s="67" t="inlineStr">
        <is>
          <t>●</t>
        </is>
      </c>
      <c r="L4" s="67" t="inlineStr">
        <is>
          <t>●</t>
        </is>
      </c>
      <c r="M4" s="67" t="inlineStr">
        <is>
          <t>●</t>
        </is>
      </c>
      <c r="N4" s="67" t="inlineStr">
        <is>
          <t>●</t>
        </is>
      </c>
      <c r="O4" s="67" t="inlineStr">
        <is>
          <t>●</t>
        </is>
      </c>
      <c r="P4" s="67" t="inlineStr">
        <is>
          <t>●</t>
        </is>
      </c>
      <c r="Q4" s="67" t="inlineStr">
        <is>
          <t>●</t>
        </is>
      </c>
      <c r="R4" s="67" t="inlineStr">
        <is>
          <t>●</t>
        </is>
      </c>
      <c r="S4" s="68" t="inlineStr">
        <is>
          <t>Potentiel CA</t>
        </is>
      </c>
      <c r="T4" s="68" t="inlineStr">
        <is>
          <t>—</t>
        </is>
      </c>
      <c r="U4" s="68" t="inlineStr">
        <is>
          <t>—</t>
        </is>
      </c>
      <c r="V4" s="68" t="inlineStr">
        <is>
          <t>ACQ-01.12</t>
        </is>
      </c>
      <c r="W4" s="83" t="n"/>
    </row>
    <row r="5" ht="35.05" customHeight="1" s="53">
      <c r="A5" s="81" t="inlineStr">
        <is>
          <t>ACQ-01.04</t>
        </is>
      </c>
      <c r="B5" s="67" t="inlineStr">
        <is>
          <t>ACQ-01</t>
        </is>
      </c>
      <c r="C5" s="95">
        <f>IFERROR(INDEX(Thèmes!$D$2:$D$190,MATCH(B5,Thèmes!$A$2:$A$190,0)),"")</f>
        <v/>
      </c>
      <c r="D5" s="68" t="inlineStr">
        <is>
          <t>A01 · Vos types de clients (tableau)</t>
        </is>
      </c>
      <c r="E5" s="68" t="inlineStr">
        <is>
          <t>Achats par client et par an, par type</t>
        </is>
      </c>
      <c r="F5" s="68" t="inlineStr">
        <is>
          <t>Nombre par ligne</t>
        </is>
      </c>
      <c r="G5" s="67" t="inlineStr">
        <is>
          <t>Demandée</t>
        </is>
      </c>
      <c r="H5" s="67" t="inlineStr">
        <is>
          <t>Approfondi</t>
        </is>
      </c>
      <c r="I5" s="68" t="inlineStr">
        <is>
          <t>—</t>
        </is>
      </c>
      <c r="J5" s="68" t="inlineStr">
        <is>
          <t>Période adaptée : depuis la création si moins de 12 mois</t>
        </is>
      </c>
      <c r="K5" s="67" t="inlineStr">
        <is>
          <t>●</t>
        </is>
      </c>
      <c r="L5" s="67" t="inlineStr">
        <is>
          <t>●</t>
        </is>
      </c>
      <c r="M5" s="67" t="inlineStr">
        <is>
          <t>●</t>
        </is>
      </c>
      <c r="N5" s="67" t="inlineStr">
        <is>
          <t>●</t>
        </is>
      </c>
      <c r="O5" s="67" t="inlineStr">
        <is>
          <t>●</t>
        </is>
      </c>
      <c r="P5" s="67" t="inlineStr">
        <is>
          <t>●</t>
        </is>
      </c>
      <c r="Q5" s="67" t="inlineStr">
        <is>
          <t>●</t>
        </is>
      </c>
      <c r="R5" s="67" t="inlineStr">
        <is>
          <t>●</t>
        </is>
      </c>
      <c r="S5" s="68" t="inlineStr">
        <is>
          <t>Potentiel CA</t>
        </is>
      </c>
      <c r="T5" s="68" t="inlineStr">
        <is>
          <t>—</t>
        </is>
      </c>
      <c r="U5" s="68" t="inlineStr">
        <is>
          <t>—</t>
        </is>
      </c>
      <c r="V5" s="68" t="inlineStr">
        <is>
          <t>ACQ-01.13</t>
        </is>
      </c>
      <c r="W5" s="83" t="n"/>
    </row>
    <row r="6" ht="23.85" customHeight="1" s="53">
      <c r="A6" s="81" t="inlineStr">
        <is>
          <t>ACQ-01.05</t>
        </is>
      </c>
      <c r="B6" s="67" t="inlineStr">
        <is>
          <t>ACQ-01</t>
        </is>
      </c>
      <c r="C6" s="95">
        <f>IFERROR(INDEX(Thèmes!$D$2:$D$190,MATCH(B6,Thèmes!$A$2:$A$190,0)),"")</f>
        <v/>
      </c>
      <c r="D6" s="68" t="inlineStr">
        <is>
          <t>A01 · Vos types de clients (tableau)</t>
        </is>
      </c>
      <c r="E6" s="68" t="inlineStr">
        <is>
          <t>Type de client que vous voulez développer en priorité</t>
        </is>
      </c>
      <c r="F6" s="68" t="inlineStr">
        <is>
          <t>Choix dans la liste</t>
        </is>
      </c>
      <c r="G6" s="67" t="inlineStr">
        <is>
          <t>Demandée</t>
        </is>
      </c>
      <c r="H6" s="67" t="inlineStr">
        <is>
          <t>Essentiel</t>
        </is>
      </c>
      <c r="I6" s="68" t="inlineStr">
        <is>
          <t>—</t>
        </is>
      </c>
      <c r="J6" s="68" t="inlineStr">
        <is>
          <t>—</t>
        </is>
      </c>
      <c r="K6" s="67" t="inlineStr">
        <is>
          <t>●</t>
        </is>
      </c>
      <c r="L6" s="67" t="inlineStr">
        <is>
          <t>●</t>
        </is>
      </c>
      <c r="M6" s="67" t="inlineStr">
        <is>
          <t>●</t>
        </is>
      </c>
      <c r="N6" s="67" t="inlineStr">
        <is>
          <t>●</t>
        </is>
      </c>
      <c r="O6" s="67" t="inlineStr">
        <is>
          <t>●</t>
        </is>
      </c>
      <c r="P6" s="67" t="inlineStr">
        <is>
          <t>●</t>
        </is>
      </c>
      <c r="Q6" s="67" t="inlineStr">
        <is>
          <t>●</t>
        </is>
      </c>
      <c r="R6" s="67" t="inlineStr">
        <is>
          <t>●</t>
        </is>
      </c>
      <c r="S6" s="68" t="inlineStr">
        <is>
          <t>Cible</t>
        </is>
      </c>
      <c r="T6" s="68" t="inlineStr">
        <is>
          <t>—</t>
        </is>
      </c>
      <c r="U6" s="68" t="inlineStr">
        <is>
          <t>—</t>
        </is>
      </c>
      <c r="V6" s="68" t="inlineStr">
        <is>
          <t>XA32</t>
        </is>
      </c>
      <c r="W6" s="83" t="n"/>
    </row>
    <row r="7" ht="23.85" customHeight="1" s="53">
      <c r="A7" s="81" t="inlineStr">
        <is>
          <t>ACQ-01.06</t>
        </is>
      </c>
      <c r="B7" s="67" t="inlineStr">
        <is>
          <t>ACQ-01</t>
        </is>
      </c>
      <c r="C7" s="95">
        <f>IFERROR(INDEX(Thèmes!$D$2:$D$190,MATCH(B7,Thèmes!$A$2:$A$190,0)),"")</f>
        <v/>
      </c>
      <c r="D7" s="68" t="inlineStr">
        <is>
          <t>A02 · Votre zone</t>
        </is>
      </c>
      <c r="E7" s="68" t="inlineStr">
        <is>
          <t>Répartition des clients par distance : moins de 5 km, 5 à 10, 10 à 25, 25 à 50, plus de 50 km</t>
        </is>
      </c>
      <c r="F7" s="68" t="inlineStr">
        <is>
          <t>Tranches en %</t>
        </is>
      </c>
      <c r="G7" s="67" t="inlineStr">
        <is>
          <t>Demandée</t>
        </is>
      </c>
      <c r="H7" s="67" t="inlineStr">
        <is>
          <t>Essentiel</t>
        </is>
      </c>
      <c r="I7" s="68" t="inlineStr">
        <is>
          <t>—</t>
        </is>
      </c>
      <c r="J7" s="68" t="inlineStr">
        <is>
          <t>—</t>
        </is>
      </c>
      <c r="K7" s="67" t="inlineStr">
        <is>
          <t>●</t>
        </is>
      </c>
      <c r="L7" s="67" t="inlineStr">
        <is>
          <t>●</t>
        </is>
      </c>
      <c r="M7" s="67" t="n"/>
      <c r="N7" s="67" t="inlineStr">
        <is>
          <t>●</t>
        </is>
      </c>
      <c r="O7" s="67" t="inlineStr">
        <is>
          <t>●</t>
        </is>
      </c>
      <c r="P7" s="67" t="inlineStr">
        <is>
          <t>●</t>
        </is>
      </c>
      <c r="Q7" s="67" t="inlineStr">
        <is>
          <t>●</t>
        </is>
      </c>
      <c r="R7" s="67" t="inlineStr">
        <is>
          <t>●</t>
        </is>
      </c>
      <c r="S7" s="68" t="inlineStr">
        <is>
          <t>Cible, Levier</t>
        </is>
      </c>
      <c r="T7" s="68" t="inlineStr">
        <is>
          <t>—</t>
        </is>
      </c>
      <c r="U7" s="68" t="inlineStr">
        <is>
          <t>—</t>
        </is>
      </c>
      <c r="V7" s="68" t="inlineStr">
        <is>
          <t>ACQ-01.14, XA31</t>
        </is>
      </c>
      <c r="W7" s="83" t="n"/>
    </row>
    <row r="8" ht="15" customHeight="1" s="53">
      <c r="A8" s="81" t="inlineStr">
        <is>
          <t>ACQ-01.07</t>
        </is>
      </c>
      <c r="B8" s="67" t="inlineStr">
        <is>
          <t>ACQ-01</t>
        </is>
      </c>
      <c r="C8" s="95">
        <f>IFERROR(INDEX(Thèmes!$D$2:$D$190,MATCH(B8,Thèmes!$A$2:$A$190,0)),"")</f>
        <v/>
      </c>
      <c r="D8" s="68" t="inlineStr">
        <is>
          <t>A02 · Votre zone</t>
        </is>
      </c>
      <c r="E8" s="68" t="inlineStr">
        <is>
          <t>Zone (commune ou quartier) qui génère le plus de CA</t>
        </is>
      </c>
      <c r="F8" s="68" t="inlineStr">
        <is>
          <t>Texte</t>
        </is>
      </c>
      <c r="G8" s="67" t="inlineStr">
        <is>
          <t>Demandée</t>
        </is>
      </c>
      <c r="H8" s="67" t="inlineStr">
        <is>
          <t>Essentiel</t>
        </is>
      </c>
      <c r="I8" s="68" t="inlineStr">
        <is>
          <t>—</t>
        </is>
      </c>
      <c r="J8" s="68" t="inlineStr">
        <is>
          <t>—</t>
        </is>
      </c>
      <c r="K8" s="67" t="inlineStr">
        <is>
          <t>●</t>
        </is>
      </c>
      <c r="L8" s="67" t="inlineStr">
        <is>
          <t>●</t>
        </is>
      </c>
      <c r="M8" s="67" t="n"/>
      <c r="N8" s="67" t="inlineStr">
        <is>
          <t>●</t>
        </is>
      </c>
      <c r="O8" s="67" t="inlineStr">
        <is>
          <t>●</t>
        </is>
      </c>
      <c r="P8" s="67" t="inlineStr">
        <is>
          <t>●</t>
        </is>
      </c>
      <c r="Q8" s="67" t="inlineStr">
        <is>
          <t>●</t>
        </is>
      </c>
      <c r="R8" s="67" t="inlineStr">
        <is>
          <t>●</t>
        </is>
      </c>
      <c r="S8" s="68" t="inlineStr">
        <is>
          <t>Levier</t>
        </is>
      </c>
      <c r="T8" s="68" t="inlineStr">
        <is>
          <t>—</t>
        </is>
      </c>
      <c r="U8" s="68" t="inlineStr">
        <is>
          <t>—</t>
        </is>
      </c>
      <c r="V8" s="68" t="inlineStr">
        <is>
          <t>XA31</t>
        </is>
      </c>
      <c r="W8" s="83" t="n"/>
    </row>
    <row r="9" ht="15" customHeight="1" s="53">
      <c r="A9" s="81" t="inlineStr">
        <is>
          <t>ACQ-01.08</t>
        </is>
      </c>
      <c r="B9" s="67" t="inlineStr">
        <is>
          <t>ACQ-01</t>
        </is>
      </c>
      <c r="C9" s="95">
        <f>IFERROR(INDEX(Thèmes!$D$2:$D$190,MATCH(B9,Thèmes!$A$2:$A$190,0)),"")</f>
        <v/>
      </c>
      <c r="D9" s="68" t="inlineStr">
        <is>
          <t>A02 · Votre zone</t>
        </is>
      </c>
      <c r="E9" s="68" t="inlineStr">
        <is>
          <t>Part du CA faite dans cette zone</t>
        </is>
      </c>
      <c r="F9" s="68" t="inlineStr">
        <is>
          <t>%</t>
        </is>
      </c>
      <c r="G9" s="67" t="inlineStr">
        <is>
          <t>Demandée</t>
        </is>
      </c>
      <c r="H9" s="67" t="inlineStr">
        <is>
          <t>Approfondi</t>
        </is>
      </c>
      <c r="I9" s="68" t="inlineStr">
        <is>
          <t>—</t>
        </is>
      </c>
      <c r="J9" s="68" t="inlineStr">
        <is>
          <t>—</t>
        </is>
      </c>
      <c r="K9" s="67" t="inlineStr">
        <is>
          <t>●</t>
        </is>
      </c>
      <c r="L9" s="67" t="inlineStr">
        <is>
          <t>●</t>
        </is>
      </c>
      <c r="M9" s="67" t="n"/>
      <c r="N9" s="67" t="inlineStr">
        <is>
          <t>●</t>
        </is>
      </c>
      <c r="O9" s="67" t="inlineStr">
        <is>
          <t>●</t>
        </is>
      </c>
      <c r="P9" s="67" t="inlineStr">
        <is>
          <t>●</t>
        </is>
      </c>
      <c r="Q9" s="67" t="inlineStr">
        <is>
          <t>●</t>
        </is>
      </c>
      <c r="R9" s="67" t="inlineStr">
        <is>
          <t>●</t>
        </is>
      </c>
      <c r="S9" s="68" t="inlineStr">
        <is>
          <t>Risque, Levier</t>
        </is>
      </c>
      <c r="T9" s="68" t="inlineStr">
        <is>
          <t>—</t>
        </is>
      </c>
      <c r="U9" s="68" t="inlineStr">
        <is>
          <t>—</t>
        </is>
      </c>
      <c r="V9" s="68" t="inlineStr">
        <is>
          <t>XA31</t>
        </is>
      </c>
      <c r="W9" s="83" t="n"/>
    </row>
    <row r="10" ht="15" customHeight="1" s="53">
      <c r="A10" s="81" t="inlineStr">
        <is>
          <t>ACQ-01.09</t>
        </is>
      </c>
      <c r="B10" s="67" t="inlineStr">
        <is>
          <t>ACQ-01</t>
        </is>
      </c>
      <c r="C10" s="95">
        <f>IFERROR(INDEX(Thèmes!$D$2:$D$190,MATCH(B10,Thèmes!$A$2:$A$190,0)),"")</f>
        <v/>
      </c>
      <c r="D10" s="68" t="inlineStr">
        <is>
          <t>A02 · Votre zone</t>
        </is>
      </c>
      <c r="E10" s="68" t="inlineStr">
        <is>
          <t>Distance maximale acceptée pour une intervention</t>
        </is>
      </c>
      <c r="F10" s="68" t="inlineStr">
        <is>
          <t>km</t>
        </is>
      </c>
      <c r="G10" s="67" t="inlineStr">
        <is>
          <t>Demandée</t>
        </is>
      </c>
      <c r="H10" s="67" t="inlineStr">
        <is>
          <t>Approfondi</t>
        </is>
      </c>
      <c r="I10" s="68" t="inlineStr">
        <is>
          <t>—</t>
        </is>
      </c>
      <c r="J10" s="68" t="inlineStr">
        <is>
          <t>—</t>
        </is>
      </c>
      <c r="K10" s="67" t="n"/>
      <c r="L10" s="67" t="n"/>
      <c r="M10" s="67" t="n"/>
      <c r="N10" s="67" t="n"/>
      <c r="O10" s="67" t="inlineStr">
        <is>
          <t>●</t>
        </is>
      </c>
      <c r="P10" s="67" t="n"/>
      <c r="Q10" s="67" t="n"/>
      <c r="R10" s="67" t="n"/>
      <c r="S10" s="68" t="inlineStr">
        <is>
          <t>Capacité</t>
        </is>
      </c>
      <c r="T10" s="68" t="inlineStr">
        <is>
          <t>—</t>
        </is>
      </c>
      <c r="U10" s="68" t="inlineStr">
        <is>
          <t>—</t>
        </is>
      </c>
      <c r="V10" s="68" t="inlineStr">
        <is>
          <t>XA31</t>
        </is>
      </c>
      <c r="W10" s="83" t="n"/>
    </row>
    <row r="11" ht="23.85" customHeight="1" s="53">
      <c r="A11" s="81" t="inlineStr">
        <is>
          <t>ACQ-01.10</t>
        </is>
      </c>
      <c r="B11" s="67" t="inlineStr">
        <is>
          <t>ACQ-01</t>
        </is>
      </c>
      <c r="C11" s="95">
        <f>IFERROR(INDEX(Thèmes!$D$2:$D$190,MATCH(B11,Thèmes!$A$2:$A$190,0)),"")</f>
        <v/>
      </c>
      <c r="D11" s="68" t="inlineStr">
        <is>
          <t>A02 · Votre zone</t>
        </is>
      </c>
      <c r="E11" s="68" t="inlineStr">
        <is>
          <t>Part des ventes hors de votre région et à l'étranger</t>
        </is>
      </c>
      <c r="F11" s="68" t="inlineStr">
        <is>
          <t>%</t>
        </is>
      </c>
      <c r="G11" s="67" t="inlineStr">
        <is>
          <t>Demandée</t>
        </is>
      </c>
      <c r="H11" s="67" t="inlineStr">
        <is>
          <t>Approfondi</t>
        </is>
      </c>
      <c r="I11" s="68" t="inlineStr">
        <is>
          <t>—</t>
        </is>
      </c>
      <c r="J11" s="68" t="inlineStr">
        <is>
          <t>—</t>
        </is>
      </c>
      <c r="K11" s="67" t="n"/>
      <c r="L11" s="67" t="n"/>
      <c r="M11" s="67" t="inlineStr">
        <is>
          <t>●</t>
        </is>
      </c>
      <c r="N11" s="67" t="n"/>
      <c r="O11" s="67" t="n"/>
      <c r="P11" s="67" t="n"/>
      <c r="Q11" s="67" t="n"/>
      <c r="R11" s="67" t="n"/>
      <c r="S11" s="68" t="inlineStr">
        <is>
          <t>Opportunité</t>
        </is>
      </c>
      <c r="T11" s="68" t="inlineStr">
        <is>
          <t>—</t>
        </is>
      </c>
      <c r="U11" s="68" t="inlineStr">
        <is>
          <t>—</t>
        </is>
      </c>
      <c r="V11" s="68" t="inlineStr">
        <is>
          <t>Lue par l'IA pour adapter le conseil</t>
        </is>
      </c>
      <c r="W11" s="83" t="n"/>
    </row>
    <row r="12" ht="23.85" customHeight="1" s="53">
      <c r="A12" s="81" t="inlineStr">
        <is>
          <t>ACQ-01.11</t>
        </is>
      </c>
      <c r="B12" s="67" t="inlineStr">
        <is>
          <t>ACQ-01</t>
        </is>
      </c>
      <c r="C12" s="95">
        <f>IFERROR(INDEX(Thèmes!$D$2:$D$190,MATCH(B12,Thèmes!$A$2:$A$190,0)),"")</f>
        <v/>
      </c>
      <c r="D12" s="68" t="inlineStr">
        <is>
          <t>—</t>
        </is>
      </c>
      <c r="E12" s="68" t="inlineStr">
        <is>
          <t>CA par type de client</t>
        </is>
      </c>
      <c r="F12" s="68" t="inlineStr">
        <is>
          <t>€</t>
        </is>
      </c>
      <c r="G12" s="96" t="inlineStr">
        <is>
          <t>Calculée</t>
        </is>
      </c>
      <c r="H12" s="67" t="inlineStr">
        <is>
          <t>—</t>
        </is>
      </c>
      <c r="I12" s="68" t="inlineStr">
        <is>
          <t>—</t>
        </is>
      </c>
      <c r="J12" s="68" t="inlineStr">
        <is>
          <t>—</t>
        </is>
      </c>
      <c r="K12" s="67" t="inlineStr">
        <is>
          <t>●</t>
        </is>
      </c>
      <c r="L12" s="67" t="inlineStr">
        <is>
          <t>●</t>
        </is>
      </c>
      <c r="M12" s="67" t="inlineStr">
        <is>
          <t>●</t>
        </is>
      </c>
      <c r="N12" s="67" t="inlineStr">
        <is>
          <t>●</t>
        </is>
      </c>
      <c r="O12" s="67" t="inlineStr">
        <is>
          <t>●</t>
        </is>
      </c>
      <c r="P12" s="67" t="inlineStr">
        <is>
          <t>●</t>
        </is>
      </c>
      <c r="Q12" s="67" t="inlineStr">
        <is>
          <t>●</t>
        </is>
      </c>
      <c r="R12" s="67" t="inlineStr">
        <is>
          <t>●</t>
        </is>
      </c>
      <c r="S12" s="68" t="inlineStr">
        <is>
          <t>Levier</t>
        </is>
      </c>
      <c r="T12" s="68" t="inlineStr">
        <is>
          <t>CA mensuel × 12 × part du CA du type</t>
        </is>
      </c>
      <c r="U12" s="68" t="inlineStr">
        <is>
          <t>Inscription · CA mensuel, ACQ-01.02</t>
        </is>
      </c>
      <c r="V12" s="68" t="inlineStr">
        <is>
          <t>ACQ-01.12</t>
        </is>
      </c>
      <c r="W12" s="83" t="n"/>
    </row>
    <row r="13" ht="15" customHeight="1" s="53">
      <c r="A13" s="81" t="inlineStr">
        <is>
          <t>ACQ-01.12</t>
        </is>
      </c>
      <c r="B13" s="67" t="inlineStr">
        <is>
          <t>ACQ-01</t>
        </is>
      </c>
      <c r="C13" s="95">
        <f>IFERROR(INDEX(Thèmes!$D$2:$D$190,MATCH(B13,Thèmes!$A$2:$A$190,0)),"")</f>
        <v/>
      </c>
      <c r="D13" s="68" t="inlineStr">
        <is>
          <t>—</t>
        </is>
      </c>
      <c r="E13" s="68" t="inlineStr">
        <is>
          <t>Valeur annuelle d'un client, par type</t>
        </is>
      </c>
      <c r="F13" s="68" t="inlineStr">
        <is>
          <t>€</t>
        </is>
      </c>
      <c r="G13" s="96" t="inlineStr">
        <is>
          <t>Calculée</t>
        </is>
      </c>
      <c r="H13" s="67" t="inlineStr">
        <is>
          <t>—</t>
        </is>
      </c>
      <c r="I13" s="68" t="inlineStr">
        <is>
          <t>—</t>
        </is>
      </c>
      <c r="J13" s="68" t="inlineStr">
        <is>
          <t>—</t>
        </is>
      </c>
      <c r="K13" s="67" t="inlineStr">
        <is>
          <t>●</t>
        </is>
      </c>
      <c r="L13" s="67" t="inlineStr">
        <is>
          <t>●</t>
        </is>
      </c>
      <c r="M13" s="67" t="inlineStr">
        <is>
          <t>●</t>
        </is>
      </c>
      <c r="N13" s="67" t="inlineStr">
        <is>
          <t>●</t>
        </is>
      </c>
      <c r="O13" s="67" t="inlineStr">
        <is>
          <t>●</t>
        </is>
      </c>
      <c r="P13" s="67" t="inlineStr">
        <is>
          <t>●</t>
        </is>
      </c>
      <c r="Q13" s="67" t="inlineStr">
        <is>
          <t>●</t>
        </is>
      </c>
      <c r="R13" s="67" t="inlineStr">
        <is>
          <t>●</t>
        </is>
      </c>
      <c r="S13" s="68" t="inlineStr">
        <is>
          <t>Levier</t>
        </is>
      </c>
      <c r="T13" s="68" t="inlineStr">
        <is>
          <t>CA du type ÷ clients du type</t>
        </is>
      </c>
      <c r="U13" s="68" t="inlineStr">
        <is>
          <t>ACQ-01.11, ACQ-01.03</t>
        </is>
      </c>
      <c r="V13" s="68" t="inlineStr">
        <is>
          <t>ACQ-01.13, COM-02.02, XA32</t>
        </is>
      </c>
      <c r="W13" s="83" t="n"/>
    </row>
    <row r="14" ht="15" customHeight="1" s="53">
      <c r="A14" s="81" t="inlineStr">
        <is>
          <t>ACQ-01.13</t>
        </is>
      </c>
      <c r="B14" s="67" t="inlineStr">
        <is>
          <t>ACQ-01</t>
        </is>
      </c>
      <c r="C14" s="95">
        <f>IFERROR(INDEX(Thèmes!$D$2:$D$190,MATCH(B14,Thèmes!$A$2:$A$190,0)),"")</f>
        <v/>
      </c>
      <c r="D14" s="68" t="inlineStr">
        <is>
          <t>—</t>
        </is>
      </c>
      <c r="E14" s="68" t="inlineStr">
        <is>
          <t>Panier moyen par type</t>
        </is>
      </c>
      <c r="F14" s="68" t="inlineStr">
        <is>
          <t>€</t>
        </is>
      </c>
      <c r="G14" s="96" t="inlineStr">
        <is>
          <t>Calculée</t>
        </is>
      </c>
      <c r="H14" s="67" t="inlineStr">
        <is>
          <t>—</t>
        </is>
      </c>
      <c r="I14" s="68" t="inlineStr">
        <is>
          <t>—</t>
        </is>
      </c>
      <c r="J14" s="68" t="inlineStr">
        <is>
          <t>—</t>
        </is>
      </c>
      <c r="K14" s="67" t="inlineStr">
        <is>
          <t>●</t>
        </is>
      </c>
      <c r="L14" s="67" t="inlineStr">
        <is>
          <t>●</t>
        </is>
      </c>
      <c r="M14" s="67" t="inlineStr">
        <is>
          <t>●</t>
        </is>
      </c>
      <c r="N14" s="67" t="inlineStr">
        <is>
          <t>●</t>
        </is>
      </c>
      <c r="O14" s="67" t="inlineStr">
        <is>
          <t>●</t>
        </is>
      </c>
      <c r="P14" s="67" t="inlineStr">
        <is>
          <t>●</t>
        </is>
      </c>
      <c r="Q14" s="67" t="inlineStr">
        <is>
          <t>●</t>
        </is>
      </c>
      <c r="R14" s="67" t="inlineStr">
        <is>
          <t>●</t>
        </is>
      </c>
      <c r="S14" s="68" t="inlineStr">
        <is>
          <t>Levier</t>
        </is>
      </c>
      <c r="T14" s="68" t="inlineStr">
        <is>
          <t>Valeur annuelle d'un client ÷ achats par an</t>
        </is>
      </c>
      <c r="U14" s="68" t="inlineStr">
        <is>
          <t>ACQ-01.12, ACQ-01.04</t>
        </is>
      </c>
      <c r="V14" s="68" t="inlineStr">
        <is>
          <t>Affichée dans le rapport</t>
        </is>
      </c>
      <c r="W14" s="83" t="n"/>
    </row>
    <row r="15" ht="15" customHeight="1" s="53">
      <c r="A15" s="81" t="inlineStr">
        <is>
          <t>ACQ-01.14</t>
        </is>
      </c>
      <c r="B15" s="67" t="inlineStr">
        <is>
          <t>ACQ-01</t>
        </is>
      </c>
      <c r="C15" s="95">
        <f>IFERROR(INDEX(Thèmes!$D$2:$D$190,MATCH(B15,Thèmes!$A$2:$A$190,0)),"")</f>
        <v/>
      </c>
      <c r="D15" s="68" t="inlineStr">
        <is>
          <t>—</t>
        </is>
      </c>
      <c r="E15" s="68" t="inlineStr">
        <is>
          <t>Distance médiane des clients</t>
        </is>
      </c>
      <c r="F15" s="68" t="inlineStr">
        <is>
          <t>Tranche de km</t>
        </is>
      </c>
      <c r="G15" s="96" t="inlineStr">
        <is>
          <t>Calculée</t>
        </is>
      </c>
      <c r="H15" s="67" t="inlineStr">
        <is>
          <t>—</t>
        </is>
      </c>
      <c r="I15" s="68" t="inlineStr">
        <is>
          <t>—</t>
        </is>
      </c>
      <c r="J15" s="68" t="inlineStr">
        <is>
          <t>—</t>
        </is>
      </c>
      <c r="K15" s="67" t="inlineStr">
        <is>
          <t>●</t>
        </is>
      </c>
      <c r="L15" s="67" t="inlineStr">
        <is>
          <t>●</t>
        </is>
      </c>
      <c r="M15" s="67" t="n"/>
      <c r="N15" s="67" t="inlineStr">
        <is>
          <t>●</t>
        </is>
      </c>
      <c r="O15" s="67" t="inlineStr">
        <is>
          <t>●</t>
        </is>
      </c>
      <c r="P15" s="67" t="inlineStr">
        <is>
          <t>●</t>
        </is>
      </c>
      <c r="Q15" s="67" t="inlineStr">
        <is>
          <t>●</t>
        </is>
      </c>
      <c r="R15" s="67" t="inlineStr">
        <is>
          <t>●</t>
        </is>
      </c>
      <c r="S15" s="68" t="inlineStr">
        <is>
          <t>Cible</t>
        </is>
      </c>
      <c r="T15" s="68" t="inlineStr">
        <is>
          <t>Tranche dans laquelle on atteint 50 % des clients</t>
        </is>
      </c>
      <c r="U15" s="68" t="inlineStr">
        <is>
          <t>ACQ-01.06</t>
        </is>
      </c>
      <c r="V15" s="68" t="inlineStr">
        <is>
          <t>XA31</t>
        </is>
      </c>
      <c r="W15" s="83" t="n"/>
    </row>
    <row r="16" ht="23.85" customHeight="1" s="53">
      <c r="A16" s="81" t="inlineStr">
        <is>
          <t>ACQ-01.15</t>
        </is>
      </c>
      <c r="B16" s="67" t="inlineStr">
        <is>
          <t>ACQ-01</t>
        </is>
      </c>
      <c r="C16" s="95">
        <f>IFERROR(INDEX(Thèmes!$D$2:$D$190,MATCH(B16,Thèmes!$A$2:$A$190,0)),"")</f>
        <v/>
      </c>
      <c r="D16" s="68" t="inlineStr">
        <is>
          <t>—</t>
        </is>
      </c>
      <c r="E16" s="68" t="inlineStr">
        <is>
          <t>Marge par type de client</t>
        </is>
      </c>
      <c r="F16" s="68" t="inlineStr">
        <is>
          <t>%</t>
        </is>
      </c>
      <c r="G16" s="66" t="inlineStr">
        <is>
          <t>Autre agent</t>
        </is>
      </c>
      <c r="H16" s="67" t="inlineStr">
        <is>
          <t>—</t>
        </is>
      </c>
      <c r="I16" s="68" t="inlineStr">
        <is>
          <t>—</t>
        </is>
      </c>
      <c r="J16" s="68" t="inlineStr">
        <is>
          <t>—</t>
        </is>
      </c>
      <c r="K16" s="67" t="inlineStr">
        <is>
          <t>●</t>
        </is>
      </c>
      <c r="L16" s="67" t="inlineStr">
        <is>
          <t>●</t>
        </is>
      </c>
      <c r="M16" s="67" t="inlineStr">
        <is>
          <t>●</t>
        </is>
      </c>
      <c r="N16" s="67" t="inlineStr">
        <is>
          <t>●</t>
        </is>
      </c>
      <c r="O16" s="67" t="inlineStr">
        <is>
          <t>●</t>
        </is>
      </c>
      <c r="P16" s="67" t="inlineStr">
        <is>
          <t>●</t>
        </is>
      </c>
      <c r="Q16" s="67" t="inlineStr">
        <is>
          <t>●</t>
        </is>
      </c>
      <c r="R16" s="67" t="inlineStr">
        <is>
          <t>●</t>
        </is>
      </c>
      <c r="S16" s="68" t="inlineStr">
        <is>
          <t>Levier</t>
        </is>
      </c>
      <c r="T16" s="68" t="inlineStr">
        <is>
          <t>Posée par l'agent Finance (FIN-02) ; lue ici si cet agent est souscrit</t>
        </is>
      </c>
      <c r="U16" s="68" t="inlineStr">
        <is>
          <t>FIN-02</t>
        </is>
      </c>
      <c r="V16" s="68" t="inlineStr">
        <is>
          <t>Affichée dans le rapport</t>
        </is>
      </c>
      <c r="W16" s="83" t="n"/>
    </row>
    <row r="17" ht="68.65000000000001" customHeight="1" s="53">
      <c r="A17" s="85" t="inlineStr">
        <is>
          <t>ACQ-02.01</t>
        </is>
      </c>
      <c r="B17" s="89" t="inlineStr">
        <is>
          <t>ACQ-02</t>
        </is>
      </c>
      <c r="C17" s="97">
        <f>IFERROR(INDEX(Thèmes!$D$2:$D$190,MATCH(B17,Thèmes!$A$2:$A$190,0)),"")</f>
        <v/>
      </c>
      <c r="D17" s="86" t="inlineStr">
        <is>
          <t>A03 · Vos demandes</t>
        </is>
      </c>
      <c r="E17" s="86" t="inlineStr">
        <is>
          <t>Demandes reçues par mois, moyenne des 3 derniers mois (mot adapté au métier : voir onglet Lexique)</t>
        </is>
      </c>
      <c r="F17" s="86" t="inlineStr">
        <is>
          <t>Nombre</t>
        </is>
      </c>
      <c r="G17" s="89" t="inlineStr">
        <is>
          <t>Demandée</t>
        </is>
      </c>
      <c r="H17" s="89" t="inlineStr">
        <is>
          <t>Essentiel</t>
        </is>
      </c>
      <c r="I17" s="86" t="inlineStr">
        <is>
          <t>—</t>
        </is>
      </c>
      <c r="J17" s="86" t="inlineStr">
        <is>
          <t>Période adaptée : depuis la création si moins de 3 mois</t>
        </is>
      </c>
      <c r="K17" s="89" t="inlineStr">
        <is>
          <t>●</t>
        </is>
      </c>
      <c r="L17" s="89" t="inlineStr">
        <is>
          <t>●</t>
        </is>
      </c>
      <c r="M17" s="89" t="inlineStr">
        <is>
          <t>●</t>
        </is>
      </c>
      <c r="N17" s="89" t="inlineStr">
        <is>
          <t>●</t>
        </is>
      </c>
      <c r="O17" s="89" t="inlineStr">
        <is>
          <t>●</t>
        </is>
      </c>
      <c r="P17" s="89" t="inlineStr">
        <is>
          <t>●</t>
        </is>
      </c>
      <c r="Q17" s="89" t="inlineStr">
        <is>
          <t>●</t>
        </is>
      </c>
      <c r="R17" s="89" t="inlineStr">
        <is>
          <t>●</t>
        </is>
      </c>
      <c r="S17" s="86" t="inlineStr">
        <is>
          <t>Parcours, Problème</t>
        </is>
      </c>
      <c r="T17" s="86" t="inlineStr">
        <is>
          <t>—</t>
        </is>
      </c>
      <c r="U17" s="86" t="inlineStr">
        <is>
          <t>—</t>
        </is>
      </c>
      <c r="V17" s="86" t="inlineStr">
        <is>
          <t>ACQ-02.06, ACQ-02.07, ACQ-02.08, ACQ-07.09, ACQ-08.08, ACQ-11.19, ACQ-11.24, ACQ-11.28, COM-13.07, COM-13.08, COM-13.09, XA03, XA38, XA41</t>
        </is>
      </c>
      <c r="W17" s="91" t="n"/>
    </row>
    <row r="18" ht="35.05" customHeight="1" s="53">
      <c r="A18" s="81" t="inlineStr">
        <is>
          <t>ACQ-02.02</t>
        </is>
      </c>
      <c r="B18" s="67" t="inlineStr">
        <is>
          <t>ACQ-02</t>
        </is>
      </c>
      <c r="C18" s="95">
        <f>IFERROR(INDEX(Thèmes!$D$2:$D$190,MATCH(B18,Thèmes!$A$2:$A$190,0)),"")</f>
        <v/>
      </c>
      <c r="D18" s="68" t="inlineStr">
        <is>
          <t>A03 · Vos demandes</t>
        </is>
      </c>
      <c r="E18" s="68" t="inlineStr">
        <is>
          <t>Même chiffre il y a 6 mois</t>
        </is>
      </c>
      <c r="F18" s="68" t="inlineStr">
        <is>
          <t>Nombre</t>
        </is>
      </c>
      <c r="G18" s="67" t="inlineStr">
        <is>
          <t>Demandée</t>
        </is>
      </c>
      <c r="H18" s="67" t="inlineStr">
        <is>
          <t>Essentiel</t>
        </is>
      </c>
      <c r="I18" s="68" t="inlineStr">
        <is>
          <t>—</t>
        </is>
      </c>
      <c r="J18" s="68" t="inlineStr">
        <is>
          <t>3 mois, 6 mois plus tôt (masquée avant 9 mois d'existence)</t>
        </is>
      </c>
      <c r="K18" s="67" t="inlineStr">
        <is>
          <t>●</t>
        </is>
      </c>
      <c r="L18" s="67" t="inlineStr">
        <is>
          <t>●</t>
        </is>
      </c>
      <c r="M18" s="67" t="inlineStr">
        <is>
          <t>●</t>
        </is>
      </c>
      <c r="N18" s="67" t="inlineStr">
        <is>
          <t>●</t>
        </is>
      </c>
      <c r="O18" s="67" t="inlineStr">
        <is>
          <t>●</t>
        </is>
      </c>
      <c r="P18" s="67" t="inlineStr">
        <is>
          <t>●</t>
        </is>
      </c>
      <c r="Q18" s="67" t="inlineStr">
        <is>
          <t>●</t>
        </is>
      </c>
      <c r="R18" s="67" t="inlineStr">
        <is>
          <t>●</t>
        </is>
      </c>
      <c r="S18" s="68" t="inlineStr">
        <is>
          <t>Problème</t>
        </is>
      </c>
      <c r="T18" s="68" t="inlineStr">
        <is>
          <t>—</t>
        </is>
      </c>
      <c r="U18" s="68" t="inlineStr">
        <is>
          <t>—</t>
        </is>
      </c>
      <c r="V18" s="68" t="inlineStr">
        <is>
          <t>ACQ-02.06</t>
        </is>
      </c>
      <c r="W18" s="83" t="n"/>
    </row>
    <row r="19" ht="35.05" customHeight="1" s="53">
      <c r="A19" s="81" t="inlineStr">
        <is>
          <t>ACQ-02.03</t>
        </is>
      </c>
      <c r="B19" s="67" t="inlineStr">
        <is>
          <t>ACQ-02</t>
        </is>
      </c>
      <c r="C19" s="95">
        <f>IFERROR(INDEX(Thèmes!$D$2:$D$190,MATCH(B19,Thèmes!$A$2:$A$190,0)),"")</f>
        <v/>
      </c>
      <c r="D19" s="68" t="inlineStr">
        <is>
          <t>A03 · Vos demandes</t>
        </is>
      </c>
      <c r="E19" s="68" t="inlineStr">
        <is>
          <t>Même chiffre il y a 12 mois (même saison)</t>
        </is>
      </c>
      <c r="F19" s="68" t="inlineStr">
        <is>
          <t>Nombre</t>
        </is>
      </c>
      <c r="G19" s="67" t="inlineStr">
        <is>
          <t>Demandée</t>
        </is>
      </c>
      <c r="H19" s="67" t="inlineStr">
        <is>
          <t>Essentiel</t>
        </is>
      </c>
      <c r="I19" s="68" t="inlineStr">
        <is>
          <t>—</t>
        </is>
      </c>
      <c r="J19" s="68" t="inlineStr">
        <is>
          <t>Mêmes 3 mois, un an plus tôt (masquée avant 15 mois d'existence)</t>
        </is>
      </c>
      <c r="K19" s="67" t="inlineStr">
        <is>
          <t>●</t>
        </is>
      </c>
      <c r="L19" s="67" t="inlineStr">
        <is>
          <t>●</t>
        </is>
      </c>
      <c r="M19" s="67" t="inlineStr">
        <is>
          <t>●</t>
        </is>
      </c>
      <c r="N19" s="67" t="inlineStr">
        <is>
          <t>●</t>
        </is>
      </c>
      <c r="O19" s="67" t="inlineStr">
        <is>
          <t>●</t>
        </is>
      </c>
      <c r="P19" s="67" t="inlineStr">
        <is>
          <t>●</t>
        </is>
      </c>
      <c r="Q19" s="67" t="inlineStr">
        <is>
          <t>●</t>
        </is>
      </c>
      <c r="R19" s="67" t="inlineStr">
        <is>
          <t>●</t>
        </is>
      </c>
      <c r="S19" s="68" t="inlineStr">
        <is>
          <t>Problème</t>
        </is>
      </c>
      <c r="T19" s="68" t="inlineStr">
        <is>
          <t>—</t>
        </is>
      </c>
      <c r="U19" s="68" t="inlineStr">
        <is>
          <t>—</t>
        </is>
      </c>
      <c r="V19" s="68" t="inlineStr">
        <is>
          <t>ACQ-02.06</t>
        </is>
      </c>
      <c r="W19" s="83" t="n"/>
    </row>
    <row r="20" ht="23.85" customHeight="1" s="53">
      <c r="A20" s="81" t="inlineStr">
        <is>
          <t>ACQ-02.04</t>
        </is>
      </c>
      <c r="B20" s="67" t="inlineStr">
        <is>
          <t>ACQ-02</t>
        </is>
      </c>
      <c r="C20" s="95">
        <f>IFERROR(INDEX(Thèmes!$D$2:$D$190,MATCH(B20,Thèmes!$A$2:$A$190,0)),"")</f>
        <v/>
      </c>
      <c r="D20" s="68" t="inlineStr">
        <is>
          <t>A03 · Vos demandes</t>
        </is>
      </c>
      <c r="E20" s="68" t="inlineStr">
        <is>
          <t>Demandes qualifiées par mois (dans votre zone, votre offre et votre gamme de prix)</t>
        </is>
      </c>
      <c r="F20" s="68" t="inlineStr">
        <is>
          <t>Nombre ou %</t>
        </is>
      </c>
      <c r="G20" s="67" t="inlineStr">
        <is>
          <t>Demandée</t>
        </is>
      </c>
      <c r="H20" s="67" t="inlineStr">
        <is>
          <t>Essentiel</t>
        </is>
      </c>
      <c r="I20" s="68" t="inlineStr">
        <is>
          <t>—</t>
        </is>
      </c>
      <c r="J20" s="68" t="inlineStr">
        <is>
          <t>—</t>
        </is>
      </c>
      <c r="K20" s="67" t="inlineStr">
        <is>
          <t>●</t>
        </is>
      </c>
      <c r="L20" s="67" t="n"/>
      <c r="M20" s="67" t="n"/>
      <c r="N20" s="67" t="n"/>
      <c r="O20" s="67" t="inlineStr">
        <is>
          <t>●</t>
        </is>
      </c>
      <c r="P20" s="67" t="inlineStr">
        <is>
          <t>●</t>
        </is>
      </c>
      <c r="Q20" s="67" t="inlineStr">
        <is>
          <t>●</t>
        </is>
      </c>
      <c r="R20" s="67" t="n"/>
      <c r="S20" s="68" t="inlineStr">
        <is>
          <t>Problème, Parcours</t>
        </is>
      </c>
      <c r="T20" s="68" t="inlineStr">
        <is>
          <t>—</t>
        </is>
      </c>
      <c r="U20" s="68" t="inlineStr">
        <is>
          <t>—</t>
        </is>
      </c>
      <c r="V20" s="68" t="inlineStr">
        <is>
          <t>ACQ-02.07, ACQ-11.21</t>
        </is>
      </c>
      <c r="W20" s="83" t="n"/>
    </row>
    <row r="21" ht="23.85" customHeight="1" s="53">
      <c r="A21" s="81" t="inlineStr">
        <is>
          <t>ACQ-02.05</t>
        </is>
      </c>
      <c r="B21" s="67" t="inlineStr">
        <is>
          <t>ACQ-02</t>
        </is>
      </c>
      <c r="C21" s="95">
        <f>IFERROR(INDEX(Thèmes!$D$2:$D$190,MATCH(B21,Thèmes!$A$2:$A$190,0)),"")</f>
        <v/>
      </c>
      <c r="D21" s="68" t="inlineStr">
        <is>
          <t>A03 · Vos demandes</t>
        </is>
      </c>
      <c r="E21" s="68" t="inlineStr">
        <is>
          <t>Motif principal des demandes non qualifiées : hors zone, budget trop faible, hors offre, simple curiosité</t>
        </is>
      </c>
      <c r="F21" s="68" t="inlineStr">
        <is>
          <t>Choix</t>
        </is>
      </c>
      <c r="G21" s="67" t="inlineStr">
        <is>
          <t>Demandée</t>
        </is>
      </c>
      <c r="H21" s="67" t="inlineStr">
        <is>
          <t>Approfondi</t>
        </is>
      </c>
      <c r="I21" s="68" t="inlineStr">
        <is>
          <t>—</t>
        </is>
      </c>
      <c r="J21" s="68" t="inlineStr">
        <is>
          <t>—</t>
        </is>
      </c>
      <c r="K21" s="67" t="inlineStr">
        <is>
          <t>●</t>
        </is>
      </c>
      <c r="L21" s="67" t="n"/>
      <c r="M21" s="67" t="n"/>
      <c r="N21" s="67" t="n"/>
      <c r="O21" s="67" t="inlineStr">
        <is>
          <t>●</t>
        </is>
      </c>
      <c r="P21" s="67" t="inlineStr">
        <is>
          <t>●</t>
        </is>
      </c>
      <c r="Q21" s="67" t="inlineStr">
        <is>
          <t>●</t>
        </is>
      </c>
      <c r="R21" s="67" t="n"/>
      <c r="S21" s="68" t="inlineStr">
        <is>
          <t>Levier</t>
        </is>
      </c>
      <c r="T21" s="68" t="inlineStr">
        <is>
          <t>—</t>
        </is>
      </c>
      <c r="U21" s="68" t="inlineStr">
        <is>
          <t>—</t>
        </is>
      </c>
      <c r="V21" s="68" t="inlineStr">
        <is>
          <t>DC04</t>
        </is>
      </c>
      <c r="W21" s="83" t="n"/>
    </row>
    <row r="22" ht="23.85" customHeight="1" s="53">
      <c r="A22" s="81" t="inlineStr">
        <is>
          <t>ACQ-02.06</t>
        </is>
      </c>
      <c r="B22" s="67" t="inlineStr">
        <is>
          <t>ACQ-02</t>
        </is>
      </c>
      <c r="C22" s="95">
        <f>IFERROR(INDEX(Thèmes!$D$2:$D$190,MATCH(B22,Thèmes!$A$2:$A$190,0)),"")</f>
        <v/>
      </c>
      <c r="D22" s="68" t="inlineStr">
        <is>
          <t>—</t>
        </is>
      </c>
      <c r="E22" s="68" t="inlineStr">
        <is>
          <t>Évolution des demandes sur 6 et 12 mois</t>
        </is>
      </c>
      <c r="F22" s="68" t="inlineStr">
        <is>
          <t>%</t>
        </is>
      </c>
      <c r="G22" s="96" t="inlineStr">
        <is>
          <t>Calculée</t>
        </is>
      </c>
      <c r="H22" s="67" t="inlineStr">
        <is>
          <t>—</t>
        </is>
      </c>
      <c r="I22" s="68" t="inlineStr">
        <is>
          <t>—</t>
        </is>
      </c>
      <c r="J22" s="68" t="inlineStr">
        <is>
          <t>—</t>
        </is>
      </c>
      <c r="K22" s="67" t="inlineStr">
        <is>
          <t>●</t>
        </is>
      </c>
      <c r="L22" s="67" t="inlineStr">
        <is>
          <t>●</t>
        </is>
      </c>
      <c r="M22" s="67" t="inlineStr">
        <is>
          <t>●</t>
        </is>
      </c>
      <c r="N22" s="67" t="inlineStr">
        <is>
          <t>●</t>
        </is>
      </c>
      <c r="O22" s="67" t="inlineStr">
        <is>
          <t>●</t>
        </is>
      </c>
      <c r="P22" s="67" t="inlineStr">
        <is>
          <t>●</t>
        </is>
      </c>
      <c r="Q22" s="67" t="inlineStr">
        <is>
          <t>●</t>
        </is>
      </c>
      <c r="R22" s="67" t="inlineStr">
        <is>
          <t>●</t>
        </is>
      </c>
      <c r="S22" s="68" t="inlineStr">
        <is>
          <t>Problème</t>
        </is>
      </c>
      <c r="T22" s="68" t="inlineStr">
        <is>
          <t>(Moyenne par mois des 3 derniers mois − moyenne par mois des mêmes 3 mois, 6 mois ou un an plus tôt) ÷ cette dernière. Non calculée si les deux réponses ne portent pas sur des mois alignés, ou si le périmètre de l'activité a changé entre les deux périodes (ACQ-23.13).</t>
        </is>
      </c>
      <c r="U22" s="68" t="inlineStr">
        <is>
          <t>ACQ-02.01, ACQ-02.02, ACQ-02.03, ACQ-23.13</t>
        </is>
      </c>
      <c r="V22" s="68" t="inlineStr">
        <is>
          <t>COM-32.07, XA30, XC07</t>
        </is>
      </c>
      <c r="W22" s="83" t="n"/>
    </row>
    <row r="23" ht="15" customHeight="1" s="53">
      <c r="A23" s="81" t="inlineStr">
        <is>
          <t>ACQ-02.07</t>
        </is>
      </c>
      <c r="B23" s="67" t="inlineStr">
        <is>
          <t>ACQ-02</t>
        </is>
      </c>
      <c r="C23" s="95">
        <f>IFERROR(INDEX(Thèmes!$D$2:$D$190,MATCH(B23,Thèmes!$A$2:$A$190,0)),"")</f>
        <v/>
      </c>
      <c r="D23" s="68" t="inlineStr">
        <is>
          <t>—</t>
        </is>
      </c>
      <c r="E23" s="68" t="inlineStr">
        <is>
          <t>Part des demandes qualifiées</t>
        </is>
      </c>
      <c r="F23" s="68" t="inlineStr">
        <is>
          <t>%</t>
        </is>
      </c>
      <c r="G23" s="96" t="inlineStr">
        <is>
          <t>Calculée</t>
        </is>
      </c>
      <c r="H23" s="67" t="inlineStr">
        <is>
          <t>—</t>
        </is>
      </c>
      <c r="I23" s="68" t="inlineStr">
        <is>
          <t>—</t>
        </is>
      </c>
      <c r="J23" s="68" t="inlineStr">
        <is>
          <t>—</t>
        </is>
      </c>
      <c r="K23" s="67" t="inlineStr">
        <is>
          <t>●</t>
        </is>
      </c>
      <c r="L23" s="67" t="n"/>
      <c r="M23" s="67" t="n"/>
      <c r="N23" s="67" t="n"/>
      <c r="O23" s="67" t="inlineStr">
        <is>
          <t>●</t>
        </is>
      </c>
      <c r="P23" s="67" t="inlineStr">
        <is>
          <t>●</t>
        </is>
      </c>
      <c r="Q23" s="67" t="inlineStr">
        <is>
          <t>●</t>
        </is>
      </c>
      <c r="R23" s="67" t="n"/>
      <c r="S23" s="68" t="inlineStr">
        <is>
          <t>Problème</t>
        </is>
      </c>
      <c r="T23" s="68" t="inlineStr">
        <is>
          <t>Demandes qualifiées ÷ demandes reçues</t>
        </is>
      </c>
      <c r="U23" s="68" t="inlineStr">
        <is>
          <t>ACQ-02.04, ACQ-02.01</t>
        </is>
      </c>
      <c r="V23" s="68" t="inlineStr">
        <is>
          <t>XA02</t>
        </is>
      </c>
      <c r="W23" s="83" t="n"/>
    </row>
    <row r="24" ht="15" customHeight="1" s="53">
      <c r="A24" s="81" t="inlineStr">
        <is>
          <t>ACQ-02.08</t>
        </is>
      </c>
      <c r="B24" s="67" t="inlineStr">
        <is>
          <t>ACQ-02</t>
        </is>
      </c>
      <c r="C24" s="95">
        <f>IFERROR(INDEX(Thèmes!$D$2:$D$190,MATCH(B24,Thèmes!$A$2:$A$190,0)),"")</f>
        <v/>
      </c>
      <c r="D24" s="68" t="inlineStr">
        <is>
          <t>—</t>
        </is>
      </c>
      <c r="E24" s="68" t="inlineStr">
        <is>
          <t>Taux demande → rendez-vous</t>
        </is>
      </c>
      <c r="F24" s="68" t="inlineStr">
        <is>
          <t>%</t>
        </is>
      </c>
      <c r="G24" s="96" t="inlineStr">
        <is>
          <t>Calculée</t>
        </is>
      </c>
      <c r="H24" s="67" t="inlineStr">
        <is>
          <t>—</t>
        </is>
      </c>
      <c r="I24" s="68" t="inlineStr">
        <is>
          <t>—</t>
        </is>
      </c>
      <c r="J24" s="68" t="inlineStr">
        <is>
          <t>—</t>
        </is>
      </c>
      <c r="K24" s="67" t="inlineStr">
        <is>
          <t>●</t>
        </is>
      </c>
      <c r="L24" s="67" t="n"/>
      <c r="M24" s="67" t="n"/>
      <c r="N24" s="67" t="n"/>
      <c r="O24" s="67" t="inlineStr">
        <is>
          <t>●</t>
        </is>
      </c>
      <c r="P24" s="67" t="inlineStr">
        <is>
          <t>●</t>
        </is>
      </c>
      <c r="Q24" s="67" t="n"/>
      <c r="R24" s="67" t="n"/>
      <c r="S24" s="68" t="inlineStr">
        <is>
          <t>Parcours</t>
        </is>
      </c>
      <c r="T24" s="68" t="inlineStr">
        <is>
          <t>Rendez-vous obtenus ÷ demandes reçues</t>
        </is>
      </c>
      <c r="U24" s="68" t="inlineStr">
        <is>
          <t>ACQ-09.01, ACQ-02.01</t>
        </is>
      </c>
      <c r="V24" s="68" t="inlineStr">
        <is>
          <t>XA02</t>
        </is>
      </c>
      <c r="W24" s="83" t="n"/>
    </row>
    <row r="25" ht="35.05" customHeight="1" s="53">
      <c r="A25" s="81" t="inlineStr">
        <is>
          <t>ACQ-02.09</t>
        </is>
      </c>
      <c r="B25" s="67" t="inlineStr">
        <is>
          <t>ACQ-02</t>
        </is>
      </c>
      <c r="C25" s="95">
        <f>IFERROR(INDEX(Thèmes!$D$2:$D$190,MATCH(B25,Thèmes!$A$2:$A$190,0)),"")</f>
        <v/>
      </c>
      <c r="D25" s="68" t="inlineStr">
        <is>
          <t>—</t>
        </is>
      </c>
      <c r="E25" s="68" t="inlineStr">
        <is>
          <t>Valeur d'une demande reçue</t>
        </is>
      </c>
      <c r="F25" s="68" t="inlineStr">
        <is>
          <t>€</t>
        </is>
      </c>
      <c r="G25" s="96" t="inlineStr">
        <is>
          <t>Calculée</t>
        </is>
      </c>
      <c r="H25" s="67" t="inlineStr">
        <is>
          <t>—</t>
        </is>
      </c>
      <c r="I25" s="68" t="inlineStr">
        <is>
          <t>—</t>
        </is>
      </c>
      <c r="J25" s="68" t="inlineStr">
        <is>
          <t>—</t>
        </is>
      </c>
      <c r="K25" s="67" t="inlineStr">
        <is>
          <t>●</t>
        </is>
      </c>
      <c r="L25" s="67" t="inlineStr">
        <is>
          <t>●</t>
        </is>
      </c>
      <c r="M25" s="67" t="inlineStr">
        <is>
          <t>●</t>
        </is>
      </c>
      <c r="N25" s="67" t="inlineStr">
        <is>
          <t>●</t>
        </is>
      </c>
      <c r="O25" s="67" t="inlineStr">
        <is>
          <t>●</t>
        </is>
      </c>
      <c r="P25" s="67" t="inlineStr">
        <is>
          <t>●</t>
        </is>
      </c>
      <c r="Q25" s="67" t="inlineStr">
        <is>
          <t>●</t>
        </is>
      </c>
      <c r="R25" s="67" t="n"/>
      <c r="S25" s="68" t="inlineStr">
        <is>
          <t>Potentiel CA</t>
        </is>
      </c>
      <c r="T25" s="68" t="inlineStr">
        <is>
          <t>Taux de transformation × montant du premier achat (commerce, restaurant, e-commerce : taux de transformation × panier moyen)</t>
        </is>
      </c>
      <c r="U25" s="68" t="inlineStr">
        <is>
          <t>ACQ-11.19, ACQ-11.03, ACQ-11.24, ACQ-11.28, ACQ-15.06</t>
        </is>
      </c>
      <c r="V25" s="68" t="inlineStr">
        <is>
          <t>ACQ-08.09, ACQ-22.15, ACQ-22.18, XA01, XA05</t>
        </is>
      </c>
      <c r="W25" s="83" t="n"/>
    </row>
    <row r="26" ht="57.45" customHeight="1" s="53">
      <c r="A26" s="98" t="inlineStr">
        <is>
          <t>ACQ-03.01</t>
        </is>
      </c>
      <c r="B26" s="89" t="inlineStr">
        <is>
          <t>ACQ-03</t>
        </is>
      </c>
      <c r="C26" s="97">
        <f>IFERROR(INDEX(Thèmes!$D$2:$D$190,MATCH(B26,Thèmes!$A$2:$A$190,0)),"")</f>
        <v/>
      </c>
      <c r="D26" s="86" t="inlineStr">
        <is>
          <t>A04 · Vos canaux (tableau)</t>
        </is>
      </c>
      <c r="E26" s="86" t="inlineStr">
        <is>
          <t>Canaux qui amènent des clients : bouche-à-oreille, fiche Google, site, réseaux sociaux, publicité, plateformes, partenaires, prospection, passage, salons — partagée avec Comm (COM-12.01) : posée par le premier agent qui en a besoin</t>
        </is>
      </c>
      <c r="F26" s="86" t="inlineStr">
        <is>
          <t>Liste (une ligne par canal)</t>
        </is>
      </c>
      <c r="G26" s="89" t="inlineStr">
        <is>
          <t>Demandée</t>
        </is>
      </c>
      <c r="H26" s="89" t="inlineStr">
        <is>
          <t>Essentiel</t>
        </is>
      </c>
      <c r="I26" s="86" t="inlineStr">
        <is>
          <t>—</t>
        </is>
      </c>
      <c r="J26" s="86" t="inlineStr">
        <is>
          <t>—</t>
        </is>
      </c>
      <c r="K26" s="89" t="inlineStr">
        <is>
          <t>●</t>
        </is>
      </c>
      <c r="L26" s="89" t="inlineStr">
        <is>
          <t>●</t>
        </is>
      </c>
      <c r="M26" s="89" t="inlineStr">
        <is>
          <t>●</t>
        </is>
      </c>
      <c r="N26" s="89" t="inlineStr">
        <is>
          <t>●</t>
        </is>
      </c>
      <c r="O26" s="89" t="inlineStr">
        <is>
          <t>●</t>
        </is>
      </c>
      <c r="P26" s="89" t="inlineStr">
        <is>
          <t>●</t>
        </is>
      </c>
      <c r="Q26" s="89" t="inlineStr">
        <is>
          <t>●</t>
        </is>
      </c>
      <c r="R26" s="89" t="inlineStr">
        <is>
          <t>●</t>
        </is>
      </c>
      <c r="S26" s="86" t="inlineStr">
        <is>
          <t>Parcours</t>
        </is>
      </c>
      <c r="T26" s="86" t="inlineStr">
        <is>
          <t>—</t>
        </is>
      </c>
      <c r="U26" s="86" t="inlineStr">
        <is>
          <t>—</t>
        </is>
      </c>
      <c r="V26" s="86" t="inlineStr">
        <is>
          <t>COM-12.02</t>
        </is>
      </c>
      <c r="W26" s="91" t="inlineStr">
        <is>
          <t>Libellé (« Donnée »)</t>
        </is>
      </c>
    </row>
    <row r="27" ht="35.05" customHeight="1" s="53">
      <c r="A27" s="94" t="inlineStr">
        <is>
          <t>ACQ-03.02</t>
        </is>
      </c>
      <c r="B27" s="67" t="inlineStr">
        <is>
          <t>ACQ-03</t>
        </is>
      </c>
      <c r="C27" s="95">
        <f>IFERROR(INDEX(Thèmes!$D$2:$D$190,MATCH(B27,Thèmes!$A$2:$A$190,0)),"")</f>
        <v/>
      </c>
      <c r="D27" s="68" t="inlineStr">
        <is>
          <t>A04 · Vos canaux (tableau)</t>
        </is>
      </c>
      <c r="E27" s="68" t="inlineStr">
        <is>
          <t>Part des demandes par canal (le nombre par canal est calculé : ACQ-02.01 × part)</t>
        </is>
      </c>
      <c r="F27" s="68" t="inlineStr">
        <is>
          <t>Nombre par ligne</t>
        </is>
      </c>
      <c r="G27" s="67" t="inlineStr">
        <is>
          <t>Demandée</t>
        </is>
      </c>
      <c r="H27" s="67" t="inlineStr">
        <is>
          <t>Essentiel</t>
        </is>
      </c>
      <c r="I27" s="99" t="inlineStr">
        <is>
          <t>D03 · une ligne par canal coché</t>
        </is>
      </c>
      <c r="J27" s="68" t="inlineStr">
        <is>
          <t>—</t>
        </is>
      </c>
      <c r="K27" s="67" t="inlineStr">
        <is>
          <t>●</t>
        </is>
      </c>
      <c r="L27" s="67" t="inlineStr">
        <is>
          <t>●</t>
        </is>
      </c>
      <c r="M27" s="67" t="inlineStr">
        <is>
          <t>●</t>
        </is>
      </c>
      <c r="N27" s="67" t="inlineStr">
        <is>
          <t>●</t>
        </is>
      </c>
      <c r="O27" s="67" t="inlineStr">
        <is>
          <t>●</t>
        </is>
      </c>
      <c r="P27" s="67" t="inlineStr">
        <is>
          <t>●</t>
        </is>
      </c>
      <c r="Q27" s="67" t="inlineStr">
        <is>
          <t>●</t>
        </is>
      </c>
      <c r="R27" s="67" t="inlineStr">
        <is>
          <t>●</t>
        </is>
      </c>
      <c r="S27" s="68" t="inlineStr">
        <is>
          <t>Parcours</t>
        </is>
      </c>
      <c r="T27" s="68" t="inlineStr">
        <is>
          <t>—</t>
        </is>
      </c>
      <c r="U27" s="68" t="inlineStr">
        <is>
          <t>—</t>
        </is>
      </c>
      <c r="V27" s="68" t="inlineStr">
        <is>
          <t>ACQ-03.07, ACQ-03.09, ACQ-03.12, ACQ-06.09, COM-12.02, COM-19.03, COM-22.02</t>
        </is>
      </c>
      <c r="W27" s="83" t="inlineStr">
        <is>
          <t>Libellé (« Donnée »)</t>
        </is>
      </c>
    </row>
    <row r="28" ht="35.05" customHeight="1" s="53">
      <c r="A28" s="94" t="inlineStr">
        <is>
          <t>ACQ-03.03</t>
        </is>
      </c>
      <c r="B28" s="67" t="inlineStr">
        <is>
          <t>ACQ-03</t>
        </is>
      </c>
      <c r="C28" s="95">
        <f>IFERROR(INDEX(Thèmes!$D$2:$D$190,MATCH(B28,Thèmes!$A$2:$A$190,0)),"")</f>
        <v/>
      </c>
      <c r="D28" s="68" t="inlineStr">
        <is>
          <t>A04 · Vos canaux (tableau)</t>
        </is>
      </c>
      <c r="E28" s="68" t="inlineStr">
        <is>
          <t>Part des nouveaux clients par canal (le nombre par canal est calculé avec le total ACQ-11.01 quand il est posé)</t>
        </is>
      </c>
      <c r="F28" s="68" t="inlineStr">
        <is>
          <t>Nombre par ligne</t>
        </is>
      </c>
      <c r="G28" s="67" t="inlineStr">
        <is>
          <t>Demandée</t>
        </is>
      </c>
      <c r="H28" s="67" t="inlineStr">
        <is>
          <t>Essentiel</t>
        </is>
      </c>
      <c r="I28" s="99" t="inlineStr">
        <is>
          <t>D03 · une ligne par canal coché</t>
        </is>
      </c>
      <c r="J28" s="68" t="inlineStr">
        <is>
          <t>—</t>
        </is>
      </c>
      <c r="K28" s="67" t="inlineStr">
        <is>
          <t>●</t>
        </is>
      </c>
      <c r="L28" s="67" t="inlineStr">
        <is>
          <t>●</t>
        </is>
      </c>
      <c r="M28" s="67" t="inlineStr">
        <is>
          <t>●</t>
        </is>
      </c>
      <c r="N28" s="67" t="inlineStr">
        <is>
          <t>●</t>
        </is>
      </c>
      <c r="O28" s="67" t="inlineStr">
        <is>
          <t>●</t>
        </is>
      </c>
      <c r="P28" s="67" t="inlineStr">
        <is>
          <t>●</t>
        </is>
      </c>
      <c r="Q28" s="67" t="inlineStr">
        <is>
          <t>●</t>
        </is>
      </c>
      <c r="R28" s="67" t="inlineStr">
        <is>
          <t>●</t>
        </is>
      </c>
      <c r="S28" s="68" t="inlineStr">
        <is>
          <t>Parcours</t>
        </is>
      </c>
      <c r="T28" s="68" t="inlineStr">
        <is>
          <t>—</t>
        </is>
      </c>
      <c r="U28" s="68" t="inlineStr">
        <is>
          <t>—</t>
        </is>
      </c>
      <c r="V28" s="68" t="inlineStr">
        <is>
          <t>ACQ-03.07, ACQ-03.08, ACQ-03.10, ACQ-18.04, COM-22.02</t>
        </is>
      </c>
      <c r="W28" s="83" t="inlineStr">
        <is>
          <t>Libellé (« Donnée »)</t>
        </is>
      </c>
    </row>
    <row r="29" ht="35.05" customHeight="1" s="53">
      <c r="A29" s="81" t="inlineStr">
        <is>
          <t>ACQ-03.04</t>
        </is>
      </c>
      <c r="B29" s="67" t="inlineStr">
        <is>
          <t>ACQ-03</t>
        </is>
      </c>
      <c r="C29" s="95">
        <f>IFERROR(INDEX(Thèmes!$D$2:$D$190,MATCH(B29,Thèmes!$A$2:$A$190,0)),"")</f>
        <v/>
      </c>
      <c r="D29" s="68" t="inlineStr">
        <is>
          <t>A04 · Vos canaux (tableau)</t>
        </is>
      </c>
      <c r="E29" s="68" t="inlineStr">
        <is>
          <t>Part du CA sur 12 mois, par canal</t>
        </is>
      </c>
      <c r="F29" s="68" t="inlineStr">
        <is>
          <t>% par ligne</t>
        </is>
      </c>
      <c r="G29" s="67" t="inlineStr">
        <is>
          <t>Demandée</t>
        </is>
      </c>
      <c r="H29" s="67" t="inlineStr">
        <is>
          <t>Essentiel</t>
        </is>
      </c>
      <c r="I29" s="99" t="inlineStr">
        <is>
          <t>D03 · une ligne par canal coché</t>
        </is>
      </c>
      <c r="J29" s="68" t="inlineStr">
        <is>
          <t>Période adaptée : depuis la création si moins de 12 mois</t>
        </is>
      </c>
      <c r="K29" s="67" t="inlineStr">
        <is>
          <t>●</t>
        </is>
      </c>
      <c r="L29" s="67" t="inlineStr">
        <is>
          <t>●</t>
        </is>
      </c>
      <c r="M29" s="67" t="inlineStr">
        <is>
          <t>●</t>
        </is>
      </c>
      <c r="N29" s="67" t="inlineStr">
        <is>
          <t>●</t>
        </is>
      </c>
      <c r="O29" s="67" t="inlineStr">
        <is>
          <t>●</t>
        </is>
      </c>
      <c r="P29" s="67" t="inlineStr">
        <is>
          <t>●</t>
        </is>
      </c>
      <c r="Q29" s="67" t="inlineStr">
        <is>
          <t>●</t>
        </is>
      </c>
      <c r="R29" s="67" t="inlineStr">
        <is>
          <t>●</t>
        </is>
      </c>
      <c r="S29" s="68" t="inlineStr">
        <is>
          <t>Levier</t>
        </is>
      </c>
      <c r="T29" s="68" t="inlineStr">
        <is>
          <t>—</t>
        </is>
      </c>
      <c r="U29" s="68" t="inlineStr">
        <is>
          <t>—</t>
        </is>
      </c>
      <c r="V29" s="68" t="inlineStr">
        <is>
          <t>ACQ-03.08, ACQ-03.11, ACQ-07.07, ACQ-07.12, COM-22.03, XA12</t>
        </is>
      </c>
      <c r="W29" s="83" t="n"/>
    </row>
    <row r="30" ht="35.05" customHeight="1" s="53">
      <c r="A30" s="81" t="inlineStr">
        <is>
          <t>ACQ-03.05</t>
        </is>
      </c>
      <c r="B30" s="67" t="inlineStr">
        <is>
          <t>ACQ-03</t>
        </is>
      </c>
      <c r="C30" s="95">
        <f>IFERROR(INDEX(Thèmes!$D$2:$D$190,MATCH(B30,Thèmes!$A$2:$A$190,0)),"")</f>
        <v/>
      </c>
      <c r="D30" s="68" t="inlineStr">
        <is>
          <t>A04 · Vos canaux (tableau)</t>
        </is>
      </c>
      <c r="E30" s="68" t="inlineStr">
        <is>
          <t>Dépense fixe par mois, par canal : publicité, abonnement de plateforme (les commissions prélevées sur les ventes sont demandées à part, écran budget)</t>
        </is>
      </c>
      <c r="F30" s="68" t="inlineStr">
        <is>
          <t>€ par ligne</t>
        </is>
      </c>
      <c r="G30" s="67" t="inlineStr">
        <is>
          <t>Demandée</t>
        </is>
      </c>
      <c r="H30" s="67" t="inlineStr">
        <is>
          <t>Essentiel</t>
        </is>
      </c>
      <c r="I30" s="99" t="inlineStr">
        <is>
          <t>D04 · seulement les canaux payants cochés</t>
        </is>
      </c>
      <c r="J30" s="68" t="inlineStr">
        <is>
          <t>Aujourd'hui</t>
        </is>
      </c>
      <c r="K30" s="67" t="inlineStr">
        <is>
          <t>●</t>
        </is>
      </c>
      <c r="L30" s="67" t="inlineStr">
        <is>
          <t>●</t>
        </is>
      </c>
      <c r="M30" s="67" t="inlineStr">
        <is>
          <t>●</t>
        </is>
      </c>
      <c r="N30" s="67" t="inlineStr">
        <is>
          <t>●</t>
        </is>
      </c>
      <c r="O30" s="67" t="inlineStr">
        <is>
          <t>●</t>
        </is>
      </c>
      <c r="P30" s="67" t="inlineStr">
        <is>
          <t>●</t>
        </is>
      </c>
      <c r="Q30" s="67" t="inlineStr">
        <is>
          <t>●</t>
        </is>
      </c>
      <c r="R30" s="67" t="inlineStr">
        <is>
          <t>●</t>
        </is>
      </c>
      <c r="S30" s="68" t="inlineStr">
        <is>
          <t>Perte, Levier</t>
        </is>
      </c>
      <c r="T30" s="68" t="inlineStr">
        <is>
          <t>—</t>
        </is>
      </c>
      <c r="U30" s="68" t="inlineStr">
        <is>
          <t>—</t>
        </is>
      </c>
      <c r="V30" s="68" t="inlineStr">
        <is>
          <t>ACQ-03.09, ACQ-03.10, ACQ-03.11, ACQ-07.06, ACQ-07.12, XA11, XA12</t>
        </is>
      </c>
      <c r="W30" s="83" t="n"/>
    </row>
    <row r="31" ht="35.05" customHeight="1" s="53">
      <c r="A31" s="81" t="inlineStr">
        <is>
          <t>ACQ-03.06</t>
        </is>
      </c>
      <c r="B31" s="67" t="inlineStr">
        <is>
          <t>ACQ-03</t>
        </is>
      </c>
      <c r="C31" s="95">
        <f>IFERROR(INDEX(Thèmes!$D$2:$D$190,MATCH(B31,Thèmes!$A$2:$A$190,0)),"")</f>
        <v/>
      </c>
      <c r="D31" s="68" t="inlineStr">
        <is>
          <t>A04 · Vos canaux (tableau)</t>
        </is>
      </c>
      <c r="E31" s="68" t="inlineStr">
        <is>
          <t>Tendance de chaque canal sur 12 mois : en hausse, stable, en baisse</t>
        </is>
      </c>
      <c r="F31" s="68" t="inlineStr">
        <is>
          <t>Choix par ligne</t>
        </is>
      </c>
      <c r="G31" s="67" t="inlineStr">
        <is>
          <t>Demandée</t>
        </is>
      </c>
      <c r="H31" s="67" t="inlineStr">
        <is>
          <t>Approfondi</t>
        </is>
      </c>
      <c r="I31" s="99" t="inlineStr">
        <is>
          <t>D03 · une ligne par canal coché</t>
        </is>
      </c>
      <c r="J31" s="68" t="inlineStr">
        <is>
          <t>12 mois précédents (masquée avant 24 mois d'existence)</t>
        </is>
      </c>
      <c r="K31" s="67" t="inlineStr">
        <is>
          <t>●</t>
        </is>
      </c>
      <c r="L31" s="67" t="inlineStr">
        <is>
          <t>●</t>
        </is>
      </c>
      <c r="M31" s="67" t="inlineStr">
        <is>
          <t>●</t>
        </is>
      </c>
      <c r="N31" s="67" t="inlineStr">
        <is>
          <t>●</t>
        </is>
      </c>
      <c r="O31" s="67" t="inlineStr">
        <is>
          <t>●</t>
        </is>
      </c>
      <c r="P31" s="67" t="inlineStr">
        <is>
          <t>●</t>
        </is>
      </c>
      <c r="Q31" s="67" t="inlineStr">
        <is>
          <t>●</t>
        </is>
      </c>
      <c r="R31" s="67" t="inlineStr">
        <is>
          <t>●</t>
        </is>
      </c>
      <c r="S31" s="68" t="inlineStr">
        <is>
          <t>Problème</t>
        </is>
      </c>
      <c r="T31" s="68" t="inlineStr">
        <is>
          <t>—</t>
        </is>
      </c>
      <c r="U31" s="68" t="inlineStr">
        <is>
          <t>—</t>
        </is>
      </c>
      <c r="V31" s="68" t="inlineStr">
        <is>
          <t>XA30</t>
        </is>
      </c>
      <c r="W31" s="83" t="n"/>
    </row>
    <row r="32" ht="15" customHeight="1" s="53">
      <c r="A32" s="81" t="inlineStr">
        <is>
          <t>ACQ-03.07</t>
        </is>
      </c>
      <c r="B32" s="67" t="inlineStr">
        <is>
          <t>ACQ-03</t>
        </is>
      </c>
      <c r="C32" s="95">
        <f>IFERROR(INDEX(Thèmes!$D$2:$D$190,MATCH(B32,Thèmes!$A$2:$A$190,0)),"")</f>
        <v/>
      </c>
      <c r="D32" s="68" t="inlineStr">
        <is>
          <t>—</t>
        </is>
      </c>
      <c r="E32" s="68" t="inlineStr">
        <is>
          <t>Taux de transformation par canal</t>
        </is>
      </c>
      <c r="F32" s="68" t="inlineStr">
        <is>
          <t>%</t>
        </is>
      </c>
      <c r="G32" s="96" t="inlineStr">
        <is>
          <t>Calculée</t>
        </is>
      </c>
      <c r="H32" s="67" t="inlineStr">
        <is>
          <t>—</t>
        </is>
      </c>
      <c r="I32" s="68" t="inlineStr">
        <is>
          <t>—</t>
        </is>
      </c>
      <c r="J32" s="68" t="inlineStr">
        <is>
          <t>—</t>
        </is>
      </c>
      <c r="K32" s="67" t="inlineStr">
        <is>
          <t>●</t>
        </is>
      </c>
      <c r="L32" s="67" t="inlineStr">
        <is>
          <t>●</t>
        </is>
      </c>
      <c r="M32" s="67" t="inlineStr">
        <is>
          <t>●</t>
        </is>
      </c>
      <c r="N32" s="67" t="inlineStr">
        <is>
          <t>●</t>
        </is>
      </c>
      <c r="O32" s="67" t="inlineStr">
        <is>
          <t>●</t>
        </is>
      </c>
      <c r="P32" s="67" t="inlineStr">
        <is>
          <t>●</t>
        </is>
      </c>
      <c r="Q32" s="67" t="inlineStr">
        <is>
          <t>●</t>
        </is>
      </c>
      <c r="R32" s="67" t="inlineStr">
        <is>
          <t>●</t>
        </is>
      </c>
      <c r="S32" s="68" t="inlineStr">
        <is>
          <t>Levier</t>
        </is>
      </c>
      <c r="T32" s="68" t="inlineStr">
        <is>
          <t>Nouveaux clients du canal ÷ demandes du canal</t>
        </is>
      </c>
      <c r="U32" s="68" t="inlineStr">
        <is>
          <t>ACQ-03.03, ACQ-03.02</t>
        </is>
      </c>
      <c r="V32" s="68" t="inlineStr">
        <is>
          <t>Affichée dans le rapport</t>
        </is>
      </c>
      <c r="W32" s="83" t="n"/>
    </row>
    <row r="33" ht="23.85" customHeight="1" s="53">
      <c r="A33" s="81" t="inlineStr">
        <is>
          <t>ACQ-03.08</t>
        </is>
      </c>
      <c r="B33" s="67" t="inlineStr">
        <is>
          <t>ACQ-03</t>
        </is>
      </c>
      <c r="C33" s="95">
        <f>IFERROR(INDEX(Thèmes!$D$2:$D$190,MATCH(B33,Thèmes!$A$2:$A$190,0)),"")</f>
        <v/>
      </c>
      <c r="D33" s="68" t="inlineStr">
        <is>
          <t>—</t>
        </is>
      </c>
      <c r="E33" s="68" t="inlineStr">
        <is>
          <t>Panier moyen par canal</t>
        </is>
      </c>
      <c r="F33" s="68" t="inlineStr">
        <is>
          <t>€</t>
        </is>
      </c>
      <c r="G33" s="96" t="inlineStr">
        <is>
          <t>Calculée</t>
        </is>
      </c>
      <c r="H33" s="67" t="inlineStr">
        <is>
          <t>—</t>
        </is>
      </c>
      <c r="I33" s="68" t="inlineStr">
        <is>
          <t>—</t>
        </is>
      </c>
      <c r="J33" s="68" t="inlineStr">
        <is>
          <t>—</t>
        </is>
      </c>
      <c r="K33" s="67" t="inlineStr">
        <is>
          <t>●</t>
        </is>
      </c>
      <c r="L33" s="67" t="inlineStr">
        <is>
          <t>●</t>
        </is>
      </c>
      <c r="M33" s="67" t="inlineStr">
        <is>
          <t>●</t>
        </is>
      </c>
      <c r="N33" s="67" t="inlineStr">
        <is>
          <t>●</t>
        </is>
      </c>
      <c r="O33" s="67" t="inlineStr">
        <is>
          <t>●</t>
        </is>
      </c>
      <c r="P33" s="67" t="inlineStr">
        <is>
          <t>●</t>
        </is>
      </c>
      <c r="Q33" s="67" t="inlineStr">
        <is>
          <t>●</t>
        </is>
      </c>
      <c r="R33" s="67" t="inlineStr">
        <is>
          <t>●</t>
        </is>
      </c>
      <c r="S33" s="68" t="inlineStr">
        <is>
          <t>Levier</t>
        </is>
      </c>
      <c r="T33" s="68" t="inlineStr">
        <is>
          <t>CA du canal sur 12 mois ÷ nouveaux clients du canal sur 12 mois</t>
        </is>
      </c>
      <c r="U33" s="68" t="inlineStr">
        <is>
          <t>ACQ-03.04, Inscription · CA mensuel, ACQ-03.03</t>
        </is>
      </c>
      <c r="V33" s="68" t="inlineStr">
        <is>
          <t>Affichée dans le rapport</t>
        </is>
      </c>
      <c r="W33" s="83" t="n"/>
    </row>
    <row r="34" ht="23.85" customHeight="1" s="53">
      <c r="A34" s="81" t="inlineStr">
        <is>
          <t>ACQ-03.09</t>
        </is>
      </c>
      <c r="B34" s="67" t="inlineStr">
        <is>
          <t>ACQ-03</t>
        </is>
      </c>
      <c r="C34" s="95">
        <f>IFERROR(INDEX(Thèmes!$D$2:$D$190,MATCH(B34,Thèmes!$A$2:$A$190,0)),"")</f>
        <v/>
      </c>
      <c r="D34" s="68" t="inlineStr">
        <is>
          <t>—</t>
        </is>
      </c>
      <c r="E34" s="68" t="inlineStr">
        <is>
          <t>Coût par demande, par canal</t>
        </is>
      </c>
      <c r="F34" s="68" t="inlineStr">
        <is>
          <t>€</t>
        </is>
      </c>
      <c r="G34" s="96" t="inlineStr">
        <is>
          <t>Calculée</t>
        </is>
      </c>
      <c r="H34" s="67" t="inlineStr">
        <is>
          <t>—</t>
        </is>
      </c>
      <c r="I34" s="68" t="inlineStr">
        <is>
          <t>—</t>
        </is>
      </c>
      <c r="J34" s="68" t="inlineStr">
        <is>
          <t>—</t>
        </is>
      </c>
      <c r="K34" s="67" t="inlineStr">
        <is>
          <t>●</t>
        </is>
      </c>
      <c r="L34" s="67" t="inlineStr">
        <is>
          <t>●</t>
        </is>
      </c>
      <c r="M34" s="67" t="inlineStr">
        <is>
          <t>●</t>
        </is>
      </c>
      <c r="N34" s="67" t="inlineStr">
        <is>
          <t>●</t>
        </is>
      </c>
      <c r="O34" s="67" t="inlineStr">
        <is>
          <t>●</t>
        </is>
      </c>
      <c r="P34" s="67" t="inlineStr">
        <is>
          <t>●</t>
        </is>
      </c>
      <c r="Q34" s="67" t="inlineStr">
        <is>
          <t>●</t>
        </is>
      </c>
      <c r="R34" s="67" t="inlineStr">
        <is>
          <t>●</t>
        </is>
      </c>
      <c r="S34" s="68" t="inlineStr">
        <is>
          <t>Levier</t>
        </is>
      </c>
      <c r="T34" s="68" t="inlineStr">
        <is>
          <t>(Dépense du canal + commissions du canal) ÷ demandes du canal</t>
        </is>
      </c>
      <c r="U34" s="68" t="inlineStr">
        <is>
          <t>ACQ-03.05, ACQ-07.07, ACQ-03.02</t>
        </is>
      </c>
      <c r="V34" s="68" t="inlineStr">
        <is>
          <t>Affichée dans le rapport</t>
        </is>
      </c>
      <c r="W34" s="83" t="n"/>
    </row>
    <row r="35" ht="23.85" customHeight="1" s="53">
      <c r="A35" s="81" t="inlineStr">
        <is>
          <t>ACQ-03.10</t>
        </is>
      </c>
      <c r="B35" s="67" t="inlineStr">
        <is>
          <t>ACQ-03</t>
        </is>
      </c>
      <c r="C35" s="95">
        <f>IFERROR(INDEX(Thèmes!$D$2:$D$190,MATCH(B35,Thèmes!$A$2:$A$190,0)),"")</f>
        <v/>
      </c>
      <c r="D35" s="68" t="inlineStr">
        <is>
          <t>—</t>
        </is>
      </c>
      <c r="E35" s="68" t="inlineStr">
        <is>
          <t>Coût d'acquisition d'un client, par canal</t>
        </is>
      </c>
      <c r="F35" s="68" t="inlineStr">
        <is>
          <t>€</t>
        </is>
      </c>
      <c r="G35" s="96" t="inlineStr">
        <is>
          <t>Calculée</t>
        </is>
      </c>
      <c r="H35" s="67" t="inlineStr">
        <is>
          <t>—</t>
        </is>
      </c>
      <c r="I35" s="68" t="inlineStr">
        <is>
          <t>—</t>
        </is>
      </c>
      <c r="J35" s="68" t="inlineStr">
        <is>
          <t>—</t>
        </is>
      </c>
      <c r="K35" s="67" t="inlineStr">
        <is>
          <t>●</t>
        </is>
      </c>
      <c r="L35" s="67" t="inlineStr">
        <is>
          <t>●</t>
        </is>
      </c>
      <c r="M35" s="67" t="inlineStr">
        <is>
          <t>●</t>
        </is>
      </c>
      <c r="N35" s="67" t="inlineStr">
        <is>
          <t>●</t>
        </is>
      </c>
      <c r="O35" s="67" t="inlineStr">
        <is>
          <t>●</t>
        </is>
      </c>
      <c r="P35" s="67" t="inlineStr">
        <is>
          <t>●</t>
        </is>
      </c>
      <c r="Q35" s="67" t="inlineStr">
        <is>
          <t>●</t>
        </is>
      </c>
      <c r="R35" s="67" t="inlineStr">
        <is>
          <t>●</t>
        </is>
      </c>
      <c r="S35" s="68" t="inlineStr">
        <is>
          <t>Perte, Levier</t>
        </is>
      </c>
      <c r="T35" s="68" t="inlineStr">
        <is>
          <t>(Dépense du canal + commissions du canal) ÷ nouveaux clients du canal</t>
        </is>
      </c>
      <c r="U35" s="68" t="inlineStr">
        <is>
          <t>ACQ-03.05, ACQ-07.07, ACQ-03.03</t>
        </is>
      </c>
      <c r="V35" s="68" t="inlineStr">
        <is>
          <t>XA10, XA11, XA39, XC32</t>
        </is>
      </c>
      <c r="W35" s="83" t="n"/>
    </row>
    <row r="36" ht="35.05" customHeight="1" s="53">
      <c r="A36" s="81" t="inlineStr">
        <is>
          <t>ACQ-03.11</t>
        </is>
      </c>
      <c r="B36" s="67" t="inlineStr">
        <is>
          <t>ACQ-03</t>
        </is>
      </c>
      <c r="C36" s="95">
        <f>IFERROR(INDEX(Thèmes!$D$2:$D$190,MATCH(B36,Thèmes!$A$2:$A$190,0)),"")</f>
        <v/>
      </c>
      <c r="D36" s="68" t="inlineStr">
        <is>
          <t>—</t>
        </is>
      </c>
      <c r="E36" s="68" t="inlineStr">
        <is>
          <t>Rendement de chaque canal (CA rapporté pour 1 € dépensé)</t>
        </is>
      </c>
      <c r="F36" s="68" t="inlineStr">
        <is>
          <t>Ratio</t>
        </is>
      </c>
      <c r="G36" s="96" t="inlineStr">
        <is>
          <t>Calculée</t>
        </is>
      </c>
      <c r="H36" s="67" t="inlineStr">
        <is>
          <t>—</t>
        </is>
      </c>
      <c r="I36" s="68" t="inlineStr">
        <is>
          <t>—</t>
        </is>
      </c>
      <c r="J36" s="68" t="inlineStr">
        <is>
          <t>—</t>
        </is>
      </c>
      <c r="K36" s="67" t="inlineStr">
        <is>
          <t>●</t>
        </is>
      </c>
      <c r="L36" s="67" t="inlineStr">
        <is>
          <t>●</t>
        </is>
      </c>
      <c r="M36" s="67" t="inlineStr">
        <is>
          <t>●</t>
        </is>
      </c>
      <c r="N36" s="67" t="inlineStr">
        <is>
          <t>●</t>
        </is>
      </c>
      <c r="O36" s="67" t="inlineStr">
        <is>
          <t>●</t>
        </is>
      </c>
      <c r="P36" s="67" t="inlineStr">
        <is>
          <t>●</t>
        </is>
      </c>
      <c r="Q36" s="67" t="inlineStr">
        <is>
          <t>●</t>
        </is>
      </c>
      <c r="R36" s="67" t="inlineStr">
        <is>
          <t>●</t>
        </is>
      </c>
      <c r="S36" s="68" t="inlineStr">
        <is>
          <t>Levier</t>
        </is>
      </c>
      <c r="T36" s="68" t="inlineStr">
        <is>
          <t>CA du canal ÷ (dépense du canal + commissions du canal)</t>
        </is>
      </c>
      <c r="U36" s="68" t="inlineStr">
        <is>
          <t>ACQ-03.04, Inscription · CA mensuel, ACQ-03.05, ACQ-07.07</t>
        </is>
      </c>
      <c r="V36" s="68" t="inlineStr">
        <is>
          <t>XA11</t>
        </is>
      </c>
      <c r="W36" s="83" t="n"/>
    </row>
    <row r="37" ht="15" customHeight="1" s="53">
      <c r="A37" s="81" t="inlineStr">
        <is>
          <t>ACQ-03.12</t>
        </is>
      </c>
      <c r="B37" s="67" t="inlineStr">
        <is>
          <t>ACQ-03</t>
        </is>
      </c>
      <c r="C37" s="95">
        <f>IFERROR(INDEX(Thèmes!$D$2:$D$190,MATCH(B37,Thèmes!$A$2:$A$190,0)),"")</f>
        <v/>
      </c>
      <c r="D37" s="68" t="inlineStr">
        <is>
          <t>—</t>
        </is>
      </c>
      <c r="E37" s="68" t="inlineStr">
        <is>
          <t>Part des demandes venant du 1er canal</t>
        </is>
      </c>
      <c r="F37" s="68" t="inlineStr">
        <is>
          <t>%</t>
        </is>
      </c>
      <c r="G37" s="96" t="inlineStr">
        <is>
          <t>Calculée</t>
        </is>
      </c>
      <c r="H37" s="67" t="inlineStr">
        <is>
          <t>—</t>
        </is>
      </c>
      <c r="I37" s="68" t="inlineStr">
        <is>
          <t>—</t>
        </is>
      </c>
      <c r="J37" s="68" t="inlineStr">
        <is>
          <t>—</t>
        </is>
      </c>
      <c r="K37" s="67" t="inlineStr">
        <is>
          <t>●</t>
        </is>
      </c>
      <c r="L37" s="67" t="inlineStr">
        <is>
          <t>●</t>
        </is>
      </c>
      <c r="M37" s="67" t="inlineStr">
        <is>
          <t>●</t>
        </is>
      </c>
      <c r="N37" s="67" t="inlineStr">
        <is>
          <t>●</t>
        </is>
      </c>
      <c r="O37" s="67" t="inlineStr">
        <is>
          <t>●</t>
        </is>
      </c>
      <c r="P37" s="67" t="inlineStr">
        <is>
          <t>●</t>
        </is>
      </c>
      <c r="Q37" s="67" t="inlineStr">
        <is>
          <t>●</t>
        </is>
      </c>
      <c r="R37" s="67" t="inlineStr">
        <is>
          <t>●</t>
        </is>
      </c>
      <c r="S37" s="68" t="inlineStr">
        <is>
          <t>Risque</t>
        </is>
      </c>
      <c r="T37" s="68" t="inlineStr">
        <is>
          <t>Demandes du 1er canal ÷ total des demandes</t>
        </is>
      </c>
      <c r="U37" s="68" t="inlineStr">
        <is>
          <t>ACQ-03.02</t>
        </is>
      </c>
      <c r="V37" s="68" t="inlineStr">
        <is>
          <t>XA13</t>
        </is>
      </c>
      <c r="W37" s="83" t="n"/>
    </row>
    <row r="38" ht="23.85" customHeight="1" s="53">
      <c r="A38" s="85" t="inlineStr">
        <is>
          <t>ACQ-04.01</t>
        </is>
      </c>
      <c r="B38" s="89" t="inlineStr">
        <is>
          <t>ACQ-04</t>
        </is>
      </c>
      <c r="C38" s="97">
        <f>IFERROR(INDEX(Thèmes!$D$2:$D$190,MATCH(B38,Thèmes!$A$2:$A$190,0)),"")</f>
        <v/>
      </c>
      <c r="D38" s="86" t="inlineStr">
        <is>
          <t>A05 · Votre prospection</t>
        </is>
      </c>
      <c r="E38" s="86" t="inlineStr">
        <is>
          <t>Heures de prospection par semaine</t>
        </is>
      </c>
      <c r="F38" s="86" t="inlineStr">
        <is>
          <t>Heures</t>
        </is>
      </c>
      <c r="G38" s="89" t="inlineStr">
        <is>
          <t>Demandée</t>
        </is>
      </c>
      <c r="H38" s="89" t="inlineStr">
        <is>
          <t>Essentiel</t>
        </is>
      </c>
      <c r="I38" s="100" t="inlineStr">
        <is>
          <t>D03 · si « prospection » est cochée</t>
        </is>
      </c>
      <c r="J38" s="86" t="inlineStr">
        <is>
          <t>—</t>
        </is>
      </c>
      <c r="K38" s="89" t="inlineStr">
        <is>
          <t>●</t>
        </is>
      </c>
      <c r="L38" s="89" t="n"/>
      <c r="M38" s="89" t="n"/>
      <c r="N38" s="89" t="n"/>
      <c r="O38" s="89" t="inlineStr">
        <is>
          <t>●</t>
        </is>
      </c>
      <c r="P38" s="89" t="inlineStr">
        <is>
          <t>●</t>
        </is>
      </c>
      <c r="Q38" s="89" t="inlineStr">
        <is>
          <t>●</t>
        </is>
      </c>
      <c r="R38" s="89" t="n"/>
      <c r="S38" s="86" t="inlineStr">
        <is>
          <t>Capacité</t>
        </is>
      </c>
      <c r="T38" s="86" t="inlineStr">
        <is>
          <t>—</t>
        </is>
      </c>
      <c r="U38" s="86" t="inlineStr">
        <is>
          <t>—</t>
        </is>
      </c>
      <c r="V38" s="86" t="inlineStr">
        <is>
          <t>ACQ-04.09</t>
        </is>
      </c>
      <c r="W38" s="91" t="n"/>
    </row>
    <row r="39" ht="23.85" customHeight="1" s="53">
      <c r="A39" s="81" t="inlineStr">
        <is>
          <t>ACQ-04.02</t>
        </is>
      </c>
      <c r="B39" s="67" t="inlineStr">
        <is>
          <t>ACQ-04</t>
        </is>
      </c>
      <c r="C39" s="95">
        <f>IFERROR(INDEX(Thèmes!$D$2:$D$190,MATCH(B39,Thèmes!$A$2:$A$190,0)),"")</f>
        <v/>
      </c>
      <c r="D39" s="68" t="inlineStr">
        <is>
          <t>A05 · Votre prospection</t>
        </is>
      </c>
      <c r="E39" s="68" t="inlineStr">
        <is>
          <t>Actions par semaine : appels, emails, messages, visites, salons</t>
        </is>
      </c>
      <c r="F39" s="68" t="inlineStr">
        <is>
          <t>Tableau par type d'action</t>
        </is>
      </c>
      <c r="G39" s="67" t="inlineStr">
        <is>
          <t>Demandée</t>
        </is>
      </c>
      <c r="H39" s="67" t="inlineStr">
        <is>
          <t>Essentiel</t>
        </is>
      </c>
      <c r="I39" s="99" t="inlineStr">
        <is>
          <t>D03 · si « prospection » est cochée</t>
        </is>
      </c>
      <c r="J39" s="68" t="inlineStr">
        <is>
          <t>—</t>
        </is>
      </c>
      <c r="K39" s="67" t="inlineStr">
        <is>
          <t>●</t>
        </is>
      </c>
      <c r="L39" s="67" t="n"/>
      <c r="M39" s="67" t="n"/>
      <c r="N39" s="67" t="n"/>
      <c r="O39" s="67" t="inlineStr">
        <is>
          <t>●</t>
        </is>
      </c>
      <c r="P39" s="67" t="inlineStr">
        <is>
          <t>●</t>
        </is>
      </c>
      <c r="Q39" s="67" t="inlineStr">
        <is>
          <t>●</t>
        </is>
      </c>
      <c r="R39" s="67" t="n"/>
      <c r="S39" s="68" t="inlineStr">
        <is>
          <t>Parcours</t>
        </is>
      </c>
      <c r="T39" s="68" t="inlineStr">
        <is>
          <t>—</t>
        </is>
      </c>
      <c r="U39" s="68" t="inlineStr">
        <is>
          <t>—</t>
        </is>
      </c>
      <c r="V39" s="68" t="inlineStr">
        <is>
          <t>ACQ-04.07, ACQ-04.08, ACQ-04.10</t>
        </is>
      </c>
      <c r="W39" s="83" t="n"/>
    </row>
    <row r="40" ht="23.85" customHeight="1" s="53">
      <c r="A40" s="81" t="inlineStr">
        <is>
          <t>ACQ-04.03</t>
        </is>
      </c>
      <c r="B40" s="67" t="inlineStr">
        <is>
          <t>ACQ-04</t>
        </is>
      </c>
      <c r="C40" s="95">
        <f>IFERROR(INDEX(Thèmes!$D$2:$D$190,MATCH(B40,Thèmes!$A$2:$A$190,0)),"")</f>
        <v/>
      </c>
      <c r="D40" s="68" t="inlineStr">
        <is>
          <t>A05 · Votre prospection</t>
        </is>
      </c>
      <c r="E40" s="68" t="inlineStr">
        <is>
          <t>Réponses positives obtenues par mois</t>
        </is>
      </c>
      <c r="F40" s="68" t="inlineStr">
        <is>
          <t>Nombre</t>
        </is>
      </c>
      <c r="G40" s="67" t="inlineStr">
        <is>
          <t>Demandée</t>
        </is>
      </c>
      <c r="H40" s="67" t="inlineStr">
        <is>
          <t>Approfondi</t>
        </is>
      </c>
      <c r="I40" s="99" t="inlineStr">
        <is>
          <t>D03 · si « prospection » est cochée</t>
        </is>
      </c>
      <c r="J40" s="68" t="inlineStr">
        <is>
          <t>—</t>
        </is>
      </c>
      <c r="K40" s="67" t="inlineStr">
        <is>
          <t>●</t>
        </is>
      </c>
      <c r="L40" s="67" t="n"/>
      <c r="M40" s="67" t="n"/>
      <c r="N40" s="67" t="n"/>
      <c r="O40" s="67" t="inlineStr">
        <is>
          <t>●</t>
        </is>
      </c>
      <c r="P40" s="67" t="inlineStr">
        <is>
          <t>●</t>
        </is>
      </c>
      <c r="Q40" s="67" t="inlineStr">
        <is>
          <t>●</t>
        </is>
      </c>
      <c r="R40" s="67" t="n"/>
      <c r="S40" s="68" t="inlineStr">
        <is>
          <t>Parcours</t>
        </is>
      </c>
      <c r="T40" s="68" t="inlineStr">
        <is>
          <t>—</t>
        </is>
      </c>
      <c r="U40" s="68" t="inlineStr">
        <is>
          <t>—</t>
        </is>
      </c>
      <c r="V40" s="68" t="inlineStr">
        <is>
          <t>ACQ-04.07</t>
        </is>
      </c>
      <c r="W40" s="83" t="n"/>
    </row>
    <row r="41" ht="23.85" customHeight="1" s="53">
      <c r="A41" s="81" t="inlineStr">
        <is>
          <t>ACQ-04.04</t>
        </is>
      </c>
      <c r="B41" s="67" t="inlineStr">
        <is>
          <t>ACQ-04</t>
        </is>
      </c>
      <c r="C41" s="95">
        <f>IFERROR(INDEX(Thèmes!$D$2:$D$190,MATCH(B41,Thèmes!$A$2:$A$190,0)),"")</f>
        <v/>
      </c>
      <c r="D41" s="68" t="inlineStr">
        <is>
          <t>A05 · Votre prospection</t>
        </is>
      </c>
      <c r="E41" s="68" t="inlineStr">
        <is>
          <t>Rendez-vous obtenus grâce à la prospection, par mois</t>
        </is>
      </c>
      <c r="F41" s="68" t="inlineStr">
        <is>
          <t>Nombre</t>
        </is>
      </c>
      <c r="G41" s="67" t="inlineStr">
        <is>
          <t>Demandée</t>
        </is>
      </c>
      <c r="H41" s="67" t="inlineStr">
        <is>
          <t>Essentiel</t>
        </is>
      </c>
      <c r="I41" s="99" t="inlineStr">
        <is>
          <t>D03 · si « prospection » est cochée</t>
        </is>
      </c>
      <c r="J41" s="68" t="inlineStr">
        <is>
          <t>—</t>
        </is>
      </c>
      <c r="K41" s="67" t="inlineStr">
        <is>
          <t>●</t>
        </is>
      </c>
      <c r="L41" s="67" t="n"/>
      <c r="M41" s="67" t="n"/>
      <c r="N41" s="67" t="n"/>
      <c r="O41" s="67" t="inlineStr">
        <is>
          <t>●</t>
        </is>
      </c>
      <c r="P41" s="67" t="inlineStr">
        <is>
          <t>●</t>
        </is>
      </c>
      <c r="Q41" s="67" t="inlineStr">
        <is>
          <t>●</t>
        </is>
      </c>
      <c r="R41" s="67" t="n"/>
      <c r="S41" s="68" t="inlineStr">
        <is>
          <t>Parcours</t>
        </is>
      </c>
      <c r="T41" s="68" t="inlineStr">
        <is>
          <t>—</t>
        </is>
      </c>
      <c r="U41" s="68" t="inlineStr">
        <is>
          <t>—</t>
        </is>
      </c>
      <c r="V41" s="68" t="inlineStr">
        <is>
          <t>ACQ-04.08</t>
        </is>
      </c>
      <c r="W41" s="83" t="n"/>
    </row>
    <row r="42" ht="35.05" customHeight="1" s="53">
      <c r="A42" s="81" t="inlineStr">
        <is>
          <t>ACQ-04.05</t>
        </is>
      </c>
      <c r="B42" s="67" t="inlineStr">
        <is>
          <t>ACQ-04</t>
        </is>
      </c>
      <c r="C42" s="95">
        <f>IFERROR(INDEX(Thèmes!$D$2:$D$190,MATCH(B42,Thèmes!$A$2:$A$190,0)),"")</f>
        <v/>
      </c>
      <c r="D42" s="68" t="inlineStr">
        <is>
          <t>A05 · Votre prospection</t>
        </is>
      </c>
      <c r="E42" s="68" t="inlineStr">
        <is>
          <t>Clients signés grâce à la prospection sur 12 mois</t>
        </is>
      </c>
      <c r="F42" s="68" t="inlineStr">
        <is>
          <t>Nombre</t>
        </is>
      </c>
      <c r="G42" s="67" t="inlineStr">
        <is>
          <t>Demandée</t>
        </is>
      </c>
      <c r="H42" s="67" t="inlineStr">
        <is>
          <t>Essentiel</t>
        </is>
      </c>
      <c r="I42" s="99" t="inlineStr">
        <is>
          <t>D03 · si « prospection » est cochée</t>
        </is>
      </c>
      <c r="J42" s="68" t="inlineStr">
        <is>
          <t>Période adaptée : depuis la création si moins de 12 mois</t>
        </is>
      </c>
      <c r="K42" s="67" t="inlineStr">
        <is>
          <t>●</t>
        </is>
      </c>
      <c r="L42" s="67" t="n"/>
      <c r="M42" s="67" t="n"/>
      <c r="N42" s="67" t="n"/>
      <c r="O42" s="67" t="inlineStr">
        <is>
          <t>●</t>
        </is>
      </c>
      <c r="P42" s="67" t="inlineStr">
        <is>
          <t>●</t>
        </is>
      </c>
      <c r="Q42" s="67" t="inlineStr">
        <is>
          <t>●</t>
        </is>
      </c>
      <c r="R42" s="67" t="n"/>
      <c r="S42" s="68" t="inlineStr">
        <is>
          <t>Potentiel CA</t>
        </is>
      </c>
      <c r="T42" s="68" t="inlineStr">
        <is>
          <t>—</t>
        </is>
      </c>
      <c r="U42" s="68" t="inlineStr">
        <is>
          <t>—</t>
        </is>
      </c>
      <c r="V42" s="68" t="inlineStr">
        <is>
          <t>ACQ-04.09</t>
        </is>
      </c>
      <c r="W42" s="83" t="n"/>
    </row>
    <row r="43" ht="23.85" customHeight="1" s="53">
      <c r="A43" s="81" t="inlineStr">
        <is>
          <t>ACQ-04.06</t>
        </is>
      </c>
      <c r="B43" s="67" t="inlineStr">
        <is>
          <t>ACQ-04</t>
        </is>
      </c>
      <c r="C43" s="95">
        <f>IFERROR(INDEX(Thèmes!$D$2:$D$190,MATCH(B43,Thèmes!$A$2:$A$190,0)),"")</f>
        <v/>
      </c>
      <c r="D43" s="68" t="inlineStr">
        <is>
          <t>A05 · Votre prospection</t>
        </is>
      </c>
      <c r="E43" s="68" t="inlineStr">
        <is>
          <t>Contacts jamais sollicités dans votre fichier de prospects</t>
        </is>
      </c>
      <c r="F43" s="68" t="inlineStr">
        <is>
          <t>Nombre</t>
        </is>
      </c>
      <c r="G43" s="67" t="inlineStr">
        <is>
          <t>Demandée</t>
        </is>
      </c>
      <c r="H43" s="67" t="inlineStr">
        <is>
          <t>Approfondi</t>
        </is>
      </c>
      <c r="I43" s="99" t="inlineStr">
        <is>
          <t>D03 · si « prospection » est cochée</t>
        </is>
      </c>
      <c r="J43" s="68" t="inlineStr">
        <is>
          <t>—</t>
        </is>
      </c>
      <c r="K43" s="67" t="n"/>
      <c r="L43" s="67" t="n"/>
      <c r="M43" s="67" t="n"/>
      <c r="N43" s="67" t="n"/>
      <c r="O43" s="67" t="inlineStr">
        <is>
          <t>●</t>
        </is>
      </c>
      <c r="P43" s="67" t="inlineStr">
        <is>
          <t>●</t>
        </is>
      </c>
      <c r="Q43" s="67" t="n"/>
      <c r="R43" s="67" t="n"/>
      <c r="S43" s="68" t="inlineStr">
        <is>
          <t>Opportunité</t>
        </is>
      </c>
      <c r="T43" s="68" t="inlineStr">
        <is>
          <t>—</t>
        </is>
      </c>
      <c r="U43" s="68" t="inlineStr">
        <is>
          <t>—</t>
        </is>
      </c>
      <c r="V43" s="68" t="inlineStr">
        <is>
          <t>ACQ-04.10</t>
        </is>
      </c>
      <c r="W43" s="83" t="n"/>
    </row>
    <row r="44" ht="15" customHeight="1" s="53">
      <c r="A44" s="81" t="inlineStr">
        <is>
          <t>ACQ-04.07</t>
        </is>
      </c>
      <c r="B44" s="67" t="inlineStr">
        <is>
          <t>ACQ-04</t>
        </is>
      </c>
      <c r="C44" s="95">
        <f>IFERROR(INDEX(Thèmes!$D$2:$D$190,MATCH(B44,Thèmes!$A$2:$A$190,0)),"")</f>
        <v/>
      </c>
      <c r="D44" s="68" t="inlineStr">
        <is>
          <t>—</t>
        </is>
      </c>
      <c r="E44" s="68" t="inlineStr">
        <is>
          <t>Taux de réponse de la prospection</t>
        </is>
      </c>
      <c r="F44" s="68" t="inlineStr">
        <is>
          <t>%</t>
        </is>
      </c>
      <c r="G44" s="96" t="inlineStr">
        <is>
          <t>Calculée</t>
        </is>
      </c>
      <c r="H44" s="67" t="inlineStr">
        <is>
          <t>—</t>
        </is>
      </c>
      <c r="I44" s="68" t="inlineStr">
        <is>
          <t>—</t>
        </is>
      </c>
      <c r="J44" s="68" t="inlineStr">
        <is>
          <t>—</t>
        </is>
      </c>
      <c r="K44" s="67" t="inlineStr">
        <is>
          <t>●</t>
        </is>
      </c>
      <c r="L44" s="67" t="n"/>
      <c r="M44" s="67" t="n"/>
      <c r="N44" s="67" t="n"/>
      <c r="O44" s="67" t="inlineStr">
        <is>
          <t>●</t>
        </is>
      </c>
      <c r="P44" s="67" t="inlineStr">
        <is>
          <t>●</t>
        </is>
      </c>
      <c r="Q44" s="67" t="inlineStr">
        <is>
          <t>●</t>
        </is>
      </c>
      <c r="R44" s="67" t="n"/>
      <c r="S44" s="68" t="inlineStr">
        <is>
          <t>Problème</t>
        </is>
      </c>
      <c r="T44" s="68" t="inlineStr">
        <is>
          <t>Réponses positives ÷ actions du mois</t>
        </is>
      </c>
      <c r="U44" s="68" t="inlineStr">
        <is>
          <t>ACQ-04.03, ACQ-04.02</t>
        </is>
      </c>
      <c r="V44" s="68" t="inlineStr">
        <is>
          <t>Affichée dans le rapport</t>
        </is>
      </c>
      <c r="W44" s="83" t="n"/>
    </row>
    <row r="45" ht="15" customHeight="1" s="53">
      <c r="A45" s="81" t="inlineStr">
        <is>
          <t>ACQ-04.08</t>
        </is>
      </c>
      <c r="B45" s="67" t="inlineStr">
        <is>
          <t>ACQ-04</t>
        </is>
      </c>
      <c r="C45" s="95">
        <f>IFERROR(INDEX(Thèmes!$D$2:$D$190,MATCH(B45,Thèmes!$A$2:$A$190,0)),"")</f>
        <v/>
      </c>
      <c r="D45" s="68" t="inlineStr">
        <is>
          <t>—</t>
        </is>
      </c>
      <c r="E45" s="68" t="inlineStr">
        <is>
          <t>Actions nécessaires pour obtenir un rendez-vous</t>
        </is>
      </c>
      <c r="F45" s="68" t="inlineStr">
        <is>
          <t>Nombre</t>
        </is>
      </c>
      <c r="G45" s="96" t="inlineStr">
        <is>
          <t>Calculée</t>
        </is>
      </c>
      <c r="H45" s="67" t="inlineStr">
        <is>
          <t>—</t>
        </is>
      </c>
      <c r="I45" s="68" t="inlineStr">
        <is>
          <t>—</t>
        </is>
      </c>
      <c r="J45" s="68" t="inlineStr">
        <is>
          <t>—</t>
        </is>
      </c>
      <c r="K45" s="67" t="inlineStr">
        <is>
          <t>●</t>
        </is>
      </c>
      <c r="L45" s="67" t="n"/>
      <c r="M45" s="67" t="n"/>
      <c r="N45" s="67" t="n"/>
      <c r="O45" s="67" t="inlineStr">
        <is>
          <t>●</t>
        </is>
      </c>
      <c r="P45" s="67" t="inlineStr">
        <is>
          <t>●</t>
        </is>
      </c>
      <c r="Q45" s="67" t="inlineStr">
        <is>
          <t>●</t>
        </is>
      </c>
      <c r="R45" s="67" t="n"/>
      <c r="S45" s="68" t="inlineStr">
        <is>
          <t>Levier</t>
        </is>
      </c>
      <c r="T45" s="68" t="inlineStr">
        <is>
          <t>Actions du mois ÷ rendez-vous obtenus</t>
        </is>
      </c>
      <c r="U45" s="68" t="inlineStr">
        <is>
          <t>ACQ-04.02, ACQ-04.04</t>
        </is>
      </c>
      <c r="V45" s="68" t="inlineStr">
        <is>
          <t>Affichée dans le rapport</t>
        </is>
      </c>
      <c r="W45" s="83" t="n"/>
    </row>
    <row r="46" ht="23.85" customHeight="1" s="53">
      <c r="A46" s="81" t="inlineStr">
        <is>
          <t>ACQ-04.09</t>
        </is>
      </c>
      <c r="B46" s="67" t="inlineStr">
        <is>
          <t>ACQ-04</t>
        </is>
      </c>
      <c r="C46" s="95">
        <f>IFERROR(INDEX(Thèmes!$D$2:$D$190,MATCH(B46,Thèmes!$A$2:$A$190,0)),"")</f>
        <v/>
      </c>
      <c r="D46" s="68" t="inlineStr">
        <is>
          <t>—</t>
        </is>
      </c>
      <c r="E46" s="68" t="inlineStr">
        <is>
          <t>Valeur d'une heure de prospection</t>
        </is>
      </c>
      <c r="F46" s="68" t="inlineStr">
        <is>
          <t>€</t>
        </is>
      </c>
      <c r="G46" s="96" t="inlineStr">
        <is>
          <t>Calculée</t>
        </is>
      </c>
      <c r="H46" s="67" t="inlineStr">
        <is>
          <t>—</t>
        </is>
      </c>
      <c r="I46" s="68" t="inlineStr">
        <is>
          <t>—</t>
        </is>
      </c>
      <c r="J46" s="68" t="inlineStr">
        <is>
          <t>—</t>
        </is>
      </c>
      <c r="K46" s="67" t="inlineStr">
        <is>
          <t>●</t>
        </is>
      </c>
      <c r="L46" s="67" t="n"/>
      <c r="M46" s="67" t="n"/>
      <c r="N46" s="67" t="n"/>
      <c r="O46" s="67" t="inlineStr">
        <is>
          <t>●</t>
        </is>
      </c>
      <c r="P46" s="67" t="inlineStr">
        <is>
          <t>●</t>
        </is>
      </c>
      <c r="Q46" s="67" t="inlineStr">
        <is>
          <t>●</t>
        </is>
      </c>
      <c r="R46" s="67" t="n"/>
      <c r="S46" s="68" t="inlineStr">
        <is>
          <t>Potentiel CA</t>
        </is>
      </c>
      <c r="T46" s="68" t="inlineStr">
        <is>
          <t>(Clients prospection × montant du premier achat) ÷ heures de prospection sur 12 mois</t>
        </is>
      </c>
      <c r="U46" s="68" t="inlineStr">
        <is>
          <t>ACQ-04.05, ACQ-11.03, ACQ-04.01</t>
        </is>
      </c>
      <c r="V46" s="68" t="inlineStr">
        <is>
          <t>XA28</t>
        </is>
      </c>
      <c r="W46" s="83" t="n"/>
    </row>
    <row r="47" ht="15" customHeight="1" s="53">
      <c r="A47" s="81" t="inlineStr">
        <is>
          <t>ACQ-04.10</t>
        </is>
      </c>
      <c r="B47" s="67" t="inlineStr">
        <is>
          <t>ACQ-04</t>
        </is>
      </c>
      <c r="C47" s="95">
        <f>IFERROR(INDEX(Thèmes!$D$2:$D$190,MATCH(B47,Thèmes!$A$2:$A$190,0)),"")</f>
        <v/>
      </c>
      <c r="D47" s="68" t="inlineStr">
        <is>
          <t>—</t>
        </is>
      </c>
      <c r="E47" s="68" t="inlineStr">
        <is>
          <t>Semaines de prospection restantes dans le fichier</t>
        </is>
      </c>
      <c r="F47" s="68" t="inlineStr">
        <is>
          <t>Semaines</t>
        </is>
      </c>
      <c r="G47" s="96" t="inlineStr">
        <is>
          <t>Calculée</t>
        </is>
      </c>
      <c r="H47" s="67" t="inlineStr">
        <is>
          <t>—</t>
        </is>
      </c>
      <c r="I47" s="68" t="inlineStr">
        <is>
          <t>—</t>
        </is>
      </c>
      <c r="J47" s="68" t="inlineStr">
        <is>
          <t>—</t>
        </is>
      </c>
      <c r="K47" s="67" t="n"/>
      <c r="L47" s="67" t="n"/>
      <c r="M47" s="67" t="n"/>
      <c r="N47" s="67" t="n"/>
      <c r="O47" s="67" t="inlineStr">
        <is>
          <t>●</t>
        </is>
      </c>
      <c r="P47" s="67" t="inlineStr">
        <is>
          <t>●</t>
        </is>
      </c>
      <c r="Q47" s="67" t="n"/>
      <c r="R47" s="67" t="n"/>
      <c r="S47" s="68" t="inlineStr">
        <is>
          <t>Opportunité</t>
        </is>
      </c>
      <c r="T47" s="68" t="inlineStr">
        <is>
          <t>Contacts jamais sollicités ÷ actions par semaine</t>
        </is>
      </c>
      <c r="U47" s="68" t="inlineStr">
        <is>
          <t>ACQ-04.06, ACQ-04.02</t>
        </is>
      </c>
      <c r="V47" s="68" t="inlineStr">
        <is>
          <t>Affichée dans le rapport</t>
        </is>
      </c>
      <c r="W47" s="83" t="n"/>
    </row>
    <row r="48" ht="23.85" customHeight="1" s="53">
      <c r="A48" s="85" t="inlineStr">
        <is>
          <t>ACQ-05.01</t>
        </is>
      </c>
      <c r="B48" s="89" t="inlineStr">
        <is>
          <t>ACQ-05</t>
        </is>
      </c>
      <c r="C48" s="97">
        <f>IFERROR(INDEX(Thèmes!$D$2:$D$190,MATCH(B48,Thèmes!$A$2:$A$190,0)),"")</f>
        <v/>
      </c>
      <c r="D48" s="86" t="inlineStr">
        <is>
          <t>A06 · Vos partenaires (tableau)</t>
        </is>
      </c>
      <c r="E48" s="86" t="inlineStr">
        <is>
          <t>Partenaires au total : prescripteurs, apporteurs d'affaires, affiliés</t>
        </is>
      </c>
      <c r="F48" s="86" t="inlineStr">
        <is>
          <t>Nombre</t>
        </is>
      </c>
      <c r="G48" s="89" t="inlineStr">
        <is>
          <t>Demandée</t>
        </is>
      </c>
      <c r="H48" s="89" t="inlineStr">
        <is>
          <t>Essentiel</t>
        </is>
      </c>
      <c r="I48" s="100" t="inlineStr">
        <is>
          <t>D03 · si « partenaires » est coché</t>
        </is>
      </c>
      <c r="J48" s="86" t="inlineStr">
        <is>
          <t>—</t>
        </is>
      </c>
      <c r="K48" s="89" t="inlineStr">
        <is>
          <t>●</t>
        </is>
      </c>
      <c r="L48" s="89" t="inlineStr">
        <is>
          <t>●</t>
        </is>
      </c>
      <c r="M48" s="89" t="inlineStr">
        <is>
          <t>●</t>
        </is>
      </c>
      <c r="N48" s="89" t="inlineStr">
        <is>
          <t>●</t>
        </is>
      </c>
      <c r="O48" s="89" t="inlineStr">
        <is>
          <t>●</t>
        </is>
      </c>
      <c r="P48" s="89" t="inlineStr">
        <is>
          <t>●</t>
        </is>
      </c>
      <c r="Q48" s="89" t="inlineStr">
        <is>
          <t>●</t>
        </is>
      </c>
      <c r="R48" s="89" t="inlineStr">
        <is>
          <t>●</t>
        </is>
      </c>
      <c r="S48" s="86" t="inlineStr">
        <is>
          <t>Parcours</t>
        </is>
      </c>
      <c r="T48" s="86" t="inlineStr">
        <is>
          <t>—</t>
        </is>
      </c>
      <c r="U48" s="86" t="inlineStr">
        <is>
          <t>—</t>
        </is>
      </c>
      <c r="V48" s="86" t="inlineStr">
        <is>
          <t>ACQ-05.05</t>
        </is>
      </c>
      <c r="W48" s="91" t="n"/>
    </row>
    <row r="49" ht="35.05" customHeight="1" s="53">
      <c r="A49" s="81" t="inlineStr">
        <is>
          <t>ACQ-05.02</t>
        </is>
      </c>
      <c r="B49" s="67" t="inlineStr">
        <is>
          <t>ACQ-05</t>
        </is>
      </c>
      <c r="C49" s="95">
        <f>IFERROR(INDEX(Thèmes!$D$2:$D$190,MATCH(B49,Thèmes!$A$2:$A$190,0)),"")</f>
        <v/>
      </c>
      <c r="D49" s="68" t="inlineStr">
        <is>
          <t>A06 · Vos partenaires (tableau)</t>
        </is>
      </c>
      <c r="E49" s="68" t="inlineStr">
        <is>
          <t>Partenaires qui vous ont apporté au moins un client sur 12 mois</t>
        </is>
      </c>
      <c r="F49" s="68" t="inlineStr">
        <is>
          <t>Nombre</t>
        </is>
      </c>
      <c r="G49" s="67" t="inlineStr">
        <is>
          <t>Demandée</t>
        </is>
      </c>
      <c r="H49" s="67" t="inlineStr">
        <is>
          <t>Essentiel</t>
        </is>
      </c>
      <c r="I49" s="99" t="inlineStr">
        <is>
          <t>D03 · si « partenaires » est coché</t>
        </is>
      </c>
      <c r="J49" s="68" t="inlineStr">
        <is>
          <t>Période adaptée : depuis la création si moins de 12 mois</t>
        </is>
      </c>
      <c r="K49" s="67" t="inlineStr">
        <is>
          <t>●</t>
        </is>
      </c>
      <c r="L49" s="67" t="inlineStr">
        <is>
          <t>●</t>
        </is>
      </c>
      <c r="M49" s="67" t="inlineStr">
        <is>
          <t>●</t>
        </is>
      </c>
      <c r="N49" s="67" t="inlineStr">
        <is>
          <t>●</t>
        </is>
      </c>
      <c r="O49" s="67" t="inlineStr">
        <is>
          <t>●</t>
        </is>
      </c>
      <c r="P49" s="67" t="inlineStr">
        <is>
          <t>●</t>
        </is>
      </c>
      <c r="Q49" s="67" t="inlineStr">
        <is>
          <t>●</t>
        </is>
      </c>
      <c r="R49" s="67" t="inlineStr">
        <is>
          <t>●</t>
        </is>
      </c>
      <c r="S49" s="68" t="inlineStr">
        <is>
          <t>Levier</t>
        </is>
      </c>
      <c r="T49" s="68" t="inlineStr">
        <is>
          <t>—</t>
        </is>
      </c>
      <c r="U49" s="68" t="inlineStr">
        <is>
          <t>—</t>
        </is>
      </c>
      <c r="V49" s="68" t="inlineStr">
        <is>
          <t>ACQ-05.05</t>
        </is>
      </c>
      <c r="W49" s="83" t="n"/>
    </row>
    <row r="50" ht="46.25" customHeight="1" s="53">
      <c r="A50" s="81" t="inlineStr">
        <is>
          <t>ACQ-05.03</t>
        </is>
      </c>
      <c r="B50" s="67" t="inlineStr">
        <is>
          <t>ACQ-05</t>
        </is>
      </c>
      <c r="C50" s="95">
        <f>IFERROR(INDEX(Thèmes!$D$2:$D$190,MATCH(B50,Thèmes!$A$2:$A$190,0)),"")</f>
        <v/>
      </c>
      <c r="D50" s="68" t="inlineStr">
        <is>
          <t>A06 · Vos partenaires (tableau)</t>
        </is>
      </c>
      <c r="E50" s="68" t="inlineStr">
        <is>
          <t>Pour vos 3 principaux partenaires : contacts apportés par mois, clients signés sur 12 mois, CA généré sur 12 mois (le total remplit la ligne « Partenaires » du tableau des canaux)</t>
        </is>
      </c>
      <c r="F50" s="68" t="inlineStr">
        <is>
          <t>Tableau 3 × 3</t>
        </is>
      </c>
      <c r="G50" s="67" t="inlineStr">
        <is>
          <t>Demandée</t>
        </is>
      </c>
      <c r="H50" s="67" t="inlineStr">
        <is>
          <t>Essentiel</t>
        </is>
      </c>
      <c r="I50" s="99" t="inlineStr">
        <is>
          <t>D03 · si « partenaires » est coché</t>
        </is>
      </c>
      <c r="J50" s="68" t="inlineStr">
        <is>
          <t>Période adaptée : depuis la création si moins de 12 mois</t>
        </is>
      </c>
      <c r="K50" s="67" t="inlineStr">
        <is>
          <t>●</t>
        </is>
      </c>
      <c r="L50" s="67" t="inlineStr">
        <is>
          <t>●</t>
        </is>
      </c>
      <c r="M50" s="67" t="inlineStr">
        <is>
          <t>●</t>
        </is>
      </c>
      <c r="N50" s="67" t="inlineStr">
        <is>
          <t>●</t>
        </is>
      </c>
      <c r="O50" s="67" t="inlineStr">
        <is>
          <t>●</t>
        </is>
      </c>
      <c r="P50" s="67" t="inlineStr">
        <is>
          <t>●</t>
        </is>
      </c>
      <c r="Q50" s="67" t="inlineStr">
        <is>
          <t>●</t>
        </is>
      </c>
      <c r="R50" s="67" t="inlineStr">
        <is>
          <t>●</t>
        </is>
      </c>
      <c r="S50" s="68" t="inlineStr">
        <is>
          <t>Potentiel CA, Risque</t>
        </is>
      </c>
      <c r="T50" s="68" t="inlineStr">
        <is>
          <t>—</t>
        </is>
      </c>
      <c r="U50" s="68" t="inlineStr">
        <is>
          <t>—</t>
        </is>
      </c>
      <c r="V50" s="68" t="inlineStr">
        <is>
          <t>ACQ-05.06, ACQ-05.07, ACQ-05.08, ACQ-05.09</t>
        </is>
      </c>
      <c r="W50" s="83" t="n"/>
    </row>
    <row r="51" ht="23.85" customHeight="1" s="53">
      <c r="A51" s="81" t="inlineStr">
        <is>
          <t>ACQ-05.04</t>
        </is>
      </c>
      <c r="B51" s="67" t="inlineStr">
        <is>
          <t>ACQ-05</t>
        </is>
      </c>
      <c r="C51" s="95">
        <f>IFERROR(INDEX(Thèmes!$D$2:$D$190,MATCH(B51,Thèmes!$A$2:$A$190,0)),"")</f>
        <v/>
      </c>
      <c r="D51" s="68" t="inlineStr">
        <is>
          <t>A06 · Vos partenaires (tableau)</t>
        </is>
      </c>
      <c r="E51" s="68" t="inlineStr">
        <is>
          <t>Commission ou contrepartie versée</t>
        </is>
      </c>
      <c r="F51" s="68" t="inlineStr">
        <is>
          <t>% ou € par client</t>
        </is>
      </c>
      <c r="G51" s="67" t="inlineStr">
        <is>
          <t>Demandée</t>
        </is>
      </c>
      <c r="H51" s="67" t="inlineStr">
        <is>
          <t>Approfondi</t>
        </is>
      </c>
      <c r="I51" s="99" t="inlineStr">
        <is>
          <t>D03 · si « partenaires » est coché</t>
        </is>
      </c>
      <c r="J51" s="68" t="inlineStr">
        <is>
          <t>—</t>
        </is>
      </c>
      <c r="K51" s="67" t="inlineStr">
        <is>
          <t>●</t>
        </is>
      </c>
      <c r="L51" s="67" t="inlineStr">
        <is>
          <t>●</t>
        </is>
      </c>
      <c r="M51" s="67" t="inlineStr">
        <is>
          <t>●</t>
        </is>
      </c>
      <c r="N51" s="67" t="inlineStr">
        <is>
          <t>●</t>
        </is>
      </c>
      <c r="O51" s="67" t="inlineStr">
        <is>
          <t>●</t>
        </is>
      </c>
      <c r="P51" s="67" t="inlineStr">
        <is>
          <t>●</t>
        </is>
      </c>
      <c r="Q51" s="67" t="inlineStr">
        <is>
          <t>●</t>
        </is>
      </c>
      <c r="R51" s="67" t="inlineStr">
        <is>
          <t>●</t>
        </is>
      </c>
      <c r="S51" s="68" t="inlineStr">
        <is>
          <t>Perte</t>
        </is>
      </c>
      <c r="T51" s="68" t="inlineStr">
        <is>
          <t>—</t>
        </is>
      </c>
      <c r="U51" s="68" t="inlineStr">
        <is>
          <t>—</t>
        </is>
      </c>
      <c r="V51" s="68" t="inlineStr">
        <is>
          <t>ACQ-05.09</t>
        </is>
      </c>
      <c r="W51" s="83" t="n"/>
    </row>
    <row r="52" ht="15" customHeight="1" s="53">
      <c r="A52" s="81" t="inlineStr">
        <is>
          <t>ACQ-05.05</t>
        </is>
      </c>
      <c r="B52" s="67" t="inlineStr">
        <is>
          <t>ACQ-05</t>
        </is>
      </c>
      <c r="C52" s="95">
        <f>IFERROR(INDEX(Thèmes!$D$2:$D$190,MATCH(B52,Thèmes!$A$2:$A$190,0)),"")</f>
        <v/>
      </c>
      <c r="D52" s="68" t="inlineStr">
        <is>
          <t>—</t>
        </is>
      </c>
      <c r="E52" s="68" t="inlineStr">
        <is>
          <t>Part des partenaires réellement actifs</t>
        </is>
      </c>
      <c r="F52" s="68" t="inlineStr">
        <is>
          <t>%</t>
        </is>
      </c>
      <c r="G52" s="96" t="inlineStr">
        <is>
          <t>Calculée</t>
        </is>
      </c>
      <c r="H52" s="67" t="inlineStr">
        <is>
          <t>—</t>
        </is>
      </c>
      <c r="I52" s="68" t="inlineStr">
        <is>
          <t>—</t>
        </is>
      </c>
      <c r="J52" s="68" t="inlineStr">
        <is>
          <t>—</t>
        </is>
      </c>
      <c r="K52" s="67" t="inlineStr">
        <is>
          <t>●</t>
        </is>
      </c>
      <c r="L52" s="67" t="inlineStr">
        <is>
          <t>●</t>
        </is>
      </c>
      <c r="M52" s="67" t="inlineStr">
        <is>
          <t>●</t>
        </is>
      </c>
      <c r="N52" s="67" t="inlineStr">
        <is>
          <t>●</t>
        </is>
      </c>
      <c r="O52" s="67" t="inlineStr">
        <is>
          <t>●</t>
        </is>
      </c>
      <c r="P52" s="67" t="inlineStr">
        <is>
          <t>●</t>
        </is>
      </c>
      <c r="Q52" s="67" t="inlineStr">
        <is>
          <t>●</t>
        </is>
      </c>
      <c r="R52" s="67" t="inlineStr">
        <is>
          <t>●</t>
        </is>
      </c>
      <c r="S52" s="68" t="inlineStr">
        <is>
          <t>Opportunité</t>
        </is>
      </c>
      <c r="T52" s="68" t="inlineStr">
        <is>
          <t>Partenaires actifs ÷ partenaires au total</t>
        </is>
      </c>
      <c r="U52" s="68" t="inlineStr">
        <is>
          <t>ACQ-05.02, ACQ-05.01</t>
        </is>
      </c>
      <c r="V52" s="68" t="inlineStr">
        <is>
          <t>Affichée dans le rapport</t>
        </is>
      </c>
      <c r="W52" s="83" t="n"/>
    </row>
    <row r="53" ht="15" customHeight="1" s="53">
      <c r="A53" s="81" t="inlineStr">
        <is>
          <t>ACQ-05.06</t>
        </is>
      </c>
      <c r="B53" s="67" t="inlineStr">
        <is>
          <t>ACQ-05</t>
        </is>
      </c>
      <c r="C53" s="95">
        <f>IFERROR(INDEX(Thèmes!$D$2:$D$190,MATCH(B53,Thèmes!$A$2:$A$190,0)),"")</f>
        <v/>
      </c>
      <c r="D53" s="68" t="inlineStr">
        <is>
          <t>—</t>
        </is>
      </c>
      <c r="E53" s="68" t="inlineStr">
        <is>
          <t>Taux de transformation des contacts apportés</t>
        </is>
      </c>
      <c r="F53" s="68" t="inlineStr">
        <is>
          <t>%</t>
        </is>
      </c>
      <c r="G53" s="96" t="inlineStr">
        <is>
          <t>Calculée</t>
        </is>
      </c>
      <c r="H53" s="67" t="inlineStr">
        <is>
          <t>—</t>
        </is>
      </c>
      <c r="I53" s="68" t="inlineStr">
        <is>
          <t>—</t>
        </is>
      </c>
      <c r="J53" s="68" t="inlineStr">
        <is>
          <t>—</t>
        </is>
      </c>
      <c r="K53" s="67" t="inlineStr">
        <is>
          <t>●</t>
        </is>
      </c>
      <c r="L53" s="67" t="inlineStr">
        <is>
          <t>●</t>
        </is>
      </c>
      <c r="M53" s="67" t="inlineStr">
        <is>
          <t>●</t>
        </is>
      </c>
      <c r="N53" s="67" t="inlineStr">
        <is>
          <t>●</t>
        </is>
      </c>
      <c r="O53" s="67" t="inlineStr">
        <is>
          <t>●</t>
        </is>
      </c>
      <c r="P53" s="67" t="inlineStr">
        <is>
          <t>●</t>
        </is>
      </c>
      <c r="Q53" s="67" t="inlineStr">
        <is>
          <t>●</t>
        </is>
      </c>
      <c r="R53" s="67" t="inlineStr">
        <is>
          <t>●</t>
        </is>
      </c>
      <c r="S53" s="68" t="inlineStr">
        <is>
          <t>Levier</t>
        </is>
      </c>
      <c r="T53" s="68" t="inlineStr">
        <is>
          <t>Clients signés ÷ (contacts apportés par mois × 12)</t>
        </is>
      </c>
      <c r="U53" s="68" t="inlineStr">
        <is>
          <t>ACQ-05.03</t>
        </is>
      </c>
      <c r="V53" s="68" t="inlineStr">
        <is>
          <t>Affichée dans le rapport</t>
        </is>
      </c>
      <c r="W53" s="83" t="n"/>
    </row>
    <row r="54" ht="15" customHeight="1" s="53">
      <c r="A54" s="81" t="inlineStr">
        <is>
          <t>ACQ-05.07</t>
        </is>
      </c>
      <c r="B54" s="67" t="inlineStr">
        <is>
          <t>ACQ-05</t>
        </is>
      </c>
      <c r="C54" s="95">
        <f>IFERROR(INDEX(Thèmes!$D$2:$D$190,MATCH(B54,Thèmes!$A$2:$A$190,0)),"")</f>
        <v/>
      </c>
      <c r="D54" s="68" t="inlineStr">
        <is>
          <t>—</t>
        </is>
      </c>
      <c r="E54" s="68" t="inlineStr">
        <is>
          <t>Panier moyen des clients apportés par les partenaires</t>
        </is>
      </c>
      <c r="F54" s="68" t="inlineStr">
        <is>
          <t>€</t>
        </is>
      </c>
      <c r="G54" s="96" t="inlineStr">
        <is>
          <t>Calculée</t>
        </is>
      </c>
      <c r="H54" s="67" t="inlineStr">
        <is>
          <t>—</t>
        </is>
      </c>
      <c r="I54" s="68" t="inlineStr">
        <is>
          <t>—</t>
        </is>
      </c>
      <c r="J54" s="68" t="inlineStr">
        <is>
          <t>—</t>
        </is>
      </c>
      <c r="K54" s="67" t="inlineStr">
        <is>
          <t>●</t>
        </is>
      </c>
      <c r="L54" s="67" t="inlineStr">
        <is>
          <t>●</t>
        </is>
      </c>
      <c r="M54" s="67" t="inlineStr">
        <is>
          <t>●</t>
        </is>
      </c>
      <c r="N54" s="67" t="inlineStr">
        <is>
          <t>●</t>
        </is>
      </c>
      <c r="O54" s="67" t="inlineStr">
        <is>
          <t>●</t>
        </is>
      </c>
      <c r="P54" s="67" t="inlineStr">
        <is>
          <t>●</t>
        </is>
      </c>
      <c r="Q54" s="67" t="inlineStr">
        <is>
          <t>●</t>
        </is>
      </c>
      <c r="R54" s="67" t="inlineStr">
        <is>
          <t>●</t>
        </is>
      </c>
      <c r="S54" s="68" t="inlineStr">
        <is>
          <t>Levier</t>
        </is>
      </c>
      <c r="T54" s="68" t="inlineStr">
        <is>
          <t>CA des partenaires ÷ clients des partenaires</t>
        </is>
      </c>
      <c r="U54" s="68" t="inlineStr">
        <is>
          <t>ACQ-05.03</t>
        </is>
      </c>
      <c r="V54" s="68" t="inlineStr">
        <is>
          <t>Affichée dans le rapport</t>
        </is>
      </c>
      <c r="W54" s="83" t="n"/>
    </row>
    <row r="55" ht="15" customHeight="1" s="53">
      <c r="A55" s="81" t="inlineStr">
        <is>
          <t>ACQ-05.08</t>
        </is>
      </c>
      <c r="B55" s="67" t="inlineStr">
        <is>
          <t>ACQ-05</t>
        </is>
      </c>
      <c r="C55" s="95">
        <f>IFERROR(INDEX(Thèmes!$D$2:$D$190,MATCH(B55,Thèmes!$A$2:$A$190,0)),"")</f>
        <v/>
      </c>
      <c r="D55" s="68" t="inlineStr">
        <is>
          <t>—</t>
        </is>
      </c>
      <c r="E55" s="68" t="inlineStr">
        <is>
          <t>Part du CA partenaires faite par le 1er partenaire</t>
        </is>
      </c>
      <c r="F55" s="68" t="inlineStr">
        <is>
          <t>%</t>
        </is>
      </c>
      <c r="G55" s="96" t="inlineStr">
        <is>
          <t>Calculée</t>
        </is>
      </c>
      <c r="H55" s="67" t="inlineStr">
        <is>
          <t>—</t>
        </is>
      </c>
      <c r="I55" s="68" t="inlineStr">
        <is>
          <t>—</t>
        </is>
      </c>
      <c r="J55" s="68" t="inlineStr">
        <is>
          <t>—</t>
        </is>
      </c>
      <c r="K55" s="67" t="inlineStr">
        <is>
          <t>●</t>
        </is>
      </c>
      <c r="L55" s="67" t="inlineStr">
        <is>
          <t>●</t>
        </is>
      </c>
      <c r="M55" s="67" t="inlineStr">
        <is>
          <t>●</t>
        </is>
      </c>
      <c r="N55" s="67" t="inlineStr">
        <is>
          <t>●</t>
        </is>
      </c>
      <c r="O55" s="67" t="inlineStr">
        <is>
          <t>●</t>
        </is>
      </c>
      <c r="P55" s="67" t="inlineStr">
        <is>
          <t>●</t>
        </is>
      </c>
      <c r="Q55" s="67" t="inlineStr">
        <is>
          <t>●</t>
        </is>
      </c>
      <c r="R55" s="67" t="inlineStr">
        <is>
          <t>●</t>
        </is>
      </c>
      <c r="S55" s="68" t="inlineStr">
        <is>
          <t>Risque</t>
        </is>
      </c>
      <c r="T55" s="68" t="inlineStr">
        <is>
          <t>CA du 1er partenaire ÷ CA de tous les partenaires</t>
        </is>
      </c>
      <c r="U55" s="68" t="inlineStr">
        <is>
          <t>ACQ-05.03</t>
        </is>
      </c>
      <c r="V55" s="68" t="inlineStr">
        <is>
          <t>XA15</t>
        </is>
      </c>
      <c r="W55" s="83" t="n"/>
    </row>
    <row r="56" ht="23.85" customHeight="1" s="53">
      <c r="A56" s="81" t="inlineStr">
        <is>
          <t>ACQ-05.09</t>
        </is>
      </c>
      <c r="B56" s="67" t="inlineStr">
        <is>
          <t>ACQ-05</t>
        </is>
      </c>
      <c r="C56" s="95">
        <f>IFERROR(INDEX(Thèmes!$D$2:$D$190,MATCH(B56,Thèmes!$A$2:$A$190,0)),"")</f>
        <v/>
      </c>
      <c r="D56" s="68" t="inlineStr">
        <is>
          <t>—</t>
        </is>
      </c>
      <c r="E56" s="68" t="inlineStr">
        <is>
          <t>Valeur nette des partenariats sur 12 mois</t>
        </is>
      </c>
      <c r="F56" s="68" t="inlineStr">
        <is>
          <t>€</t>
        </is>
      </c>
      <c r="G56" s="96" t="inlineStr">
        <is>
          <t>Calculée</t>
        </is>
      </c>
      <c r="H56" s="67" t="inlineStr">
        <is>
          <t>—</t>
        </is>
      </c>
      <c r="I56" s="68" t="inlineStr">
        <is>
          <t>—</t>
        </is>
      </c>
      <c r="J56" s="68" t="inlineStr">
        <is>
          <t>—</t>
        </is>
      </c>
      <c r="K56" s="67" t="inlineStr">
        <is>
          <t>●</t>
        </is>
      </c>
      <c r="L56" s="67" t="inlineStr">
        <is>
          <t>●</t>
        </is>
      </c>
      <c r="M56" s="67" t="inlineStr">
        <is>
          <t>●</t>
        </is>
      </c>
      <c r="N56" s="67" t="inlineStr">
        <is>
          <t>●</t>
        </is>
      </c>
      <c r="O56" s="67" t="inlineStr">
        <is>
          <t>●</t>
        </is>
      </c>
      <c r="P56" s="67" t="inlineStr">
        <is>
          <t>●</t>
        </is>
      </c>
      <c r="Q56" s="67" t="inlineStr">
        <is>
          <t>●</t>
        </is>
      </c>
      <c r="R56" s="67" t="inlineStr">
        <is>
          <t>●</t>
        </is>
      </c>
      <c r="S56" s="68" t="inlineStr">
        <is>
          <t>Potentiel CA</t>
        </is>
      </c>
      <c r="T56" s="68" t="inlineStr">
        <is>
          <t>CA généré par les partenaires − commissions versées</t>
        </is>
      </c>
      <c r="U56" s="68" t="inlineStr">
        <is>
          <t>ACQ-05.03, ACQ-05.04</t>
        </is>
      </c>
      <c r="V56" s="68" t="inlineStr">
        <is>
          <t>XA15</t>
        </is>
      </c>
      <c r="W56" s="83" t="n"/>
    </row>
    <row r="57" ht="46.25" customHeight="1" s="53">
      <c r="A57" s="98" t="inlineStr">
        <is>
          <t>ACQ-06.01</t>
        </is>
      </c>
      <c r="B57" s="89" t="inlineStr">
        <is>
          <t>ACQ-06</t>
        </is>
      </c>
      <c r="C57" s="97">
        <f>IFERROR(INDEX(Thèmes!$D$2:$D$190,MATCH(B57,Thèmes!$A$2:$A$190,0)),"")</f>
        <v/>
      </c>
      <c r="D57" s="86" t="inlineStr">
        <is>
          <t>A07 · Votre présence en ligne</t>
        </is>
      </c>
      <c r="E57" s="86" t="inlineStr">
        <is>
          <t>Avis Google : nombre, note, avis des 6 derniers mois (regroupe ACQ-06.01, 06.02 et 06.03) — partagée avec COM-44.01</t>
        </is>
      </c>
      <c r="F57" s="86" t="inlineStr">
        <is>
          <t>Plusieurs champs : Avis au total · Note sur 5 · Avis reçus sur les 6 derniers mois</t>
        </is>
      </c>
      <c r="G57" s="89" t="inlineStr">
        <is>
          <t>Demandée</t>
        </is>
      </c>
      <c r="H57" s="89" t="inlineStr">
        <is>
          <t>Essentiel</t>
        </is>
      </c>
      <c r="I57" s="100" t="inlineStr">
        <is>
          <t>D03 · si « fiche Google » est cochée</t>
        </is>
      </c>
      <c r="J57" s="86" t="inlineStr">
        <is>
          <t>—</t>
        </is>
      </c>
      <c r="K57" s="89" t="inlineStr">
        <is>
          <t>●</t>
        </is>
      </c>
      <c r="L57" s="89" t="inlineStr">
        <is>
          <t>●</t>
        </is>
      </c>
      <c r="M57" s="89" t="n"/>
      <c r="N57" s="89" t="inlineStr">
        <is>
          <t>●</t>
        </is>
      </c>
      <c r="O57" s="89" t="inlineStr">
        <is>
          <t>●</t>
        </is>
      </c>
      <c r="P57" s="89" t="inlineStr">
        <is>
          <t>●</t>
        </is>
      </c>
      <c r="Q57" s="89" t="inlineStr">
        <is>
          <t>●</t>
        </is>
      </c>
      <c r="R57" s="89" t="inlineStr">
        <is>
          <t>●</t>
        </is>
      </c>
      <c r="S57" s="86" t="inlineStr">
        <is>
          <t>Cible</t>
        </is>
      </c>
      <c r="T57" s="86" t="inlineStr">
        <is>
          <t>Saisie par le dirigeant tant qu'aucune connexion n'existe. Quand la connexion existera : Lu sur la fiche Google si elle est connectée</t>
        </is>
      </c>
      <c r="U57" s="86" t="inlineStr">
        <is>
          <t>—</t>
        </is>
      </c>
      <c r="V57" s="86" t="inlineStr">
        <is>
          <t>ACQ-06.11, COM-08.02, COM-09.06, COM-44.05, COM-46.03</t>
        </is>
      </c>
      <c r="W57" s="91" t="inlineStr">
        <is>
          <t>Mode : Importée → Demandée (le dirigeant la saisit) · Format de réponse · Libellé (« Donnée »)</t>
        </is>
      </c>
    </row>
    <row r="58" ht="23.85" customHeight="1" s="53">
      <c r="A58" s="94" t="inlineStr">
        <is>
          <t>ACQ-06.02</t>
        </is>
      </c>
      <c r="B58" s="67" t="inlineStr">
        <is>
          <t>ACQ-06</t>
        </is>
      </c>
      <c r="C58" s="95">
        <f>IFERROR(INDEX(Thèmes!$D$2:$D$190,MATCH(B58,Thèmes!$A$2:$A$190,0)),"")</f>
        <v/>
      </c>
      <c r="D58" s="68" t="inlineStr">
        <is>
          <t>A07 · Votre présence en ligne</t>
        </is>
      </c>
      <c r="E58" s="68" t="inlineStr">
        <is>
          <t>Note Google moyenne</t>
        </is>
      </c>
      <c r="F58" s="68" t="inlineStr">
        <is>
          <t>Note sur 5</t>
        </is>
      </c>
      <c r="G58" s="96" t="inlineStr">
        <is>
          <t>Calculée</t>
        </is>
      </c>
      <c r="H58" s="67" t="inlineStr">
        <is>
          <t>—</t>
        </is>
      </c>
      <c r="I58" s="99" t="inlineStr">
        <is>
          <t>D03 · si « fiche Google » est cochée</t>
        </is>
      </c>
      <c r="J58" s="68" t="inlineStr">
        <is>
          <t>—</t>
        </is>
      </c>
      <c r="K58" s="67" t="inlineStr">
        <is>
          <t>●</t>
        </is>
      </c>
      <c r="L58" s="67" t="inlineStr">
        <is>
          <t>●</t>
        </is>
      </c>
      <c r="M58" s="67" t="n"/>
      <c r="N58" s="67" t="inlineStr">
        <is>
          <t>●</t>
        </is>
      </c>
      <c r="O58" s="67" t="inlineStr">
        <is>
          <t>●</t>
        </is>
      </c>
      <c r="P58" s="67" t="inlineStr">
        <is>
          <t>●</t>
        </is>
      </c>
      <c r="Q58" s="67" t="inlineStr">
        <is>
          <t>●</t>
        </is>
      </c>
      <c r="R58" s="67" t="inlineStr">
        <is>
          <t>●</t>
        </is>
      </c>
      <c r="S58" s="68" t="inlineStr">
        <is>
          <t>Cible</t>
        </is>
      </c>
      <c r="T58" s="68" t="inlineStr">
        <is>
          <t>Lue dans la réponse à ACQ-06.01 (champ « Note sur 5 »)</t>
        </is>
      </c>
      <c r="U58" s="68" t="inlineStr">
        <is>
          <t>ACQ-06.01</t>
        </is>
      </c>
      <c r="V58" s="68" t="inlineStr">
        <is>
          <t>ACQ-06.11</t>
        </is>
      </c>
      <c r="W58" s="83" t="inlineStr">
        <is>
          <t>Mode : Calculée (plus de question : la banque la lit dans une autre réponse)</t>
        </is>
      </c>
    </row>
    <row r="59" ht="35.05" customHeight="1" s="53">
      <c r="A59" s="94" t="inlineStr">
        <is>
          <t>ACQ-06.03</t>
        </is>
      </c>
      <c r="B59" s="67" t="inlineStr">
        <is>
          <t>ACQ-06</t>
        </is>
      </c>
      <c r="C59" s="95">
        <f>IFERROR(INDEX(Thèmes!$D$2:$D$190,MATCH(B59,Thèmes!$A$2:$A$190,0)),"")</f>
        <v/>
      </c>
      <c r="D59" s="68" t="inlineStr">
        <is>
          <t>A07 · Votre présence en ligne</t>
        </is>
      </c>
      <c r="E59" s="68" t="inlineStr">
        <is>
          <t>Avis reçus sur les 6 derniers mois</t>
        </is>
      </c>
      <c r="F59" s="68" t="inlineStr">
        <is>
          <t>Nombre</t>
        </is>
      </c>
      <c r="G59" s="96" t="inlineStr">
        <is>
          <t>Calculée</t>
        </is>
      </c>
      <c r="H59" s="67" t="inlineStr">
        <is>
          <t>—</t>
        </is>
      </c>
      <c r="I59" s="99" t="inlineStr">
        <is>
          <t>D03 · si « fiche Google » est cochée</t>
        </is>
      </c>
      <c r="J59" s="68" t="inlineStr">
        <is>
          <t>Période adaptée : depuis la création si moins de 6 mois</t>
        </is>
      </c>
      <c r="K59" s="67" t="inlineStr">
        <is>
          <t>●</t>
        </is>
      </c>
      <c r="L59" s="67" t="inlineStr">
        <is>
          <t>●</t>
        </is>
      </c>
      <c r="M59" s="67" t="n"/>
      <c r="N59" s="67" t="inlineStr">
        <is>
          <t>●</t>
        </is>
      </c>
      <c r="O59" s="67" t="inlineStr">
        <is>
          <t>●</t>
        </is>
      </c>
      <c r="P59" s="67" t="inlineStr">
        <is>
          <t>●</t>
        </is>
      </c>
      <c r="Q59" s="67" t="inlineStr">
        <is>
          <t>●</t>
        </is>
      </c>
      <c r="R59" s="67" t="inlineStr">
        <is>
          <t>●</t>
        </is>
      </c>
      <c r="S59" s="68" t="inlineStr">
        <is>
          <t>Problème</t>
        </is>
      </c>
      <c r="T59" s="68" t="inlineStr">
        <is>
          <t>Lue dans la réponse à ACQ-06.01 (champ « Avis reçus sur les 6 derniers mois »)</t>
        </is>
      </c>
      <c r="U59" s="68" t="inlineStr">
        <is>
          <t>ACQ-06.01</t>
        </is>
      </c>
      <c r="V59" s="68" t="inlineStr">
        <is>
          <t>COM-44.06, XA43</t>
        </is>
      </c>
      <c r="W59" s="83" t="inlineStr">
        <is>
          <t>Mode : Calculée (plus de question : la banque la lit dans une autre réponse)</t>
        </is>
      </c>
    </row>
    <row r="60" ht="57.45" customHeight="1" s="53">
      <c r="A60" s="94" t="inlineStr">
        <is>
          <t>ACQ-06.04</t>
        </is>
      </c>
      <c r="B60" s="67" t="inlineStr">
        <is>
          <t>ACQ-06</t>
        </is>
      </c>
      <c r="C60" s="95">
        <f>IFERROR(INDEX(Thèmes!$D$2:$D$190,MATCH(B60,Thèmes!$A$2:$A$190,0)),"")</f>
        <v/>
      </c>
      <c r="D60" s="68" t="inlineStr">
        <is>
          <t>A07 · Votre présence en ligne</t>
        </is>
      </c>
      <c r="E60" s="68" t="inlineStr">
        <is>
          <t>Vues de la fiche Google et actions (appels, itinéraires, clics vers le site), en totaux sur 3 mois : le moteur divise par 3 pour avoir le mois. Le passage des vues aux actions est la conversion de la fiche. Regroupe ACQ-06.04 et 06.05 — partagée avec COM-14.02</t>
        </is>
      </c>
      <c r="F60" s="68" t="inlineStr">
        <is>
          <t>Plusieurs champs : Vues de votre fiche · Appels · Demandes d'itinéraire · Clics vers votre site</t>
        </is>
      </c>
      <c r="G60" s="67" t="inlineStr">
        <is>
          <t>Demandée</t>
        </is>
      </c>
      <c r="H60" s="67" t="inlineStr">
        <is>
          <t>Essentiel</t>
        </is>
      </c>
      <c r="I60" s="99" t="inlineStr">
        <is>
          <t>D03 · si « fiche Google » est cochée</t>
        </is>
      </c>
      <c r="J60" s="68" t="inlineStr">
        <is>
          <t>—</t>
        </is>
      </c>
      <c r="K60" s="67" t="inlineStr">
        <is>
          <t>●</t>
        </is>
      </c>
      <c r="L60" s="67" t="inlineStr">
        <is>
          <t>●</t>
        </is>
      </c>
      <c r="M60" s="67" t="n"/>
      <c r="N60" s="67" t="inlineStr">
        <is>
          <t>●</t>
        </is>
      </c>
      <c r="O60" s="67" t="inlineStr">
        <is>
          <t>●</t>
        </is>
      </c>
      <c r="P60" s="67" t="inlineStr">
        <is>
          <t>●</t>
        </is>
      </c>
      <c r="Q60" s="67" t="inlineStr">
        <is>
          <t>●</t>
        </is>
      </c>
      <c r="R60" s="67" t="inlineStr">
        <is>
          <t>●</t>
        </is>
      </c>
      <c r="S60" s="68" t="inlineStr">
        <is>
          <t>Parcours</t>
        </is>
      </c>
      <c r="T60" s="68" t="inlineStr">
        <is>
          <t>Saisie par le dirigeant tant qu'aucune connexion n'existe. Quand la connexion existera : Statistiques de la fiche Google</t>
        </is>
      </c>
      <c r="U60" s="68" t="inlineStr">
        <is>
          <t>—</t>
        </is>
      </c>
      <c r="V60" s="68" t="inlineStr">
        <is>
          <t>ACQ-06.10, COM-22.02, XC29</t>
        </is>
      </c>
      <c r="W60" s="83" t="inlineStr">
        <is>
          <t>Mode : Importée → Demandée (le dirigeant la saisit) · Format de réponse · Libellé (« Donnée »)</t>
        </is>
      </c>
    </row>
    <row r="61" ht="23.85" customHeight="1" s="53">
      <c r="A61" s="94" t="inlineStr">
        <is>
          <t>ACQ-06.05</t>
        </is>
      </c>
      <c r="B61" s="67" t="inlineStr">
        <is>
          <t>ACQ-06</t>
        </is>
      </c>
      <c r="C61" s="95">
        <f>IFERROR(INDEX(Thèmes!$D$2:$D$190,MATCH(B61,Thèmes!$A$2:$A$190,0)),"")</f>
        <v/>
      </c>
      <c r="D61" s="68" t="inlineStr">
        <is>
          <t>A07 · Votre présence en ligne</t>
        </is>
      </c>
      <c r="E61" s="68" t="inlineStr">
        <is>
          <t>Vues de la fiche Google par mois</t>
        </is>
      </c>
      <c r="F61" s="68" t="inlineStr">
        <is>
          <t>Nombre</t>
        </is>
      </c>
      <c r="G61" s="96" t="inlineStr">
        <is>
          <t>Calculée</t>
        </is>
      </c>
      <c r="H61" s="67" t="inlineStr">
        <is>
          <t>—</t>
        </is>
      </c>
      <c r="I61" s="99" t="inlineStr">
        <is>
          <t>D03 · si « fiche Google » est cochée</t>
        </is>
      </c>
      <c r="J61" s="68" t="inlineStr">
        <is>
          <t>—</t>
        </is>
      </c>
      <c r="K61" s="67" t="inlineStr">
        <is>
          <t>●</t>
        </is>
      </c>
      <c r="L61" s="67" t="inlineStr">
        <is>
          <t>●</t>
        </is>
      </c>
      <c r="M61" s="67" t="n"/>
      <c r="N61" s="67" t="inlineStr">
        <is>
          <t>●</t>
        </is>
      </c>
      <c r="O61" s="67" t="inlineStr">
        <is>
          <t>●</t>
        </is>
      </c>
      <c r="P61" s="67" t="inlineStr">
        <is>
          <t>●</t>
        </is>
      </c>
      <c r="Q61" s="67" t="inlineStr">
        <is>
          <t>●</t>
        </is>
      </c>
      <c r="R61" s="67" t="inlineStr">
        <is>
          <t>●</t>
        </is>
      </c>
      <c r="S61" s="68" t="inlineStr">
        <is>
          <t>Parcours</t>
        </is>
      </c>
      <c r="T61" s="68" t="inlineStr">
        <is>
          <t>Lue dans la réponse à ACQ-06.04 (champ « Vues de votre fiche », total sur 3 mois) ÷ 3</t>
        </is>
      </c>
      <c r="U61" s="68" t="inlineStr">
        <is>
          <t>ACQ-06.04</t>
        </is>
      </c>
      <c r="V61" s="68" t="inlineStr">
        <is>
          <t>ACQ-06.10</t>
        </is>
      </c>
      <c r="W61" s="83" t="inlineStr">
        <is>
          <t>Mode : Calculée (plus de question : la banque la lit dans une autre réponse)</t>
        </is>
      </c>
    </row>
    <row r="62" ht="46.25" customHeight="1" s="53">
      <c r="A62" s="94" t="inlineStr">
        <is>
          <t>ACQ-06.06</t>
        </is>
      </c>
      <c r="B62" s="67" t="inlineStr">
        <is>
          <t>ACQ-06</t>
        </is>
      </c>
      <c r="C62" s="95">
        <f>IFERROR(INDEX(Thèmes!$D$2:$D$190,MATCH(B62,Thèmes!$A$2:$A$190,0)),"")</f>
        <v/>
      </c>
      <c r="D62" s="68" t="inlineStr">
        <is>
          <t>A07 · Votre présence en ligne</t>
        </is>
      </c>
      <c r="E62" s="68" t="inlineStr">
        <is>
          <t>Avis et note des 2 concurrents qui apparaissent en premier sur « métier + ville » : repère local pour l'objectif d'avis (plus parlant qu'une moyenne nationale)</t>
        </is>
      </c>
      <c r="F62" s="68" t="inlineStr">
        <is>
          <t>Tableau : Nom · Avis · Note sur 5 (lignes fixe: Concurrent 1 / Concurrent 2)</t>
        </is>
      </c>
      <c r="G62" s="67" t="inlineStr">
        <is>
          <t>Demandée</t>
        </is>
      </c>
      <c r="H62" s="67" t="inlineStr">
        <is>
          <t>Approfondi</t>
        </is>
      </c>
      <c r="I62" s="99" t="inlineStr">
        <is>
          <t>D03 · si « fiche Google » est cochée</t>
        </is>
      </c>
      <c r="J62" s="68" t="inlineStr">
        <is>
          <t>—</t>
        </is>
      </c>
      <c r="K62" s="67" t="inlineStr">
        <is>
          <t>●</t>
        </is>
      </c>
      <c r="L62" s="67" t="inlineStr">
        <is>
          <t>●</t>
        </is>
      </c>
      <c r="M62" s="67" t="n"/>
      <c r="N62" s="67" t="inlineStr">
        <is>
          <t>●</t>
        </is>
      </c>
      <c r="O62" s="67" t="inlineStr">
        <is>
          <t>●</t>
        </is>
      </c>
      <c r="P62" s="67" t="inlineStr">
        <is>
          <t>●</t>
        </is>
      </c>
      <c r="Q62" s="67" t="inlineStr">
        <is>
          <t>●</t>
        </is>
      </c>
      <c r="R62" s="67" t="inlineStr">
        <is>
          <t>●</t>
        </is>
      </c>
      <c r="S62" s="68" t="inlineStr">
        <is>
          <t>Cible</t>
        </is>
      </c>
      <c r="T62" s="68" t="inlineStr">
        <is>
          <t>Saisie par le dirigeant tant qu'aucune connexion n'existe. Quand la connexion existera : Recherche locale automatique</t>
        </is>
      </c>
      <c r="U62" s="68" t="inlineStr">
        <is>
          <t>—</t>
        </is>
      </c>
      <c r="V62" s="68" t="inlineStr">
        <is>
          <t>ACQ-06.11</t>
        </is>
      </c>
      <c r="W62" s="83" t="inlineStr">
        <is>
          <t>Mode : Importée → Demandée (le dirigeant la saisit) · Format de réponse · Libellé (« Donnée »)</t>
        </is>
      </c>
    </row>
    <row r="63" ht="35.05" customHeight="1" s="53">
      <c r="A63" s="94" t="inlineStr">
        <is>
          <t>ACQ-06.07</t>
        </is>
      </c>
      <c r="B63" s="67" t="inlineStr">
        <is>
          <t>ACQ-06</t>
        </is>
      </c>
      <c r="C63" s="95">
        <f>IFERROR(INDEX(Thèmes!$D$2:$D$190,MATCH(B63,Thèmes!$A$2:$A$190,0)),"")</f>
        <v/>
      </c>
      <c r="D63" s="68" t="inlineStr">
        <is>
          <t>A07 · Votre présence en ligne</t>
        </is>
      </c>
      <c r="E63" s="68" t="inlineStr">
        <is>
          <t>Visites du site par mois — partagée avec COM-13.01</t>
        </is>
      </c>
      <c r="F63" s="68" t="inlineStr">
        <is>
          <t>Nombre</t>
        </is>
      </c>
      <c r="G63" s="67" t="inlineStr">
        <is>
          <t>Demandée</t>
        </is>
      </c>
      <c r="H63" s="67" t="inlineStr">
        <is>
          <t>Essentiel</t>
        </is>
      </c>
      <c r="I63" s="99" t="inlineStr">
        <is>
          <t>D03 · si « site » est coché</t>
        </is>
      </c>
      <c r="J63" s="68" t="inlineStr">
        <is>
          <t>Période adaptée : depuis la création si moins de 3 mois</t>
        </is>
      </c>
      <c r="K63" s="67" t="inlineStr">
        <is>
          <t>●</t>
        </is>
      </c>
      <c r="L63" s="67" t="inlineStr">
        <is>
          <t>●</t>
        </is>
      </c>
      <c r="M63" s="67" t="n"/>
      <c r="N63" s="67" t="inlineStr">
        <is>
          <t>●</t>
        </is>
      </c>
      <c r="O63" s="67" t="inlineStr">
        <is>
          <t>●</t>
        </is>
      </c>
      <c r="P63" s="67" t="inlineStr">
        <is>
          <t>●</t>
        </is>
      </c>
      <c r="Q63" s="67" t="inlineStr">
        <is>
          <t>●</t>
        </is>
      </c>
      <c r="R63" s="67" t="inlineStr">
        <is>
          <t>●</t>
        </is>
      </c>
      <c r="S63" s="68" t="inlineStr">
        <is>
          <t>Parcours</t>
        </is>
      </c>
      <c r="T63" s="68" t="inlineStr">
        <is>
          <t>Saisie par le dirigeant tant qu'aucune connexion n'existe. Quand la connexion existera : Statistiques du site si connecté</t>
        </is>
      </c>
      <c r="U63" s="68" t="inlineStr">
        <is>
          <t>—</t>
        </is>
      </c>
      <c r="V63" s="68" t="inlineStr">
        <is>
          <t>ACQ-06.09, COM-13.07, COM-13.08, COM-13.09</t>
        </is>
      </c>
      <c r="W63" s="83" t="inlineStr">
        <is>
          <t>Mode : Importée → Demandée (le dirigeant la saisit) · Libellé (« Donnée »)</t>
        </is>
      </c>
    </row>
    <row r="64" ht="23.85" customHeight="1" s="53">
      <c r="A64" s="81" t="inlineStr">
        <is>
          <t>ACQ-06.08</t>
        </is>
      </c>
      <c r="B64" s="67" t="inlineStr">
        <is>
          <t>ACQ-06</t>
        </is>
      </c>
      <c r="C64" s="95">
        <f>IFERROR(INDEX(Thèmes!$D$2:$D$190,MATCH(B64,Thèmes!$A$2:$A$190,0)),"")</f>
        <v/>
      </c>
      <c r="D64" s="68" t="inlineStr">
        <is>
          <t>A07 · Votre présence en ligne</t>
        </is>
      </c>
      <c r="E64" s="68" t="inlineStr">
        <is>
          <t>Note et nombre d'avis sur votre plateforme principale (TheFork, Doctolib, Trustpilot, marketplace…)</t>
        </is>
      </c>
      <c r="F64" s="68" t="inlineStr">
        <is>
          <t>Nombre et note</t>
        </is>
      </c>
      <c r="G64" s="67" t="inlineStr">
        <is>
          <t>Demandée</t>
        </is>
      </c>
      <c r="H64" s="67" t="inlineStr">
        <is>
          <t>Essentiel</t>
        </is>
      </c>
      <c r="I64" s="99" t="inlineStr">
        <is>
          <t>D03 · si « plateformes » est coché</t>
        </is>
      </c>
      <c r="J64" s="68" t="inlineStr">
        <is>
          <t>—</t>
        </is>
      </c>
      <c r="K64" s="67" t="inlineStr">
        <is>
          <t>●</t>
        </is>
      </c>
      <c r="L64" s="67" t="n"/>
      <c r="M64" s="67" t="inlineStr">
        <is>
          <t>●</t>
        </is>
      </c>
      <c r="N64" s="67" t="inlineStr">
        <is>
          <t>●</t>
        </is>
      </c>
      <c r="O64" s="67" t="n"/>
      <c r="P64" s="67" t="n"/>
      <c r="Q64" s="67" t="n"/>
      <c r="R64" s="67" t="inlineStr">
        <is>
          <t>●</t>
        </is>
      </c>
      <c r="S64" s="68" t="inlineStr">
        <is>
          <t>Cible</t>
        </is>
      </c>
      <c r="T64" s="68" t="inlineStr">
        <is>
          <t>—</t>
        </is>
      </c>
      <c r="U64" s="68" t="inlineStr">
        <is>
          <t>—</t>
        </is>
      </c>
      <c r="V64" s="68" t="inlineStr">
        <is>
          <t>XA43</t>
        </is>
      </c>
      <c r="W64" s="83" t="n"/>
    </row>
    <row r="65" ht="35.05" customHeight="1" s="53">
      <c r="A65" s="81" t="inlineStr">
        <is>
          <t>ACQ-06.09</t>
        </is>
      </c>
      <c r="B65" s="67" t="inlineStr">
        <is>
          <t>ACQ-06</t>
        </is>
      </c>
      <c r="C65" s="95">
        <f>IFERROR(INDEX(Thèmes!$D$2:$D$190,MATCH(B65,Thèmes!$A$2:$A$190,0)),"")</f>
        <v/>
      </c>
      <c r="D65" s="68" t="inlineStr">
        <is>
          <t>—</t>
        </is>
      </c>
      <c r="E65" s="68" t="inlineStr">
        <is>
          <t>Part des visites du site qui deviennent une demande</t>
        </is>
      </c>
      <c r="F65" s="68" t="inlineStr">
        <is>
          <t>%</t>
        </is>
      </c>
      <c r="G65" s="96" t="inlineStr">
        <is>
          <t>Calculée</t>
        </is>
      </c>
      <c r="H65" s="67" t="inlineStr">
        <is>
          <t>—</t>
        </is>
      </c>
      <c r="I65" s="68" t="inlineStr">
        <is>
          <t>—</t>
        </is>
      </c>
      <c r="J65" s="68" t="inlineStr">
        <is>
          <t>—</t>
        </is>
      </c>
      <c r="K65" s="67" t="inlineStr">
        <is>
          <t>●</t>
        </is>
      </c>
      <c r="L65" s="67" t="inlineStr">
        <is>
          <t>●</t>
        </is>
      </c>
      <c r="M65" s="67" t="n"/>
      <c r="N65" s="67" t="inlineStr">
        <is>
          <t>●</t>
        </is>
      </c>
      <c r="O65" s="67" t="inlineStr">
        <is>
          <t>●</t>
        </is>
      </c>
      <c r="P65" s="67" t="inlineStr">
        <is>
          <t>●</t>
        </is>
      </c>
      <c r="Q65" s="67" t="inlineStr">
        <is>
          <t>●</t>
        </is>
      </c>
      <c r="R65" s="67" t="inlineStr">
        <is>
          <t>●</t>
        </is>
      </c>
      <c r="S65" s="68" t="inlineStr">
        <is>
          <t>Levier</t>
        </is>
      </c>
      <c r="T65" s="68" t="inlineStr">
        <is>
          <t>Demandes du canal « site » (détail par type à l'écran site de l'agent Comm) ÷ visites du site. Seul calcul de ce taux, relu par l'agent Comm (COM-13)</t>
        </is>
      </c>
      <c r="U65" s="68" t="inlineStr">
        <is>
          <t>ACQ-03.02, ACQ-06.07</t>
        </is>
      </c>
      <c r="V65" s="68" t="inlineStr">
        <is>
          <t>COM-13.08, XC08, DC07</t>
        </is>
      </c>
      <c r="W65" s="83" t="n"/>
    </row>
    <row r="66" ht="15" customHeight="1" s="53">
      <c r="A66" s="81" t="inlineStr">
        <is>
          <t>ACQ-06.10</t>
        </is>
      </c>
      <c r="B66" s="67" t="inlineStr">
        <is>
          <t>ACQ-06</t>
        </is>
      </c>
      <c r="C66" s="95">
        <f>IFERROR(INDEX(Thèmes!$D$2:$D$190,MATCH(B66,Thèmes!$A$2:$A$190,0)),"")</f>
        <v/>
      </c>
      <c r="D66" s="68" t="inlineStr">
        <is>
          <t>—</t>
        </is>
      </c>
      <c r="E66" s="68" t="inlineStr">
        <is>
          <t>Part des vues de la fiche qui deviennent une action</t>
        </is>
      </c>
      <c r="F66" s="68" t="inlineStr">
        <is>
          <t>%</t>
        </is>
      </c>
      <c r="G66" s="96" t="inlineStr">
        <is>
          <t>Calculée</t>
        </is>
      </c>
      <c r="H66" s="67" t="inlineStr">
        <is>
          <t>—</t>
        </is>
      </c>
      <c r="I66" s="68" t="inlineStr">
        <is>
          <t>—</t>
        </is>
      </c>
      <c r="J66" s="68" t="inlineStr">
        <is>
          <t>—</t>
        </is>
      </c>
      <c r="K66" s="67" t="inlineStr">
        <is>
          <t>●</t>
        </is>
      </c>
      <c r="L66" s="67" t="inlineStr">
        <is>
          <t>●</t>
        </is>
      </c>
      <c r="M66" s="67" t="n"/>
      <c r="N66" s="67" t="inlineStr">
        <is>
          <t>●</t>
        </is>
      </c>
      <c r="O66" s="67" t="inlineStr">
        <is>
          <t>●</t>
        </is>
      </c>
      <c r="P66" s="67" t="inlineStr">
        <is>
          <t>●</t>
        </is>
      </c>
      <c r="Q66" s="67" t="inlineStr">
        <is>
          <t>●</t>
        </is>
      </c>
      <c r="R66" s="67" t="inlineStr">
        <is>
          <t>●</t>
        </is>
      </c>
      <c r="S66" s="68" t="inlineStr">
        <is>
          <t>Levier</t>
        </is>
      </c>
      <c r="T66" s="68" t="inlineStr">
        <is>
          <t>Actions ÷ vues</t>
        </is>
      </c>
      <c r="U66" s="68" t="inlineStr">
        <is>
          <t>ACQ-06.04, ACQ-06.05</t>
        </is>
      </c>
      <c r="V66" s="68" t="inlineStr">
        <is>
          <t>Affichée dans le rapport</t>
        </is>
      </c>
      <c r="W66" s="83" t="n"/>
    </row>
    <row r="67" ht="23.85" customHeight="1" s="53">
      <c r="A67" s="81" t="inlineStr">
        <is>
          <t>ACQ-06.11</t>
        </is>
      </c>
      <c r="B67" s="67" t="inlineStr">
        <is>
          <t>ACQ-06</t>
        </is>
      </c>
      <c r="C67" s="95">
        <f>IFERROR(INDEX(Thèmes!$D$2:$D$190,MATCH(B67,Thèmes!$A$2:$A$190,0)),"")</f>
        <v/>
      </c>
      <c r="D67" s="68" t="inlineStr">
        <is>
          <t>—</t>
        </is>
      </c>
      <c r="E67" s="68" t="inlineStr">
        <is>
          <t>Écart d'avis et de note avec les concurrents</t>
        </is>
      </c>
      <c r="F67" s="68" t="inlineStr">
        <is>
          <t>Nombre et note</t>
        </is>
      </c>
      <c r="G67" s="96" t="inlineStr">
        <is>
          <t>Calculée</t>
        </is>
      </c>
      <c r="H67" s="67" t="inlineStr">
        <is>
          <t>—</t>
        </is>
      </c>
      <c r="I67" s="68" t="inlineStr">
        <is>
          <t>—</t>
        </is>
      </c>
      <c r="J67" s="68" t="inlineStr">
        <is>
          <t>—</t>
        </is>
      </c>
      <c r="K67" s="67" t="inlineStr">
        <is>
          <t>●</t>
        </is>
      </c>
      <c r="L67" s="67" t="inlineStr">
        <is>
          <t>●</t>
        </is>
      </c>
      <c r="M67" s="67" t="n"/>
      <c r="N67" s="67" t="inlineStr">
        <is>
          <t>●</t>
        </is>
      </c>
      <c r="O67" s="67" t="inlineStr">
        <is>
          <t>●</t>
        </is>
      </c>
      <c r="P67" s="67" t="inlineStr">
        <is>
          <t>●</t>
        </is>
      </c>
      <c r="Q67" s="67" t="inlineStr">
        <is>
          <t>●</t>
        </is>
      </c>
      <c r="R67" s="67" t="inlineStr">
        <is>
          <t>●</t>
        </is>
      </c>
      <c r="S67" s="68" t="inlineStr">
        <is>
          <t>Cible</t>
        </is>
      </c>
      <c r="T67" s="68" t="inlineStr">
        <is>
          <t>Vos avis et votre note − ceux des concurrents</t>
        </is>
      </c>
      <c r="U67" s="68" t="inlineStr">
        <is>
          <t>ACQ-06.01, ACQ-06.02, ACQ-06.06</t>
        </is>
      </c>
      <c r="V67" s="68" t="inlineStr">
        <is>
          <t>XA43</t>
        </is>
      </c>
      <c r="W67" s="83" t="n"/>
    </row>
    <row r="68" ht="35.05" customHeight="1" s="53">
      <c r="A68" s="92" t="inlineStr">
        <is>
          <t>ACQ-06.12</t>
        </is>
      </c>
      <c r="B68" s="67" t="inlineStr">
        <is>
          <t>ACQ-06</t>
        </is>
      </c>
      <c r="C68" s="95">
        <f>IFERROR(INDEX(Thèmes!$D$2:$D$190,MATCH(B68,Thèmes!$A$2:$A$190,0)),"")</f>
        <v/>
      </c>
      <c r="D68" s="68" t="inlineStr">
        <is>
          <t>—</t>
        </is>
      </c>
      <c r="E68" s="68" t="inlineStr">
        <is>
          <t>Actions possibles directement depuis la fiche Google — explique un faible passage des vues aux contacts (taux calculé avec ACQ-06.04)</t>
        </is>
      </c>
      <c r="F68" s="68" t="inlineStr">
        <is>
          <t>Cases à cocher</t>
        </is>
      </c>
      <c r="G68" s="67" t="inlineStr">
        <is>
          <t>Demandée</t>
        </is>
      </c>
      <c r="H68" s="67" t="inlineStr">
        <is>
          <t>Approfondi</t>
        </is>
      </c>
      <c r="I68" s="99" t="inlineStr">
        <is>
          <t>D03 · si « fiche Google » est cochée</t>
        </is>
      </c>
      <c r="J68" s="68" t="inlineStr">
        <is>
          <t>—</t>
        </is>
      </c>
      <c r="K68" s="67" t="inlineStr">
        <is>
          <t>●</t>
        </is>
      </c>
      <c r="L68" s="67" t="inlineStr">
        <is>
          <t>●</t>
        </is>
      </c>
      <c r="M68" s="67" t="n"/>
      <c r="N68" s="67" t="inlineStr">
        <is>
          <t>●</t>
        </is>
      </c>
      <c r="O68" s="67" t="inlineStr">
        <is>
          <t>●</t>
        </is>
      </c>
      <c r="P68" s="67" t="inlineStr">
        <is>
          <t>●</t>
        </is>
      </c>
      <c r="Q68" s="67" t="inlineStr">
        <is>
          <t>●</t>
        </is>
      </c>
      <c r="R68" s="67" t="inlineStr">
        <is>
          <t>●</t>
        </is>
      </c>
      <c r="S68" s="68" t="inlineStr">
        <is>
          <t>—</t>
        </is>
      </c>
      <c r="T68" s="68" t="inlineStr">
        <is>
          <t>—</t>
        </is>
      </c>
      <c r="U68" s="68" t="inlineStr">
        <is>
          <t>—</t>
        </is>
      </c>
      <c r="V68" s="68" t="inlineStr">
        <is>
          <t>—</t>
        </is>
      </c>
      <c r="W68" s="83" t="inlineStr">
        <is>
          <t>Nouveau</t>
        </is>
      </c>
    </row>
    <row r="69" ht="57.45" customHeight="1" s="53">
      <c r="A69" s="92" t="inlineStr">
        <is>
          <t>ACQ-06.13</t>
        </is>
      </c>
      <c r="B69" s="67" t="inlineStr">
        <is>
          <t>ACQ-06</t>
        </is>
      </c>
      <c r="C69" s="95">
        <f>IFERROR(INDEX(Thèmes!$D$2:$D$190,MATCH(B69,Thèmes!$A$2:$A$190,0)),"")</f>
        <v/>
      </c>
      <c r="D69" s="68" t="inlineStr">
        <is>
          <t>—</t>
        </is>
      </c>
      <c r="E69" s="68" t="inlineStr">
        <is>
          <t>Mots tapés sur Google pour trouver la fiche, avec leur nombre de recherches sur 3 mois — montre si l'entreprise est trouvée sur ses prestations qui rapportent le plus ; repris aussi par l'agent de création (sujets de contenus)</t>
        </is>
      </c>
      <c r="F69" s="68" t="inlineStr">
        <is>
          <t>Tableau : Nombre de recherches (lignes libre: 5)</t>
        </is>
      </c>
      <c r="G69" s="67" t="inlineStr">
        <is>
          <t>Demandée</t>
        </is>
      </c>
      <c r="H69" s="67" t="inlineStr">
        <is>
          <t>Approfondi</t>
        </is>
      </c>
      <c r="I69" s="99" t="inlineStr">
        <is>
          <t>D03 · si « fiche Google » est cochée</t>
        </is>
      </c>
      <c r="J69" s="68" t="inlineStr">
        <is>
          <t>Période adaptée : depuis la création si moins de 3 mois</t>
        </is>
      </c>
      <c r="K69" s="67" t="inlineStr">
        <is>
          <t>●</t>
        </is>
      </c>
      <c r="L69" s="67" t="inlineStr">
        <is>
          <t>●</t>
        </is>
      </c>
      <c r="M69" s="67" t="n"/>
      <c r="N69" s="67" t="inlineStr">
        <is>
          <t>●</t>
        </is>
      </c>
      <c r="O69" s="67" t="inlineStr">
        <is>
          <t>●</t>
        </is>
      </c>
      <c r="P69" s="67" t="inlineStr">
        <is>
          <t>●</t>
        </is>
      </c>
      <c r="Q69" s="67" t="inlineStr">
        <is>
          <t>●</t>
        </is>
      </c>
      <c r="R69" s="67" t="inlineStr">
        <is>
          <t>●</t>
        </is>
      </c>
      <c r="S69" s="68" t="inlineStr">
        <is>
          <t>—</t>
        </is>
      </c>
      <c r="T69" s="68" t="inlineStr">
        <is>
          <t>—</t>
        </is>
      </c>
      <c r="U69" s="68" t="inlineStr">
        <is>
          <t>—</t>
        </is>
      </c>
      <c r="V69" s="68" t="inlineStr">
        <is>
          <t>—</t>
        </is>
      </c>
      <c r="W69" s="83" t="inlineStr">
        <is>
          <t>Nouveau</t>
        </is>
      </c>
    </row>
    <row r="70" ht="23.85" customHeight="1" s="53">
      <c r="A70" s="85" t="inlineStr">
        <is>
          <t>ACQ-07.01</t>
        </is>
      </c>
      <c r="B70" s="89" t="inlineStr">
        <is>
          <t>ACQ-07</t>
        </is>
      </c>
      <c r="C70" s="97">
        <f>IFERROR(INDEX(Thèmes!$D$2:$D$190,MATCH(B70,Thèmes!$A$2:$A$190,0)),"")</f>
        <v/>
      </c>
      <c r="D70" s="86" t="inlineStr">
        <is>
          <t>A08 · Votre budget marketing</t>
        </is>
      </c>
      <c r="E70" s="86" t="inlineStr">
        <is>
          <t>Agence ou prestataire marketing, par mois</t>
        </is>
      </c>
      <c r="F70" s="86" t="inlineStr">
        <is>
          <t>€</t>
        </is>
      </c>
      <c r="G70" s="89" t="inlineStr">
        <is>
          <t>Demandée</t>
        </is>
      </c>
      <c r="H70" s="89" t="inlineStr">
        <is>
          <t>Essentiel</t>
        </is>
      </c>
      <c r="I70" s="100" t="inlineStr">
        <is>
          <t>D04 · si publicité ou agence</t>
        </is>
      </c>
      <c r="J70" s="86" t="inlineStr">
        <is>
          <t>Aujourd'hui</t>
        </is>
      </c>
      <c r="K70" s="89" t="inlineStr">
        <is>
          <t>●</t>
        </is>
      </c>
      <c r="L70" s="89" t="inlineStr">
        <is>
          <t>●</t>
        </is>
      </c>
      <c r="M70" s="89" t="inlineStr">
        <is>
          <t>●</t>
        </is>
      </c>
      <c r="N70" s="89" t="inlineStr">
        <is>
          <t>●</t>
        </is>
      </c>
      <c r="O70" s="89" t="inlineStr">
        <is>
          <t>●</t>
        </is>
      </c>
      <c r="P70" s="89" t="inlineStr">
        <is>
          <t>●</t>
        </is>
      </c>
      <c r="Q70" s="89" t="inlineStr">
        <is>
          <t>●</t>
        </is>
      </c>
      <c r="R70" s="89" t="inlineStr">
        <is>
          <t>●</t>
        </is>
      </c>
      <c r="S70" s="86" t="inlineStr">
        <is>
          <t>Perte</t>
        </is>
      </c>
      <c r="T70" s="86" t="inlineStr">
        <is>
          <t>—</t>
        </is>
      </c>
      <c r="U70" s="86" t="inlineStr">
        <is>
          <t>—</t>
        </is>
      </c>
      <c r="V70" s="86" t="inlineStr">
        <is>
          <t>ACQ-07.06, COM-32.04</t>
        </is>
      </c>
      <c r="W70" s="91" t="n"/>
    </row>
    <row r="71" ht="35.05" customHeight="1" s="53">
      <c r="A71" s="81" t="inlineStr">
        <is>
          <t>ACQ-07.02</t>
        </is>
      </c>
      <c r="B71" s="67" t="inlineStr">
        <is>
          <t>ACQ-07</t>
        </is>
      </c>
      <c r="C71" s="95">
        <f>IFERROR(INDEX(Thèmes!$D$2:$D$190,MATCH(B71,Thèmes!$A$2:$A$190,0)),"")</f>
        <v/>
      </c>
      <c r="D71" s="68" t="inlineStr">
        <is>
          <t>A08 · Votre budget marketing</t>
        </is>
      </c>
      <c r="E71" s="68" t="inlineStr">
        <is>
          <t>Taux de commission prélevé par chaque plateforme sur les ventes qu'elle apporte (TheFork, Uber Eats, Doctolib, marketplace…)</t>
        </is>
      </c>
      <c r="F71" s="68" t="inlineStr">
        <is>
          <t>% par plateforme</t>
        </is>
      </c>
      <c r="G71" s="67" t="inlineStr">
        <is>
          <t>Demandée</t>
        </is>
      </c>
      <c r="H71" s="67" t="inlineStr">
        <is>
          <t>Essentiel</t>
        </is>
      </c>
      <c r="I71" s="99" t="inlineStr">
        <is>
          <t>D03 · si « plateformes » est coché</t>
        </is>
      </c>
      <c r="J71" s="68" t="inlineStr">
        <is>
          <t>—</t>
        </is>
      </c>
      <c r="K71" s="67" t="inlineStr">
        <is>
          <t>●</t>
        </is>
      </c>
      <c r="L71" s="67" t="inlineStr">
        <is>
          <t>●</t>
        </is>
      </c>
      <c r="M71" s="67" t="inlineStr">
        <is>
          <t>●</t>
        </is>
      </c>
      <c r="N71" s="67" t="inlineStr">
        <is>
          <t>●</t>
        </is>
      </c>
      <c r="O71" s="67" t="n"/>
      <c r="P71" s="67" t="n"/>
      <c r="Q71" s="67" t="n"/>
      <c r="R71" s="67" t="inlineStr">
        <is>
          <t>●</t>
        </is>
      </c>
      <c r="S71" s="68" t="inlineStr">
        <is>
          <t>Perte</t>
        </is>
      </c>
      <c r="T71" s="68" t="inlineStr">
        <is>
          <t>—</t>
        </is>
      </c>
      <c r="U71" s="68" t="inlineStr">
        <is>
          <t>—</t>
        </is>
      </c>
      <c r="V71" s="68" t="inlineStr">
        <is>
          <t>ACQ-07.07, ACQ-07.12, XA39</t>
        </is>
      </c>
      <c r="W71" s="83" t="n"/>
    </row>
    <row r="72" ht="23.85" customHeight="1" s="53">
      <c r="A72" s="81" t="inlineStr">
        <is>
          <t>ACQ-07.03</t>
        </is>
      </c>
      <c r="B72" s="67" t="inlineStr">
        <is>
          <t>ACQ-07</t>
        </is>
      </c>
      <c r="C72" s="95">
        <f>IFERROR(INDEX(Thèmes!$D$2:$D$190,MATCH(B72,Thèmes!$A$2:$A$190,0)),"")</f>
        <v/>
      </c>
      <c r="D72" s="68" t="inlineStr">
        <is>
          <t>A08 · Votre budget marketing</t>
        </is>
      </c>
      <c r="E72" s="68" t="inlineStr">
        <is>
          <t>Création de contenu par mois : photographe, vidéaste, graphiste</t>
        </is>
      </c>
      <c r="F72" s="68" t="inlineStr">
        <is>
          <t>€</t>
        </is>
      </c>
      <c r="G72" s="67" t="inlineStr">
        <is>
          <t>Demandée</t>
        </is>
      </c>
      <c r="H72" s="67" t="inlineStr">
        <is>
          <t>Essentiel</t>
        </is>
      </c>
      <c r="I72" s="68" t="inlineStr">
        <is>
          <t>—</t>
        </is>
      </c>
      <c r="J72" s="68" t="inlineStr">
        <is>
          <t>Aujourd'hui</t>
        </is>
      </c>
      <c r="K72" s="67" t="inlineStr">
        <is>
          <t>●</t>
        </is>
      </c>
      <c r="L72" s="67" t="inlineStr">
        <is>
          <t>●</t>
        </is>
      </c>
      <c r="M72" s="67" t="inlineStr">
        <is>
          <t>●</t>
        </is>
      </c>
      <c r="N72" s="67" t="inlineStr">
        <is>
          <t>●</t>
        </is>
      </c>
      <c r="O72" s="67" t="inlineStr">
        <is>
          <t>●</t>
        </is>
      </c>
      <c r="P72" s="67" t="inlineStr">
        <is>
          <t>●</t>
        </is>
      </c>
      <c r="Q72" s="67" t="inlineStr">
        <is>
          <t>●</t>
        </is>
      </c>
      <c r="R72" s="67" t="inlineStr">
        <is>
          <t>●</t>
        </is>
      </c>
      <c r="S72" s="68" t="inlineStr">
        <is>
          <t>Levier</t>
        </is>
      </c>
      <c r="T72" s="68" t="inlineStr">
        <is>
          <t>—</t>
        </is>
      </c>
      <c r="U72" s="68" t="inlineStr">
        <is>
          <t>—</t>
        </is>
      </c>
      <c r="V72" s="68" t="inlineStr">
        <is>
          <t>ACQ-07.06, COM-32.04</t>
        </is>
      </c>
      <c r="W72" s="83" t="n"/>
    </row>
    <row r="73" ht="35.05" customHeight="1" s="53">
      <c r="A73" s="81" t="inlineStr">
        <is>
          <t>ACQ-07.04</t>
        </is>
      </c>
      <c r="B73" s="67" t="inlineStr">
        <is>
          <t>ACQ-07</t>
        </is>
      </c>
      <c r="C73" s="95">
        <f>IFERROR(INDEX(Thèmes!$D$2:$D$190,MATCH(B73,Thèmes!$A$2:$A$190,0)),"")</f>
        <v/>
      </c>
      <c r="D73" s="68" t="inlineStr">
        <is>
          <t>A08 · Votre budget marketing</t>
        </is>
      </c>
      <c r="E73" s="68" t="inlineStr">
        <is>
          <t>Outils marketing par mois : emailing, logiciel de réservation ou de suivi, banque d'images (comptés ici, pas dans les abonnements de l'agent Finance)</t>
        </is>
      </c>
      <c r="F73" s="68" t="inlineStr">
        <is>
          <t>€</t>
        </is>
      </c>
      <c r="G73" s="67" t="inlineStr">
        <is>
          <t>Demandée</t>
        </is>
      </c>
      <c r="H73" s="67" t="inlineStr">
        <is>
          <t>Essentiel</t>
        </is>
      </c>
      <c r="I73" s="68" t="inlineStr">
        <is>
          <t>—</t>
        </is>
      </c>
      <c r="J73" s="68" t="inlineStr">
        <is>
          <t>Aujourd'hui</t>
        </is>
      </c>
      <c r="K73" s="67" t="inlineStr">
        <is>
          <t>●</t>
        </is>
      </c>
      <c r="L73" s="67" t="inlineStr">
        <is>
          <t>●</t>
        </is>
      </c>
      <c r="M73" s="67" t="inlineStr">
        <is>
          <t>●</t>
        </is>
      </c>
      <c r="N73" s="67" t="inlineStr">
        <is>
          <t>●</t>
        </is>
      </c>
      <c r="O73" s="67" t="inlineStr">
        <is>
          <t>●</t>
        </is>
      </c>
      <c r="P73" s="67" t="inlineStr">
        <is>
          <t>●</t>
        </is>
      </c>
      <c r="Q73" s="67" t="inlineStr">
        <is>
          <t>●</t>
        </is>
      </c>
      <c r="R73" s="67" t="inlineStr">
        <is>
          <t>●</t>
        </is>
      </c>
      <c r="S73" s="68" t="inlineStr">
        <is>
          <t>Perte</t>
        </is>
      </c>
      <c r="T73" s="68" t="inlineStr">
        <is>
          <t>—</t>
        </is>
      </c>
      <c r="U73" s="68" t="inlineStr">
        <is>
          <t>—</t>
        </is>
      </c>
      <c r="V73" s="68" t="inlineStr">
        <is>
          <t>ACQ-07.06, COM-32.04</t>
        </is>
      </c>
      <c r="W73" s="83" t="n"/>
    </row>
    <row r="74" ht="46.25" customHeight="1" s="53">
      <c r="A74" s="94" t="inlineStr">
        <is>
          <t>ACQ-07.05</t>
        </is>
      </c>
      <c r="B74" s="67" t="inlineStr">
        <is>
          <t>ACQ-07</t>
        </is>
      </c>
      <c r="C74" s="95">
        <f>IFERROR(INDEX(Thèmes!$D$2:$D$190,MATCH(B74,Thèmes!$A$2:$A$190,0)),"")</f>
        <v/>
      </c>
      <c r="D74" s="68" t="inlineStr">
        <is>
          <t>A08 · Votre budget marketing</t>
        </is>
      </c>
      <c r="E74" s="68" t="inlineStr">
        <is>
          <t>Budget marketing total il y a 12 mois, même périmètre qu'aujourd'hui : publicité, agence, contenu, outils (hors commissions) — partagée avec Comm (COM-32.07) : posée par le premier agent qui en a besoin</t>
        </is>
      </c>
      <c r="F74" s="68" t="inlineStr">
        <is>
          <t>€</t>
        </is>
      </c>
      <c r="G74" s="67" t="inlineStr">
        <is>
          <t>Demandée</t>
        </is>
      </c>
      <c r="H74" s="67" t="inlineStr">
        <is>
          <t>Approfondi</t>
        </is>
      </c>
      <c r="I74" s="99" t="inlineStr">
        <is>
          <t>D04 · si publicité ou agence</t>
        </is>
      </c>
      <c r="J74" s="68" t="inlineStr">
        <is>
          <t>Il y a 12 mois (masquée avant 12 mois d'existence)</t>
        </is>
      </c>
      <c r="K74" s="67" t="inlineStr">
        <is>
          <t>●</t>
        </is>
      </c>
      <c r="L74" s="67" t="inlineStr">
        <is>
          <t>●</t>
        </is>
      </c>
      <c r="M74" s="67" t="inlineStr">
        <is>
          <t>●</t>
        </is>
      </c>
      <c r="N74" s="67" t="inlineStr">
        <is>
          <t>●</t>
        </is>
      </c>
      <c r="O74" s="67" t="inlineStr">
        <is>
          <t>●</t>
        </is>
      </c>
      <c r="P74" s="67" t="inlineStr">
        <is>
          <t>●</t>
        </is>
      </c>
      <c r="Q74" s="67" t="inlineStr">
        <is>
          <t>●</t>
        </is>
      </c>
      <c r="R74" s="67" t="inlineStr">
        <is>
          <t>●</t>
        </is>
      </c>
      <c r="S74" s="68" t="inlineStr">
        <is>
          <t>Problème</t>
        </is>
      </c>
      <c r="T74" s="68" t="inlineStr">
        <is>
          <t>—</t>
        </is>
      </c>
      <c r="U74" s="68" t="inlineStr">
        <is>
          <t>—</t>
        </is>
      </c>
      <c r="V74" s="68" t="inlineStr">
        <is>
          <t>ACQ-07.14</t>
        </is>
      </c>
      <c r="W74" s="83" t="inlineStr">
        <is>
          <t>Libellé (« Donnée »)</t>
        </is>
      </c>
    </row>
    <row r="75" ht="35.05" customHeight="1" s="53">
      <c r="A75" s="81" t="inlineStr">
        <is>
          <t>ACQ-07.06</t>
        </is>
      </c>
      <c r="B75" s="67" t="inlineStr">
        <is>
          <t>ACQ-07</t>
        </is>
      </c>
      <c r="C75" s="95">
        <f>IFERROR(INDEX(Thèmes!$D$2:$D$190,MATCH(B75,Thèmes!$A$2:$A$190,0)),"")</f>
        <v/>
      </c>
      <c r="D75" s="68" t="inlineStr">
        <is>
          <t>—</t>
        </is>
      </c>
      <c r="E75" s="68" t="inlineStr">
        <is>
          <t>Budget marketing total par mois, hors commissions</t>
        </is>
      </c>
      <c r="F75" s="68" t="inlineStr">
        <is>
          <t>€</t>
        </is>
      </c>
      <c r="G75" s="96" t="inlineStr">
        <is>
          <t>Calculée</t>
        </is>
      </c>
      <c r="H75" s="67" t="inlineStr">
        <is>
          <t>—</t>
        </is>
      </c>
      <c r="I75" s="68" t="inlineStr">
        <is>
          <t>—</t>
        </is>
      </c>
      <c r="J75" s="68" t="inlineStr">
        <is>
          <t>—</t>
        </is>
      </c>
      <c r="K75" s="67" t="inlineStr">
        <is>
          <t>●</t>
        </is>
      </c>
      <c r="L75" s="67" t="inlineStr">
        <is>
          <t>●</t>
        </is>
      </c>
      <c r="M75" s="67" t="inlineStr">
        <is>
          <t>●</t>
        </is>
      </c>
      <c r="N75" s="67" t="inlineStr">
        <is>
          <t>●</t>
        </is>
      </c>
      <c r="O75" s="67" t="inlineStr">
        <is>
          <t>●</t>
        </is>
      </c>
      <c r="P75" s="67" t="inlineStr">
        <is>
          <t>●</t>
        </is>
      </c>
      <c r="Q75" s="67" t="inlineStr">
        <is>
          <t>●</t>
        </is>
      </c>
      <c r="R75" s="67" t="inlineStr">
        <is>
          <t>●</t>
        </is>
      </c>
      <c r="S75" s="68" t="inlineStr">
        <is>
          <t>Mesure</t>
        </is>
      </c>
      <c r="T75" s="68" t="inlineStr">
        <is>
          <t>Dépenses par canal + agence + contenu + outils. Les commissions, proportionnelles aux ventes, sont comptées à part, en charges variables</t>
        </is>
      </c>
      <c r="U75" s="68" t="inlineStr">
        <is>
          <t>ACQ-03.05, ACQ-07.01, ACQ-07.03, ACQ-07.04</t>
        </is>
      </c>
      <c r="V75" s="68" t="inlineStr">
        <is>
          <t>ACQ-07.08, ACQ-07.09, ACQ-07.10, ACQ-07.11, ACQ-07.13, ACQ-07.14</t>
        </is>
      </c>
      <c r="W75" s="83" t="n"/>
    </row>
    <row r="76" ht="35.05" customHeight="1" s="53">
      <c r="A76" s="81" t="inlineStr">
        <is>
          <t>ACQ-07.07</t>
        </is>
      </c>
      <c r="B76" s="67" t="inlineStr">
        <is>
          <t>ACQ-07</t>
        </is>
      </c>
      <c r="C76" s="95">
        <f>IFERROR(INDEX(Thèmes!$D$2:$D$190,MATCH(B76,Thèmes!$A$2:$A$190,0)),"")</f>
        <v/>
      </c>
      <c r="D76" s="68" t="inlineStr">
        <is>
          <t>—</t>
        </is>
      </c>
      <c r="E76" s="68" t="inlineStr">
        <is>
          <t>Commissions versées aux plateformes par mois</t>
        </is>
      </c>
      <c r="F76" s="68" t="inlineStr">
        <is>
          <t>€</t>
        </is>
      </c>
      <c r="G76" s="96" t="inlineStr">
        <is>
          <t>Calculée</t>
        </is>
      </c>
      <c r="H76" s="67" t="inlineStr">
        <is>
          <t>—</t>
        </is>
      </c>
      <c r="I76" s="68" t="inlineStr">
        <is>
          <t>—</t>
        </is>
      </c>
      <c r="J76" s="68" t="inlineStr">
        <is>
          <t>—</t>
        </is>
      </c>
      <c r="K76" s="67" t="inlineStr">
        <is>
          <t>●</t>
        </is>
      </c>
      <c r="L76" s="67" t="inlineStr">
        <is>
          <t>●</t>
        </is>
      </c>
      <c r="M76" s="67" t="inlineStr">
        <is>
          <t>●</t>
        </is>
      </c>
      <c r="N76" s="67" t="inlineStr">
        <is>
          <t>●</t>
        </is>
      </c>
      <c r="O76" s="67" t="n"/>
      <c r="P76" s="67" t="n"/>
      <c r="Q76" s="67" t="n"/>
      <c r="R76" s="67" t="inlineStr">
        <is>
          <t>●</t>
        </is>
      </c>
      <c r="S76" s="68" t="inlineStr">
        <is>
          <t>Perte</t>
        </is>
      </c>
      <c r="T76" s="68" t="inlineStr">
        <is>
          <t>Taux de commission × CA du canal « plateformes ». Charge variable (agent Finance), jamais ajoutée au budget marketing</t>
        </is>
      </c>
      <c r="U76" s="68" t="inlineStr">
        <is>
          <t>ACQ-07.02, ACQ-03.04, Inscription · CA mensuel</t>
        </is>
      </c>
      <c r="V76" s="68" t="inlineStr">
        <is>
          <t>ACQ-03.09, ACQ-03.10, ACQ-03.11, ACQ-07.11, ACQ-07.13, FIN-06.05</t>
        </is>
      </c>
      <c r="W76" s="83" t="n"/>
    </row>
    <row r="77" ht="23.85" customHeight="1" s="53">
      <c r="A77" s="81" t="inlineStr">
        <is>
          <t>ACQ-07.08</t>
        </is>
      </c>
      <c r="B77" s="67" t="inlineStr">
        <is>
          <t>ACQ-07</t>
        </is>
      </c>
      <c r="C77" s="95">
        <f>IFERROR(INDEX(Thèmes!$D$2:$D$190,MATCH(B77,Thèmes!$A$2:$A$190,0)),"")</f>
        <v/>
      </c>
      <c r="D77" s="68" t="inlineStr">
        <is>
          <t>—</t>
        </is>
      </c>
      <c r="E77" s="68" t="inlineStr">
        <is>
          <t>Budget marketing rapporté au CA</t>
        </is>
      </c>
      <c r="F77" s="68" t="inlineStr">
        <is>
          <t>%</t>
        </is>
      </c>
      <c r="G77" s="96" t="inlineStr">
        <is>
          <t>Calculée</t>
        </is>
      </c>
      <c r="H77" s="67" t="inlineStr">
        <is>
          <t>—</t>
        </is>
      </c>
      <c r="I77" s="68" t="inlineStr">
        <is>
          <t>—</t>
        </is>
      </c>
      <c r="J77" s="68" t="inlineStr">
        <is>
          <t>—</t>
        </is>
      </c>
      <c r="K77" s="67" t="inlineStr">
        <is>
          <t>●</t>
        </is>
      </c>
      <c r="L77" s="67" t="inlineStr">
        <is>
          <t>●</t>
        </is>
      </c>
      <c r="M77" s="67" t="inlineStr">
        <is>
          <t>●</t>
        </is>
      </c>
      <c r="N77" s="67" t="inlineStr">
        <is>
          <t>●</t>
        </is>
      </c>
      <c r="O77" s="67" t="inlineStr">
        <is>
          <t>●</t>
        </is>
      </c>
      <c r="P77" s="67" t="inlineStr">
        <is>
          <t>●</t>
        </is>
      </c>
      <c r="Q77" s="67" t="inlineStr">
        <is>
          <t>●</t>
        </is>
      </c>
      <c r="R77" s="67" t="inlineStr">
        <is>
          <t>●</t>
        </is>
      </c>
      <c r="S77" s="68" t="inlineStr">
        <is>
          <t>Cible</t>
        </is>
      </c>
      <c r="T77" s="68" t="inlineStr">
        <is>
          <t>Budget total ÷ CA mensuel</t>
        </is>
      </c>
      <c r="U77" s="68" t="inlineStr">
        <is>
          <t>ACQ-07.06, Inscription · CA mensuel</t>
        </is>
      </c>
      <c r="V77" s="68" t="inlineStr">
        <is>
          <t>Affichée dans le rapport</t>
        </is>
      </c>
      <c r="W77" s="83" t="n"/>
    </row>
    <row r="78" ht="23.85" customHeight="1" s="53">
      <c r="A78" s="81" t="inlineStr">
        <is>
          <t>ACQ-07.09</t>
        </is>
      </c>
      <c r="B78" s="67" t="inlineStr">
        <is>
          <t>ACQ-07</t>
        </is>
      </c>
      <c r="C78" s="95">
        <f>IFERROR(INDEX(Thèmes!$D$2:$D$190,MATCH(B78,Thèmes!$A$2:$A$190,0)),"")</f>
        <v/>
      </c>
      <c r="D78" s="68" t="inlineStr">
        <is>
          <t>—</t>
        </is>
      </c>
      <c r="E78" s="68" t="inlineStr">
        <is>
          <t>Coût par demande</t>
        </is>
      </c>
      <c r="F78" s="68" t="inlineStr">
        <is>
          <t>€</t>
        </is>
      </c>
      <c r="G78" s="96" t="inlineStr">
        <is>
          <t>Calculée</t>
        </is>
      </c>
      <c r="H78" s="67" t="inlineStr">
        <is>
          <t>—</t>
        </is>
      </c>
      <c r="I78" s="68" t="inlineStr">
        <is>
          <t>—</t>
        </is>
      </c>
      <c r="J78" s="68" t="inlineStr">
        <is>
          <t>—</t>
        </is>
      </c>
      <c r="K78" s="67" t="inlineStr">
        <is>
          <t>●</t>
        </is>
      </c>
      <c r="L78" s="67" t="inlineStr">
        <is>
          <t>●</t>
        </is>
      </c>
      <c r="M78" s="67" t="inlineStr">
        <is>
          <t>●</t>
        </is>
      </c>
      <c r="N78" s="67" t="inlineStr">
        <is>
          <t>●</t>
        </is>
      </c>
      <c r="O78" s="67" t="inlineStr">
        <is>
          <t>●</t>
        </is>
      </c>
      <c r="P78" s="67" t="inlineStr">
        <is>
          <t>●</t>
        </is>
      </c>
      <c r="Q78" s="67" t="inlineStr">
        <is>
          <t>●</t>
        </is>
      </c>
      <c r="R78" s="67" t="inlineStr">
        <is>
          <t>●</t>
        </is>
      </c>
      <c r="S78" s="68" t="inlineStr">
        <is>
          <t>Levier</t>
        </is>
      </c>
      <c r="T78" s="68" t="inlineStr">
        <is>
          <t>Budget total ÷ demandes reçues</t>
        </is>
      </c>
      <c r="U78" s="68" t="inlineStr">
        <is>
          <t>ACQ-07.06, ACQ-02.01</t>
        </is>
      </c>
      <c r="V78" s="68" t="inlineStr">
        <is>
          <t>Affichée dans le rapport</t>
        </is>
      </c>
      <c r="W78" s="83" t="n"/>
    </row>
    <row r="79" ht="23.85" customHeight="1" s="53">
      <c r="A79" s="81" t="inlineStr">
        <is>
          <t>ACQ-07.10</t>
        </is>
      </c>
      <c r="B79" s="67" t="inlineStr">
        <is>
          <t>ACQ-07</t>
        </is>
      </c>
      <c r="C79" s="95">
        <f>IFERROR(INDEX(Thèmes!$D$2:$D$190,MATCH(B79,Thèmes!$A$2:$A$190,0)),"")</f>
        <v/>
      </c>
      <c r="D79" s="68" t="inlineStr">
        <is>
          <t>—</t>
        </is>
      </c>
      <c r="E79" s="68" t="inlineStr">
        <is>
          <t>Coût par rendez-vous</t>
        </is>
      </c>
      <c r="F79" s="68" t="inlineStr">
        <is>
          <t>€</t>
        </is>
      </c>
      <c r="G79" s="96" t="inlineStr">
        <is>
          <t>Calculée</t>
        </is>
      </c>
      <c r="H79" s="67" t="inlineStr">
        <is>
          <t>—</t>
        </is>
      </c>
      <c r="I79" s="68" t="inlineStr">
        <is>
          <t>—</t>
        </is>
      </c>
      <c r="J79" s="68" t="inlineStr">
        <is>
          <t>—</t>
        </is>
      </c>
      <c r="K79" s="67" t="inlineStr">
        <is>
          <t>●</t>
        </is>
      </c>
      <c r="L79" s="67" t="n"/>
      <c r="M79" s="67" t="n"/>
      <c r="N79" s="67" t="n"/>
      <c r="O79" s="67" t="inlineStr">
        <is>
          <t>●</t>
        </is>
      </c>
      <c r="P79" s="67" t="inlineStr">
        <is>
          <t>●</t>
        </is>
      </c>
      <c r="Q79" s="67" t="n"/>
      <c r="R79" s="67" t="n"/>
      <c r="S79" s="68" t="inlineStr">
        <is>
          <t>Levier</t>
        </is>
      </c>
      <c r="T79" s="68" t="inlineStr">
        <is>
          <t>Budget total ÷ rendez-vous obtenus</t>
        </is>
      </c>
      <c r="U79" s="68" t="inlineStr">
        <is>
          <t>ACQ-07.06, ACQ-09.01</t>
        </is>
      </c>
      <c r="V79" s="68" t="inlineStr">
        <is>
          <t>Affichée dans le rapport</t>
        </is>
      </c>
      <c r="W79" s="83" t="n"/>
    </row>
    <row r="80" ht="23.85" customHeight="1" s="53">
      <c r="A80" s="81" t="inlineStr">
        <is>
          <t>ACQ-07.11</t>
        </is>
      </c>
      <c r="B80" s="67" t="inlineStr">
        <is>
          <t>ACQ-07</t>
        </is>
      </c>
      <c r="C80" s="95">
        <f>IFERROR(INDEX(Thèmes!$D$2:$D$190,MATCH(B80,Thèmes!$A$2:$A$190,0)),"")</f>
        <v/>
      </c>
      <c r="D80" s="68" t="inlineStr">
        <is>
          <t>—</t>
        </is>
      </c>
      <c r="E80" s="68" t="inlineStr">
        <is>
          <t>Coût d'acquisition d'un client (global)</t>
        </is>
      </c>
      <c r="F80" s="68" t="inlineStr">
        <is>
          <t>€</t>
        </is>
      </c>
      <c r="G80" s="96" t="inlineStr">
        <is>
          <t>Calculée</t>
        </is>
      </c>
      <c r="H80" s="67" t="inlineStr">
        <is>
          <t>—</t>
        </is>
      </c>
      <c r="I80" s="68" t="inlineStr">
        <is>
          <t>—</t>
        </is>
      </c>
      <c r="J80" s="68" t="inlineStr">
        <is>
          <t>—</t>
        </is>
      </c>
      <c r="K80" s="67" t="inlineStr">
        <is>
          <t>●</t>
        </is>
      </c>
      <c r="L80" s="67" t="n"/>
      <c r="M80" s="67" t="inlineStr">
        <is>
          <t>●</t>
        </is>
      </c>
      <c r="N80" s="67" t="n"/>
      <c r="O80" s="67" t="inlineStr">
        <is>
          <t>●</t>
        </is>
      </c>
      <c r="P80" s="67" t="inlineStr">
        <is>
          <t>●</t>
        </is>
      </c>
      <c r="Q80" s="67" t="inlineStr">
        <is>
          <t>●</t>
        </is>
      </c>
      <c r="R80" s="67" t="n"/>
      <c r="S80" s="68" t="inlineStr">
        <is>
          <t>Perte</t>
        </is>
      </c>
      <c r="T80" s="68" t="inlineStr">
        <is>
          <t>(Budget total + commissions) ÷ nouveaux clients du mois</t>
        </is>
      </c>
      <c r="U80" s="68" t="inlineStr">
        <is>
          <t>ACQ-07.06, ACQ-07.07, ACQ-11.01</t>
        </is>
      </c>
      <c r="V80" s="68" t="inlineStr">
        <is>
          <t>ACQ-18.05, FIN-32.01, XA18, XF48</t>
        </is>
      </c>
      <c r="W80" s="83" t="n"/>
    </row>
    <row r="81" ht="35.05" customHeight="1" s="53">
      <c r="A81" s="81" t="inlineStr">
        <is>
          <t>ACQ-07.12</t>
        </is>
      </c>
      <c r="B81" s="67" t="inlineStr">
        <is>
          <t>ACQ-07</t>
        </is>
      </c>
      <c r="C81" s="95">
        <f>IFERROR(INDEX(Thèmes!$D$2:$D$190,MATCH(B81,Thèmes!$A$2:$A$190,0)),"")</f>
        <v/>
      </c>
      <c r="D81" s="68" t="inlineStr">
        <is>
          <t>—</t>
        </is>
      </c>
      <c r="E81" s="68" t="inlineStr">
        <is>
          <t>CA venant des canaux payants</t>
        </is>
      </c>
      <c r="F81" s="68" t="inlineStr">
        <is>
          <t>€</t>
        </is>
      </c>
      <c r="G81" s="96" t="inlineStr">
        <is>
          <t>Calculée</t>
        </is>
      </c>
      <c r="H81" s="67" t="inlineStr">
        <is>
          <t>—</t>
        </is>
      </c>
      <c r="I81" s="68" t="inlineStr">
        <is>
          <t>—</t>
        </is>
      </c>
      <c r="J81" s="68" t="inlineStr">
        <is>
          <t>—</t>
        </is>
      </c>
      <c r="K81" s="67" t="inlineStr">
        <is>
          <t>●</t>
        </is>
      </c>
      <c r="L81" s="67" t="inlineStr">
        <is>
          <t>●</t>
        </is>
      </c>
      <c r="M81" s="67" t="inlineStr">
        <is>
          <t>●</t>
        </is>
      </c>
      <c r="N81" s="67" t="inlineStr">
        <is>
          <t>●</t>
        </is>
      </c>
      <c r="O81" s="67" t="inlineStr">
        <is>
          <t>●</t>
        </is>
      </c>
      <c r="P81" s="67" t="inlineStr">
        <is>
          <t>●</t>
        </is>
      </c>
      <c r="Q81" s="67" t="inlineStr">
        <is>
          <t>●</t>
        </is>
      </c>
      <c r="R81" s="67" t="inlineStr">
        <is>
          <t>●</t>
        </is>
      </c>
      <c r="S81" s="68" t="inlineStr">
        <is>
          <t>Mesure</t>
        </is>
      </c>
      <c r="T81" s="68" t="inlineStr">
        <is>
          <t>Somme du CA des canaux qui ont une dépense ou une commission</t>
        </is>
      </c>
      <c r="U81" s="68" t="inlineStr">
        <is>
          <t>ACQ-03.04, ACQ-03.05, ACQ-07.02, Inscription · CA mensuel</t>
        </is>
      </c>
      <c r="V81" s="68" t="inlineStr">
        <is>
          <t>ACQ-07.13</t>
        </is>
      </c>
      <c r="W81" s="83" t="n"/>
    </row>
    <row r="82" ht="23.85" customHeight="1" s="53">
      <c r="A82" s="81" t="inlineStr">
        <is>
          <t>ACQ-07.13</t>
        </is>
      </c>
      <c r="B82" s="67" t="inlineStr">
        <is>
          <t>ACQ-07</t>
        </is>
      </c>
      <c r="C82" s="95">
        <f>IFERROR(INDEX(Thèmes!$D$2:$D$190,MATCH(B82,Thèmes!$A$2:$A$190,0)),"")</f>
        <v/>
      </c>
      <c r="D82" s="68" t="inlineStr">
        <is>
          <t>—</t>
        </is>
      </c>
      <c r="E82" s="68" t="inlineStr">
        <is>
          <t>Rendement global du marketing</t>
        </is>
      </c>
      <c r="F82" s="68" t="inlineStr">
        <is>
          <t>Ratio</t>
        </is>
      </c>
      <c r="G82" s="96" t="inlineStr">
        <is>
          <t>Calculée</t>
        </is>
      </c>
      <c r="H82" s="67" t="inlineStr">
        <is>
          <t>—</t>
        </is>
      </c>
      <c r="I82" s="68" t="inlineStr">
        <is>
          <t>—</t>
        </is>
      </c>
      <c r="J82" s="68" t="inlineStr">
        <is>
          <t>—</t>
        </is>
      </c>
      <c r="K82" s="67" t="inlineStr">
        <is>
          <t>●</t>
        </is>
      </c>
      <c r="L82" s="67" t="inlineStr">
        <is>
          <t>●</t>
        </is>
      </c>
      <c r="M82" s="67" t="inlineStr">
        <is>
          <t>●</t>
        </is>
      </c>
      <c r="N82" s="67" t="inlineStr">
        <is>
          <t>●</t>
        </is>
      </c>
      <c r="O82" s="67" t="inlineStr">
        <is>
          <t>●</t>
        </is>
      </c>
      <c r="P82" s="67" t="inlineStr">
        <is>
          <t>●</t>
        </is>
      </c>
      <c r="Q82" s="67" t="inlineStr">
        <is>
          <t>●</t>
        </is>
      </c>
      <c r="R82" s="67" t="inlineStr">
        <is>
          <t>●</t>
        </is>
      </c>
      <c r="S82" s="68" t="inlineStr">
        <is>
          <t>Levier</t>
        </is>
      </c>
      <c r="T82" s="68" t="inlineStr">
        <is>
          <t>CA des canaux payants ÷ (budget total + commissions)</t>
        </is>
      </c>
      <c r="U82" s="68" t="inlineStr">
        <is>
          <t>ACQ-07.12, ACQ-07.06, ACQ-07.07</t>
        </is>
      </c>
      <c r="V82" s="68" t="inlineStr">
        <is>
          <t>Affichée dans le rapport</t>
        </is>
      </c>
      <c r="W82" s="83" t="n"/>
    </row>
    <row r="83" ht="23.85" customHeight="1" s="53">
      <c r="A83" s="81" t="inlineStr">
        <is>
          <t>ACQ-07.14</t>
        </is>
      </c>
      <c r="B83" s="67" t="inlineStr">
        <is>
          <t>ACQ-07</t>
        </is>
      </c>
      <c r="C83" s="95">
        <f>IFERROR(INDEX(Thèmes!$D$2:$D$190,MATCH(B83,Thèmes!$A$2:$A$190,0)),"")</f>
        <v/>
      </c>
      <c r="D83" s="68" t="inlineStr">
        <is>
          <t>—</t>
        </is>
      </c>
      <c r="E83" s="68" t="inlineStr">
        <is>
          <t>Évolution du budget comparée à celle des nouveaux clients</t>
        </is>
      </c>
      <c r="F83" s="68" t="inlineStr">
        <is>
          <t>%</t>
        </is>
      </c>
      <c r="G83" s="96" t="inlineStr">
        <is>
          <t>Calculée</t>
        </is>
      </c>
      <c r="H83" s="67" t="inlineStr">
        <is>
          <t>—</t>
        </is>
      </c>
      <c r="I83" s="68" t="inlineStr">
        <is>
          <t>—</t>
        </is>
      </c>
      <c r="J83" s="68" t="inlineStr">
        <is>
          <t>—</t>
        </is>
      </c>
      <c r="K83" s="67" t="inlineStr">
        <is>
          <t>●</t>
        </is>
      </c>
      <c r="L83" s="67" t="n"/>
      <c r="M83" s="67" t="inlineStr">
        <is>
          <t>●</t>
        </is>
      </c>
      <c r="N83" s="67" t="n"/>
      <c r="O83" s="67" t="inlineStr">
        <is>
          <t>●</t>
        </is>
      </c>
      <c r="P83" s="67" t="inlineStr">
        <is>
          <t>●</t>
        </is>
      </c>
      <c r="Q83" s="67" t="inlineStr">
        <is>
          <t>●</t>
        </is>
      </c>
      <c r="R83" s="67" t="n"/>
      <c r="S83" s="68" t="inlineStr">
        <is>
          <t>Problème</t>
        </is>
      </c>
      <c r="T83" s="68" t="inlineStr">
        <is>
          <t>Budget marketing par mois aujourd'hui (ACQ-07.06) comparé au budget d'il y a 12 mois (ACQ-07.05, même périmètre), à côté de l'évolution des nouveaux clients (ACQ-11.18) : deux chiffres, sans conclusion automatique.</t>
        </is>
      </c>
      <c r="U83" s="68" t="inlineStr">
        <is>
          <t>ACQ-07.06, ACQ-07.05, ACQ-11.18</t>
        </is>
      </c>
      <c r="V83" s="68" t="inlineStr">
        <is>
          <t>Affichée dans le rapport</t>
        </is>
      </c>
      <c r="W83" s="83" t="n"/>
    </row>
    <row r="84" ht="57.45" customHeight="1" s="53">
      <c r="A84" s="81" t="inlineStr">
        <is>
          <t>ACQ-07.15</t>
        </is>
      </c>
      <c r="B84" s="67" t="inlineStr">
        <is>
          <t>ACQ-07</t>
        </is>
      </c>
      <c r="C84" s="95">
        <f>IFERROR(INDEX(Thèmes!$D$2:$D$190,MATCH(B84,Thèmes!$A$2:$A$190,0)),"")</f>
        <v/>
      </c>
      <c r="D84" s="68" t="inlineStr">
        <is>
          <t>A08 · Votre budget marketing</t>
        </is>
      </c>
      <c r="E84" s="68" t="inlineStr">
        <is>
          <t>Parmi les clients venus par une plateforme, quelle part revient ensuite vous voir sans passer par elle ?</t>
        </is>
      </c>
      <c r="F84" s="68" t="inlineStr">
        <is>
          <t>%</t>
        </is>
      </c>
      <c r="G84" s="96" t="inlineStr">
        <is>
          <t>Demandée</t>
        </is>
      </c>
      <c r="H84" s="67" t="inlineStr">
        <is>
          <t>Approfondi</t>
        </is>
      </c>
      <c r="I84" s="68" t="inlineStr">
        <is>
          <t>D03 · si « plateformes » est coché</t>
        </is>
      </c>
      <c r="J84" s="68" t="inlineStr">
        <is>
          <t>—</t>
        </is>
      </c>
      <c r="K84" s="67" t="inlineStr">
        <is>
          <t>●</t>
        </is>
      </c>
      <c r="L84" s="67" t="inlineStr">
        <is>
          <t>●</t>
        </is>
      </c>
      <c r="M84" s="67" t="inlineStr">
        <is>
          <t>●</t>
        </is>
      </c>
      <c r="N84" s="67" t="inlineStr">
        <is>
          <t>●</t>
        </is>
      </c>
      <c r="O84" s="67" t="n"/>
      <c r="P84" s="67" t="n"/>
      <c r="Q84" s="67" t="n"/>
      <c r="R84" s="67" t="inlineStr">
        <is>
          <t>●</t>
        </is>
      </c>
      <c r="S84" s="68" t="inlineStr">
        <is>
          <t>—</t>
        </is>
      </c>
      <c r="T84" s="68" t="inlineStr">
        <is>
          <t>—</t>
        </is>
      </c>
      <c r="U84" s="68" t="inlineStr">
        <is>
          <t>—</t>
        </is>
      </c>
      <c r="V84" s="68" t="inlineStr">
        <is>
          <t>Lue par l'IA pour adapter le conseil</t>
        </is>
      </c>
      <c r="W84" s="83" t="inlineStr">
        <is>
          <t>Nouveau : profils et condition proposés, à valider</t>
        </is>
      </c>
    </row>
    <row r="85" ht="15" customHeight="1" s="53">
      <c r="A85" s="85" t="inlineStr">
        <is>
          <t>ACQ-08.01</t>
        </is>
      </c>
      <c r="B85" s="89" t="inlineStr">
        <is>
          <t>ACQ-08</t>
        </is>
      </c>
      <c r="C85" s="97">
        <f>IFERROR(INDEX(Thèmes!$D$2:$D$190,MATCH(B85,Thèmes!$A$2:$A$190,0)),"")</f>
        <v/>
      </c>
      <c r="D85" s="86" t="inlineStr">
        <is>
          <t>A09 · Votre réactivité</t>
        </is>
      </c>
      <c r="E85" s="86" t="inlineStr">
        <is>
          <t>Répartition de vos réponses à toutes les demandes — appels décrochés, emails, formulaires, messages : moins de 5 min, moins d'1 h, moins de 24 h, plus d'un jour, jamais (les appels manqués sont comptés juste après)</t>
        </is>
      </c>
      <c r="F85" s="86" t="inlineStr">
        <is>
          <t>Tranches en %</t>
        </is>
      </c>
      <c r="G85" s="89" t="inlineStr">
        <is>
          <t>Demandée</t>
        </is>
      </c>
      <c r="H85" s="89" t="inlineStr">
        <is>
          <t>Essentiel</t>
        </is>
      </c>
      <c r="I85" s="86" t="inlineStr">
        <is>
          <t>—</t>
        </is>
      </c>
      <c r="J85" s="86" t="inlineStr">
        <is>
          <t>—</t>
        </is>
      </c>
      <c r="K85" s="89" t="inlineStr">
        <is>
          <t>●</t>
        </is>
      </c>
      <c r="L85" s="89" t="inlineStr">
        <is>
          <t>●</t>
        </is>
      </c>
      <c r="M85" s="89" t="inlineStr">
        <is>
          <t>●</t>
        </is>
      </c>
      <c r="N85" s="89" t="inlineStr">
        <is>
          <t>●</t>
        </is>
      </c>
      <c r="O85" s="89" t="inlineStr">
        <is>
          <t>●</t>
        </is>
      </c>
      <c r="P85" s="89" t="inlineStr">
        <is>
          <t>●</t>
        </is>
      </c>
      <c r="Q85" s="89" t="inlineStr">
        <is>
          <t>●</t>
        </is>
      </c>
      <c r="R85" s="89" t="inlineStr">
        <is>
          <t>●</t>
        </is>
      </c>
      <c r="S85" s="86" t="inlineStr">
        <is>
          <t>Problème, Perte</t>
        </is>
      </c>
      <c r="T85" s="86" t="inlineStr">
        <is>
          <t>—</t>
        </is>
      </c>
      <c r="U85" s="86" t="inlineStr">
        <is>
          <t>—</t>
        </is>
      </c>
      <c r="V85" s="86" t="inlineStr">
        <is>
          <t>ACQ-08.07, ACQ-08.08</t>
        </is>
      </c>
      <c r="W85" s="91" t="n"/>
    </row>
    <row r="86" ht="23.85" customHeight="1" s="53">
      <c r="A86" s="94" t="inlineStr">
        <is>
          <t>ACQ-08.02</t>
        </is>
      </c>
      <c r="B86" s="67" t="inlineStr">
        <is>
          <t>ACQ-08</t>
        </is>
      </c>
      <c r="C86" s="95">
        <f>IFERROR(INDEX(Thèmes!$D$2:$D$190,MATCH(B86,Thèmes!$A$2:$A$190,0)),"")</f>
        <v/>
      </c>
      <c r="D86" s="68" t="inlineStr">
        <is>
          <t>A09 · Votre réactivité</t>
        </is>
      </c>
      <c r="E86" s="68" t="inlineStr">
        <is>
          <t>Appels manqués par semaine — déclencheur D37</t>
        </is>
      </c>
      <c r="F86" s="68" t="inlineStr">
        <is>
          <t>Nombre</t>
        </is>
      </c>
      <c r="G86" s="67" t="inlineStr">
        <is>
          <t>Demandée</t>
        </is>
      </c>
      <c r="H86" s="67" t="inlineStr">
        <is>
          <t>Essentiel</t>
        </is>
      </c>
      <c r="I86" s="68" t="inlineStr">
        <is>
          <t>—</t>
        </is>
      </c>
      <c r="J86" s="68" t="inlineStr">
        <is>
          <t>—</t>
        </is>
      </c>
      <c r="K86" s="67" t="inlineStr">
        <is>
          <t>●</t>
        </is>
      </c>
      <c r="L86" s="67" t="inlineStr">
        <is>
          <t>●</t>
        </is>
      </c>
      <c r="M86" s="67" t="n"/>
      <c r="N86" s="67" t="inlineStr">
        <is>
          <t>●</t>
        </is>
      </c>
      <c r="O86" s="67" t="inlineStr">
        <is>
          <t>●</t>
        </is>
      </c>
      <c r="P86" s="67" t="inlineStr">
        <is>
          <t>●</t>
        </is>
      </c>
      <c r="Q86" s="67" t="inlineStr">
        <is>
          <t>●</t>
        </is>
      </c>
      <c r="R86" s="67" t="inlineStr">
        <is>
          <t>●</t>
        </is>
      </c>
      <c r="S86" s="68" t="inlineStr">
        <is>
          <t>Perte</t>
        </is>
      </c>
      <c r="T86" s="68" t="inlineStr">
        <is>
          <t>—</t>
        </is>
      </c>
      <c r="U86" s="68" t="inlineStr">
        <is>
          <t>—</t>
        </is>
      </c>
      <c r="V86" s="68" t="inlineStr">
        <is>
          <t>ACQ-08.09</t>
        </is>
      </c>
      <c r="W86" s="83" t="inlineStr">
        <is>
          <t>Libellé (« Donnée »)</t>
        </is>
      </c>
    </row>
    <row r="87" ht="23.85" customHeight="1" s="53">
      <c r="A87" s="94" t="inlineStr">
        <is>
          <t>ACQ-08.03</t>
        </is>
      </c>
      <c r="B87" s="67" t="inlineStr">
        <is>
          <t>ACQ-08</t>
        </is>
      </c>
      <c r="C87" s="95">
        <f>IFERROR(INDEX(Thèmes!$D$2:$D$190,MATCH(B87,Thèmes!$A$2:$A$190,0)),"")</f>
        <v/>
      </c>
      <c r="D87" s="68" t="inlineStr">
        <is>
          <t>A09 · Votre réactivité</t>
        </is>
      </c>
      <c r="E87" s="68" t="inlineStr">
        <is>
          <t>Part des appels manqués que vous rappelez</t>
        </is>
      </c>
      <c r="F87" s="68" t="inlineStr">
        <is>
          <t>%</t>
        </is>
      </c>
      <c r="G87" s="67" t="inlineStr">
        <is>
          <t>Demandée</t>
        </is>
      </c>
      <c r="H87" s="67" t="inlineStr">
        <is>
          <t>Essentiel</t>
        </is>
      </c>
      <c r="I87" s="99" t="inlineStr">
        <is>
          <t>D37 · si vous manquez des appels</t>
        </is>
      </c>
      <c r="J87" s="68" t="inlineStr">
        <is>
          <t>—</t>
        </is>
      </c>
      <c r="K87" s="67" t="inlineStr">
        <is>
          <t>●</t>
        </is>
      </c>
      <c r="L87" s="67" t="inlineStr">
        <is>
          <t>●</t>
        </is>
      </c>
      <c r="M87" s="67" t="n"/>
      <c r="N87" s="67" t="inlineStr">
        <is>
          <t>●</t>
        </is>
      </c>
      <c r="O87" s="67" t="inlineStr">
        <is>
          <t>●</t>
        </is>
      </c>
      <c r="P87" s="67" t="inlineStr">
        <is>
          <t>●</t>
        </is>
      </c>
      <c r="Q87" s="67" t="inlineStr">
        <is>
          <t>●</t>
        </is>
      </c>
      <c r="R87" s="67" t="inlineStr">
        <is>
          <t>●</t>
        </is>
      </c>
      <c r="S87" s="68" t="inlineStr">
        <is>
          <t>Perte</t>
        </is>
      </c>
      <c r="T87" s="68" t="inlineStr">
        <is>
          <t>—</t>
        </is>
      </c>
      <c r="U87" s="68" t="inlineStr">
        <is>
          <t>—</t>
        </is>
      </c>
      <c r="V87" s="68" t="inlineStr">
        <is>
          <t>ACQ-08.09</t>
        </is>
      </c>
      <c r="W87" s="83" t="inlineStr">
        <is>
          <t>Condition d'affichage</t>
        </is>
      </c>
    </row>
    <row r="88" ht="23.85" customHeight="1" s="53">
      <c r="A88" s="81" t="inlineStr">
        <is>
          <t>ACQ-08.04</t>
        </is>
      </c>
      <c r="B88" s="67" t="inlineStr">
        <is>
          <t>ACQ-08</t>
        </is>
      </c>
      <c r="C88" s="95">
        <f>IFERROR(INDEX(Thèmes!$D$2:$D$190,MATCH(B88,Thèmes!$A$2:$A$190,0)),"")</f>
        <v/>
      </c>
      <c r="D88" s="68" t="inlineStr">
        <is>
          <t>A09 · Votre réactivité</t>
        </is>
      </c>
      <c r="E88" s="68" t="inlineStr">
        <is>
          <t>Canal sur lequel vous répondez le plus lentement : téléphone, email, formulaire, messages</t>
        </is>
      </c>
      <c r="F88" s="68" t="inlineStr">
        <is>
          <t>Choix</t>
        </is>
      </c>
      <c r="G88" s="67" t="inlineStr">
        <is>
          <t>Demandée</t>
        </is>
      </c>
      <c r="H88" s="67" t="inlineStr">
        <is>
          <t>Approfondi</t>
        </is>
      </c>
      <c r="I88" s="68" t="inlineStr">
        <is>
          <t>—</t>
        </is>
      </c>
      <c r="J88" s="68" t="inlineStr">
        <is>
          <t>—</t>
        </is>
      </c>
      <c r="K88" s="67" t="inlineStr">
        <is>
          <t>●</t>
        </is>
      </c>
      <c r="L88" s="67" t="inlineStr">
        <is>
          <t>●</t>
        </is>
      </c>
      <c r="M88" s="67" t="inlineStr">
        <is>
          <t>●</t>
        </is>
      </c>
      <c r="N88" s="67" t="inlineStr">
        <is>
          <t>●</t>
        </is>
      </c>
      <c r="O88" s="67" t="inlineStr">
        <is>
          <t>●</t>
        </is>
      </c>
      <c r="P88" s="67" t="inlineStr">
        <is>
          <t>●</t>
        </is>
      </c>
      <c r="Q88" s="67" t="inlineStr">
        <is>
          <t>●</t>
        </is>
      </c>
      <c r="R88" s="67" t="inlineStr">
        <is>
          <t>●</t>
        </is>
      </c>
      <c r="S88" s="68" t="inlineStr">
        <is>
          <t>Levier</t>
        </is>
      </c>
      <c r="T88" s="68" t="inlineStr">
        <is>
          <t>—</t>
        </is>
      </c>
      <c r="U88" s="68" t="inlineStr">
        <is>
          <t>—</t>
        </is>
      </c>
      <c r="V88" s="68" t="inlineStr">
        <is>
          <t>Lue par l'IA pour adapter le conseil</t>
        </is>
      </c>
      <c r="W88" s="83" t="n"/>
    </row>
    <row r="89" ht="35.05" customHeight="1" s="53">
      <c r="A89" s="81" t="inlineStr">
        <is>
          <t>ACQ-08.05</t>
        </is>
      </c>
      <c r="B89" s="67" t="inlineStr">
        <is>
          <t>ACQ-08</t>
        </is>
      </c>
      <c r="C89" s="95">
        <f>IFERROR(INDEX(Thèmes!$D$2:$D$190,MATCH(B89,Thèmes!$A$2:$A$190,0)),"")</f>
        <v/>
      </c>
      <c r="D89" s="68" t="inlineStr">
        <is>
          <t>A09 · Votre réactivité</t>
        </is>
      </c>
      <c r="E89" s="68" t="inlineStr">
        <is>
          <t>Délai de réponse à une demande reçue hors horaires : dans l'heure, le lendemain, plus tard</t>
        </is>
      </c>
      <c r="F89" s="68" t="inlineStr">
        <is>
          <t>Choix</t>
        </is>
      </c>
      <c r="G89" s="67" t="inlineStr">
        <is>
          <t>Demandée</t>
        </is>
      </c>
      <c r="H89" s="67" t="inlineStr">
        <is>
          <t>Approfondi</t>
        </is>
      </c>
      <c r="I89" s="68" t="inlineStr">
        <is>
          <t>—</t>
        </is>
      </c>
      <c r="J89" s="68" t="inlineStr">
        <is>
          <t>—</t>
        </is>
      </c>
      <c r="K89" s="67" t="inlineStr">
        <is>
          <t>●</t>
        </is>
      </c>
      <c r="L89" s="67" t="inlineStr">
        <is>
          <t>●</t>
        </is>
      </c>
      <c r="M89" s="67" t="inlineStr">
        <is>
          <t>●</t>
        </is>
      </c>
      <c r="N89" s="67" t="inlineStr">
        <is>
          <t>●</t>
        </is>
      </c>
      <c r="O89" s="67" t="inlineStr">
        <is>
          <t>●</t>
        </is>
      </c>
      <c r="P89" s="67" t="inlineStr">
        <is>
          <t>●</t>
        </is>
      </c>
      <c r="Q89" s="67" t="inlineStr">
        <is>
          <t>●</t>
        </is>
      </c>
      <c r="R89" s="67" t="inlineStr">
        <is>
          <t>●</t>
        </is>
      </c>
      <c r="S89" s="68" t="inlineStr">
        <is>
          <t>Problème</t>
        </is>
      </c>
      <c r="T89" s="68" t="inlineStr">
        <is>
          <t>—</t>
        </is>
      </c>
      <c r="U89" s="68" t="inlineStr">
        <is>
          <t>—</t>
        </is>
      </c>
      <c r="V89" s="68" t="inlineStr">
        <is>
          <t>XA41</t>
        </is>
      </c>
      <c r="W89" s="83" t="n"/>
    </row>
    <row r="90" ht="23.85" customHeight="1" s="53">
      <c r="A90" s="81" t="inlineStr">
        <is>
          <t>ACQ-08.06</t>
        </is>
      </c>
      <c r="B90" s="67" t="inlineStr">
        <is>
          <t>ACQ-08</t>
        </is>
      </c>
      <c r="C90" s="95">
        <f>IFERROR(INDEX(Thèmes!$D$2:$D$190,MATCH(B90,Thèmes!$A$2:$A$190,0)),"")</f>
        <v/>
      </c>
      <c r="D90" s="68" t="inlineStr">
        <is>
          <t>A09 · Votre réactivité</t>
        </is>
      </c>
      <c r="E90" s="68" t="inlineStr">
        <is>
          <t>Taux de transformation selon le délai de réponse</t>
        </is>
      </c>
      <c r="F90" s="68" t="inlineStr">
        <is>
          <t>%</t>
        </is>
      </c>
      <c r="G90" s="101" t="inlineStr">
        <is>
          <t>Importée</t>
        </is>
      </c>
      <c r="H90" s="67" t="inlineStr">
        <is>
          <t>Approfondi</t>
        </is>
      </c>
      <c r="I90" s="68" t="inlineStr">
        <is>
          <t>—</t>
        </is>
      </c>
      <c r="J90" s="68" t="inlineStr">
        <is>
          <t>—</t>
        </is>
      </c>
      <c r="K90" s="67" t="inlineStr">
        <is>
          <t>●</t>
        </is>
      </c>
      <c r="L90" s="67" t="inlineStr">
        <is>
          <t>●</t>
        </is>
      </c>
      <c r="M90" s="67" t="inlineStr">
        <is>
          <t>●</t>
        </is>
      </c>
      <c r="N90" s="67" t="inlineStr">
        <is>
          <t>●</t>
        </is>
      </c>
      <c r="O90" s="67" t="inlineStr">
        <is>
          <t>●</t>
        </is>
      </c>
      <c r="P90" s="67" t="inlineStr">
        <is>
          <t>●</t>
        </is>
      </c>
      <c r="Q90" s="67" t="inlineStr">
        <is>
          <t>●</t>
        </is>
      </c>
      <c r="R90" s="67" t="inlineStr">
        <is>
          <t>●</t>
        </is>
      </c>
      <c r="S90" s="68" t="inlineStr">
        <is>
          <t>Levier</t>
        </is>
      </c>
      <c r="T90" s="68" t="inlineStr">
        <is>
          <t>Disponible seulement si un outil de suivi des contacts est connecté ; jamais demandé au dirigeant</t>
        </is>
      </c>
      <c r="U90" s="68" t="inlineStr">
        <is>
          <t>—</t>
        </is>
      </c>
      <c r="V90" s="68" t="inlineStr">
        <is>
          <t>Lue par l'IA pour adapter le conseil</t>
        </is>
      </c>
      <c r="W90" s="83" t="n"/>
    </row>
    <row r="91" ht="15" customHeight="1" s="53">
      <c r="A91" s="81" t="inlineStr">
        <is>
          <t>ACQ-08.07</t>
        </is>
      </c>
      <c r="B91" s="67" t="inlineStr">
        <is>
          <t>ACQ-08</t>
        </is>
      </c>
      <c r="C91" s="95">
        <f>IFERROR(INDEX(Thèmes!$D$2:$D$190,MATCH(B91,Thèmes!$A$2:$A$190,0)),"")</f>
        <v/>
      </c>
      <c r="D91" s="68" t="inlineStr">
        <is>
          <t>—</t>
        </is>
      </c>
      <c r="E91" s="68" t="inlineStr">
        <is>
          <t>Délai médian de réponse</t>
        </is>
      </c>
      <c r="F91" s="68" t="inlineStr">
        <is>
          <t>Tranche</t>
        </is>
      </c>
      <c r="G91" s="96" t="inlineStr">
        <is>
          <t>Calculée</t>
        </is>
      </c>
      <c r="H91" s="67" t="inlineStr">
        <is>
          <t>—</t>
        </is>
      </c>
      <c r="I91" s="68" t="inlineStr">
        <is>
          <t>—</t>
        </is>
      </c>
      <c r="J91" s="68" t="inlineStr">
        <is>
          <t>—</t>
        </is>
      </c>
      <c r="K91" s="67" t="inlineStr">
        <is>
          <t>●</t>
        </is>
      </c>
      <c r="L91" s="67" t="inlineStr">
        <is>
          <t>●</t>
        </is>
      </c>
      <c r="M91" s="67" t="inlineStr">
        <is>
          <t>●</t>
        </is>
      </c>
      <c r="N91" s="67" t="inlineStr">
        <is>
          <t>●</t>
        </is>
      </c>
      <c r="O91" s="67" t="inlineStr">
        <is>
          <t>●</t>
        </is>
      </c>
      <c r="P91" s="67" t="inlineStr">
        <is>
          <t>●</t>
        </is>
      </c>
      <c r="Q91" s="67" t="inlineStr">
        <is>
          <t>●</t>
        </is>
      </c>
      <c r="R91" s="67" t="inlineStr">
        <is>
          <t>●</t>
        </is>
      </c>
      <c r="S91" s="68" t="inlineStr">
        <is>
          <t>Cible</t>
        </is>
      </c>
      <c r="T91" s="68" t="inlineStr">
        <is>
          <t>Tranche dans laquelle on atteint 50 % des réponses</t>
        </is>
      </c>
      <c r="U91" s="68" t="inlineStr">
        <is>
          <t>ACQ-08.01</t>
        </is>
      </c>
      <c r="V91" s="68" t="inlineStr">
        <is>
          <t>Affichée dans le rapport</t>
        </is>
      </c>
      <c r="W91" s="83" t="n"/>
    </row>
    <row r="92" ht="23.85" customHeight="1" s="53">
      <c r="A92" s="81" t="inlineStr">
        <is>
          <t>ACQ-08.08</t>
        </is>
      </c>
      <c r="B92" s="67" t="inlineStr">
        <is>
          <t>ACQ-08</t>
        </is>
      </c>
      <c r="C92" s="95">
        <f>IFERROR(INDEX(Thèmes!$D$2:$D$190,MATCH(B92,Thèmes!$A$2:$A$190,0)),"")</f>
        <v/>
      </c>
      <c r="D92" s="68" t="inlineStr">
        <is>
          <t>—</t>
        </is>
      </c>
      <c r="E92" s="68" t="inlineStr">
        <is>
          <t>Demandes restées sans réponse par mois</t>
        </is>
      </c>
      <c r="F92" s="68" t="inlineStr">
        <is>
          <t>Nombre</t>
        </is>
      </c>
      <c r="G92" s="96" t="inlineStr">
        <is>
          <t>Calculée</t>
        </is>
      </c>
      <c r="H92" s="67" t="inlineStr">
        <is>
          <t>—</t>
        </is>
      </c>
      <c r="I92" s="68" t="inlineStr">
        <is>
          <t>—</t>
        </is>
      </c>
      <c r="J92" s="68" t="inlineStr">
        <is>
          <t>—</t>
        </is>
      </c>
      <c r="K92" s="67" t="inlineStr">
        <is>
          <t>●</t>
        </is>
      </c>
      <c r="L92" s="67" t="inlineStr">
        <is>
          <t>●</t>
        </is>
      </c>
      <c r="M92" s="67" t="inlineStr">
        <is>
          <t>●</t>
        </is>
      </c>
      <c r="N92" s="67" t="inlineStr">
        <is>
          <t>●</t>
        </is>
      </c>
      <c r="O92" s="67" t="inlineStr">
        <is>
          <t>●</t>
        </is>
      </c>
      <c r="P92" s="67" t="inlineStr">
        <is>
          <t>●</t>
        </is>
      </c>
      <c r="Q92" s="67" t="inlineStr">
        <is>
          <t>●</t>
        </is>
      </c>
      <c r="R92" s="67" t="inlineStr">
        <is>
          <t>●</t>
        </is>
      </c>
      <c r="S92" s="68" t="inlineStr">
        <is>
          <t>Perte</t>
        </is>
      </c>
      <c r="T92" s="68" t="inlineStr">
        <is>
          <t>Demandes reçues × part « jamais »</t>
        </is>
      </c>
      <c r="U92" s="68" t="inlineStr">
        <is>
          <t>ACQ-02.01, ACQ-08.01</t>
        </is>
      </c>
      <c r="V92" s="68" t="inlineStr">
        <is>
          <t>ACQ-08.09</t>
        </is>
      </c>
      <c r="W92" s="83" t="n"/>
    </row>
    <row r="93" ht="23.85" customHeight="1" s="53">
      <c r="A93" s="81" t="inlineStr">
        <is>
          <t>ACQ-08.09</t>
        </is>
      </c>
      <c r="B93" s="67" t="inlineStr">
        <is>
          <t>ACQ-08</t>
        </is>
      </c>
      <c r="C93" s="95">
        <f>IFERROR(INDEX(Thèmes!$D$2:$D$190,MATCH(B93,Thèmes!$A$2:$A$190,0)),"")</f>
        <v/>
      </c>
      <c r="D93" s="68" t="inlineStr">
        <is>
          <t>—</t>
        </is>
      </c>
      <c r="E93" s="68" t="inlineStr">
        <is>
          <t>CA perdu par an sur les demandes sans réponse et les appels non rappelés</t>
        </is>
      </c>
      <c r="F93" s="68" t="inlineStr">
        <is>
          <t>€</t>
        </is>
      </c>
      <c r="G93" s="96" t="inlineStr">
        <is>
          <t>Calculée</t>
        </is>
      </c>
      <c r="H93" s="67" t="inlineStr">
        <is>
          <t>—</t>
        </is>
      </c>
      <c r="I93" s="68" t="inlineStr">
        <is>
          <t>—</t>
        </is>
      </c>
      <c r="J93" s="68" t="inlineStr">
        <is>
          <t>—</t>
        </is>
      </c>
      <c r="K93" s="67" t="inlineStr">
        <is>
          <t>●</t>
        </is>
      </c>
      <c r="L93" s="67" t="inlineStr">
        <is>
          <t>●</t>
        </is>
      </c>
      <c r="M93" s="67" t="inlineStr">
        <is>
          <t>●</t>
        </is>
      </c>
      <c r="N93" s="67" t="inlineStr">
        <is>
          <t>●</t>
        </is>
      </c>
      <c r="O93" s="67" t="inlineStr">
        <is>
          <t>●</t>
        </is>
      </c>
      <c r="P93" s="67" t="inlineStr">
        <is>
          <t>●</t>
        </is>
      </c>
      <c r="Q93" s="67" t="inlineStr">
        <is>
          <t>●</t>
        </is>
      </c>
      <c r="R93" s="67" t="n"/>
      <c r="S93" s="68" t="inlineStr">
        <is>
          <t>Perte</t>
        </is>
      </c>
      <c r="T93" s="68" t="inlineStr">
        <is>
          <t>(Demandes sans réponse + appels non rappelés × 4,33) × valeur d'une demande × 12</t>
        </is>
      </c>
      <c r="U93" s="68" t="inlineStr">
        <is>
          <t>ACQ-08.08, ACQ-08.02, ACQ-08.03, ACQ-02.09</t>
        </is>
      </c>
      <c r="V93" s="68" t="inlineStr">
        <is>
          <t>XA04</t>
        </is>
      </c>
      <c r="W93" s="83" t="n"/>
    </row>
    <row r="94" ht="46.25" customHeight="1" s="53">
      <c r="A94" s="85" t="inlineStr">
        <is>
          <t>ACQ-09.01</t>
        </is>
      </c>
      <c r="B94" s="89" t="inlineStr">
        <is>
          <t>ACQ-09</t>
        </is>
      </c>
      <c r="C94" s="97">
        <f>IFERROR(INDEX(Thèmes!$D$2:$D$190,MATCH(B94,Thèmes!$A$2:$A$190,0)),"")</f>
        <v/>
      </c>
      <c r="D94" s="86" t="inlineStr">
        <is>
          <t>A10 · Vos rendez-vous</t>
        </is>
      </c>
      <c r="E94" s="86" t="inlineStr">
        <is>
          <t>Rendez-vous obtenus par mois</t>
        </is>
      </c>
      <c r="F94" s="86" t="inlineStr">
        <is>
          <t>Nombre</t>
        </is>
      </c>
      <c r="G94" s="89" t="inlineStr">
        <is>
          <t>Demandée</t>
        </is>
      </c>
      <c r="H94" s="89" t="inlineStr">
        <is>
          <t>Essentiel</t>
        </is>
      </c>
      <c r="I94" s="100" t="inlineStr">
        <is>
          <t>D05 · si activité sur rendez-vous</t>
        </is>
      </c>
      <c r="J94" s="86" t="inlineStr">
        <is>
          <t>—</t>
        </is>
      </c>
      <c r="K94" s="89" t="inlineStr">
        <is>
          <t>●</t>
        </is>
      </c>
      <c r="L94" s="89" t="n"/>
      <c r="M94" s="89" t="n"/>
      <c r="N94" s="89" t="n"/>
      <c r="O94" s="89" t="inlineStr">
        <is>
          <t>●</t>
        </is>
      </c>
      <c r="P94" s="89" t="inlineStr">
        <is>
          <t>●</t>
        </is>
      </c>
      <c r="Q94" s="89" t="n"/>
      <c r="R94" s="89" t="n"/>
      <c r="S94" s="86" t="inlineStr">
        <is>
          <t>Parcours</t>
        </is>
      </c>
      <c r="T94" s="86" t="inlineStr">
        <is>
          <t>—</t>
        </is>
      </c>
      <c r="U94" s="86" t="inlineStr">
        <is>
          <t>—</t>
        </is>
      </c>
      <c r="V94" s="86" t="inlineStr">
        <is>
          <t>ACQ-02.08, ACQ-07.10, ACQ-09.08, ACQ-09.09, ACQ-09.10</t>
        </is>
      </c>
      <c r="W94" s="91" t="n"/>
    </row>
    <row r="95" ht="23.85" customHeight="1" s="53">
      <c r="A95" s="94" t="inlineStr">
        <is>
          <t>ACQ-09.02</t>
        </is>
      </c>
      <c r="B95" s="67" t="inlineStr">
        <is>
          <t>ACQ-09</t>
        </is>
      </c>
      <c r="C95" s="95">
        <f>IFERROR(INDEX(Thèmes!$D$2:$D$190,MATCH(B95,Thèmes!$A$2:$A$190,0)),"")</f>
        <v/>
      </c>
      <c r="D95" s="68" t="inlineStr">
        <is>
          <t>A10 · Vos rendez-vous</t>
        </is>
      </c>
      <c r="E95" s="68" t="inlineStr">
        <is>
          <t>Rendez-vous annulés avec prévenance et absences sans prévenir, par mois (regroupe les anciennes ACQ-09.02 et ACQ-09.03)</t>
        </is>
      </c>
      <c r="F95" s="68" t="inlineStr">
        <is>
          <t>Plusieurs champs : Annulés en vous prévenant · Absents sans prévenir</t>
        </is>
      </c>
      <c r="G95" s="67" t="inlineStr">
        <is>
          <t>Demandée</t>
        </is>
      </c>
      <c r="H95" s="67" t="inlineStr">
        <is>
          <t>Essentiel</t>
        </is>
      </c>
      <c r="I95" s="99" t="inlineStr">
        <is>
          <t>D05 · si activité sur rendez-vous</t>
        </is>
      </c>
      <c r="J95" s="68" t="inlineStr">
        <is>
          <t>—</t>
        </is>
      </c>
      <c r="K95" s="67" t="inlineStr">
        <is>
          <t>●</t>
        </is>
      </c>
      <c r="L95" s="67" t="n"/>
      <c r="M95" s="67" t="n"/>
      <c r="N95" s="67" t="n"/>
      <c r="O95" s="67" t="inlineStr">
        <is>
          <t>●</t>
        </is>
      </c>
      <c r="P95" s="67" t="inlineStr">
        <is>
          <t>●</t>
        </is>
      </c>
      <c r="Q95" s="67" t="n"/>
      <c r="R95" s="67" t="n"/>
      <c r="S95" s="68" t="inlineStr">
        <is>
          <t>Perte</t>
        </is>
      </c>
      <c r="T95" s="68" t="inlineStr">
        <is>
          <t>—</t>
        </is>
      </c>
      <c r="U95" s="68" t="inlineStr">
        <is>
          <t>—</t>
        </is>
      </c>
      <c r="V95" s="68" t="inlineStr">
        <is>
          <t>ACQ-09.08</t>
        </is>
      </c>
      <c r="W95" s="83" t="inlineStr">
        <is>
          <t>Format de réponse (la banque l'emporte) · Libellé (« Donnée »)</t>
        </is>
      </c>
    </row>
    <row r="96" ht="23.85" customHeight="1" s="53">
      <c r="A96" s="94" t="inlineStr">
        <is>
          <t>ACQ-09.03</t>
        </is>
      </c>
      <c r="B96" s="67" t="inlineStr">
        <is>
          <t>ACQ-09</t>
        </is>
      </c>
      <c r="C96" s="95">
        <f>IFERROR(INDEX(Thèmes!$D$2:$D$190,MATCH(B96,Thèmes!$A$2:$A$190,0)),"")</f>
        <v/>
      </c>
      <c r="D96" s="68" t="inlineStr">
        <is>
          <t>A10 · Vos rendez-vous</t>
        </is>
      </c>
      <c r="E96" s="68" t="inlineStr">
        <is>
          <t>Absences sans prévenir par mois</t>
        </is>
      </c>
      <c r="F96" s="68" t="inlineStr">
        <is>
          <t>Nombre</t>
        </is>
      </c>
      <c r="G96" s="96" t="inlineStr">
        <is>
          <t>Calculée</t>
        </is>
      </c>
      <c r="H96" s="67" t="inlineStr">
        <is>
          <t>—</t>
        </is>
      </c>
      <c r="I96" s="99" t="inlineStr">
        <is>
          <t>D05 · si activité sur rendez-vous</t>
        </is>
      </c>
      <c r="J96" s="68" t="inlineStr">
        <is>
          <t>—</t>
        </is>
      </c>
      <c r="K96" s="67" t="inlineStr">
        <is>
          <t>●</t>
        </is>
      </c>
      <c r="L96" s="67" t="n"/>
      <c r="M96" s="67" t="n"/>
      <c r="N96" s="67" t="n"/>
      <c r="O96" s="67" t="inlineStr">
        <is>
          <t>●</t>
        </is>
      </c>
      <c r="P96" s="67" t="inlineStr">
        <is>
          <t>●</t>
        </is>
      </c>
      <c r="Q96" s="67" t="n"/>
      <c r="R96" s="67" t="n"/>
      <c r="S96" s="68" t="inlineStr">
        <is>
          <t>Perte</t>
        </is>
      </c>
      <c r="T96" s="68" t="inlineStr">
        <is>
          <t>Lue dans la réponse à ACQ-09.02 (champ « Absents sans prévenir »)</t>
        </is>
      </c>
      <c r="U96" s="68" t="inlineStr">
        <is>
          <t>ACQ-09.02</t>
        </is>
      </c>
      <c r="V96" s="68" t="inlineStr">
        <is>
          <t>ACQ-09.08, ACQ-09.10, ACQ-09.13</t>
        </is>
      </c>
      <c r="W96" s="83" t="inlineStr">
        <is>
          <t>Mode : Calculée (plus de question : la banque la lit dans une autre réponse)</t>
        </is>
      </c>
    </row>
    <row r="97" ht="23.85" customHeight="1" s="53">
      <c r="A97" s="81" t="inlineStr">
        <is>
          <t>ACQ-09.05</t>
        </is>
      </c>
      <c r="B97" s="67" t="inlineStr">
        <is>
          <t>ACQ-09</t>
        </is>
      </c>
      <c r="C97" s="95">
        <f>IFERROR(INDEX(Thèmes!$D$2:$D$190,MATCH(B97,Thèmes!$A$2:$A$190,0)),"")</f>
        <v/>
      </c>
      <c r="D97" s="68" t="inlineStr">
        <is>
          <t>A10 · Vos rendez-vous</t>
        </is>
      </c>
      <c r="E97" s="68" t="inlineStr">
        <is>
          <t>Rendez-vous nécessaires pour signer un client</t>
        </is>
      </c>
      <c r="F97" s="68" t="inlineStr">
        <is>
          <t>Nombre</t>
        </is>
      </c>
      <c r="G97" s="67" t="inlineStr">
        <is>
          <t>Demandée</t>
        </is>
      </c>
      <c r="H97" s="67" t="inlineStr">
        <is>
          <t>Essentiel</t>
        </is>
      </c>
      <c r="I97" s="99" t="inlineStr">
        <is>
          <t>D05 · si activité sur rendez-vous</t>
        </is>
      </c>
      <c r="J97" s="68" t="inlineStr">
        <is>
          <t>—</t>
        </is>
      </c>
      <c r="K97" s="67" t="n"/>
      <c r="L97" s="67" t="n"/>
      <c r="M97" s="67" t="n"/>
      <c r="N97" s="67" t="n"/>
      <c r="O97" s="67" t="inlineStr">
        <is>
          <t>●</t>
        </is>
      </c>
      <c r="P97" s="67" t="inlineStr">
        <is>
          <t>●</t>
        </is>
      </c>
      <c r="Q97" s="67" t="n"/>
      <c r="R97" s="67" t="n"/>
      <c r="S97" s="68" t="inlineStr">
        <is>
          <t>Parcours</t>
        </is>
      </c>
      <c r="T97" s="68" t="inlineStr">
        <is>
          <t>—</t>
        </is>
      </c>
      <c r="U97" s="68" t="inlineStr">
        <is>
          <t>—</t>
        </is>
      </c>
      <c r="V97" s="68" t="inlineStr">
        <is>
          <t>Notée directement (couleur du thème)</t>
        </is>
      </c>
      <c r="W97" s="83" t="n"/>
    </row>
    <row r="98" ht="23.85" customHeight="1" s="53">
      <c r="A98" s="81" t="inlineStr">
        <is>
          <t>ACQ-09.06</t>
        </is>
      </c>
      <c r="B98" s="67" t="inlineStr">
        <is>
          <t>ACQ-09</t>
        </is>
      </c>
      <c r="C98" s="95">
        <f>IFERROR(INDEX(Thèmes!$D$2:$D$190,MATCH(B98,Thèmes!$A$2:$A$190,0)),"")</f>
        <v/>
      </c>
      <c r="D98" s="68" t="inlineStr">
        <is>
          <t>A10 · Vos rendez-vous</t>
        </is>
      </c>
      <c r="E98" s="68" t="inlineStr">
        <is>
          <t>Rappel envoyé la veille du rendez-vous</t>
        </is>
      </c>
      <c r="F98" s="68" t="inlineStr">
        <is>
          <t>Toujours / parfois / jamais</t>
        </is>
      </c>
      <c r="G98" s="67" t="inlineStr">
        <is>
          <t>Demandée</t>
        </is>
      </c>
      <c r="H98" s="67" t="inlineStr">
        <is>
          <t>Approfondi</t>
        </is>
      </c>
      <c r="I98" s="99" t="inlineStr">
        <is>
          <t>D05 · si activité sur rendez-vous</t>
        </is>
      </c>
      <c r="J98" s="68" t="inlineStr">
        <is>
          <t>—</t>
        </is>
      </c>
      <c r="K98" s="67" t="inlineStr">
        <is>
          <t>●</t>
        </is>
      </c>
      <c r="L98" s="67" t="n"/>
      <c r="M98" s="67" t="n"/>
      <c r="N98" s="67" t="n"/>
      <c r="O98" s="67" t="inlineStr">
        <is>
          <t>●</t>
        </is>
      </c>
      <c r="P98" s="67" t="inlineStr">
        <is>
          <t>●</t>
        </is>
      </c>
      <c r="Q98" s="67" t="n"/>
      <c r="R98" s="67" t="n"/>
      <c r="S98" s="68" t="inlineStr">
        <is>
          <t>Levier</t>
        </is>
      </c>
      <c r="T98" s="68" t="inlineStr">
        <is>
          <t>—</t>
        </is>
      </c>
      <c r="U98" s="68" t="inlineStr">
        <is>
          <t>—</t>
        </is>
      </c>
      <c r="V98" s="68" t="inlineStr">
        <is>
          <t>Notée directement (couleur du thème)</t>
        </is>
      </c>
      <c r="W98" s="83" t="n"/>
    </row>
    <row r="99" ht="23.85" customHeight="1" s="53">
      <c r="A99" s="81" t="inlineStr">
        <is>
          <t>ACQ-09.07</t>
        </is>
      </c>
      <c r="B99" s="67" t="inlineStr">
        <is>
          <t>ACQ-09</t>
        </is>
      </c>
      <c r="C99" s="95">
        <f>IFERROR(INDEX(Thèmes!$D$2:$D$190,MATCH(B99,Thèmes!$A$2:$A$190,0)),"")</f>
        <v/>
      </c>
      <c r="D99" s="68" t="inlineStr">
        <is>
          <t>A10 · Vos rendez-vous</t>
        </is>
      </c>
      <c r="E99" s="68" t="inlineStr">
        <is>
          <t>Part des rendez-vous pris en ligne</t>
        </is>
      </c>
      <c r="F99" s="68" t="inlineStr">
        <is>
          <t>%</t>
        </is>
      </c>
      <c r="G99" s="67" t="inlineStr">
        <is>
          <t>Demandée</t>
        </is>
      </c>
      <c r="H99" s="67" t="inlineStr">
        <is>
          <t>Approfondi</t>
        </is>
      </c>
      <c r="I99" s="99" t="inlineStr">
        <is>
          <t>D05 · si activité sur rendez-vous</t>
        </is>
      </c>
      <c r="J99" s="68" t="inlineStr">
        <is>
          <t>—</t>
        </is>
      </c>
      <c r="K99" s="67" t="inlineStr">
        <is>
          <t>●</t>
        </is>
      </c>
      <c r="L99" s="67" t="n"/>
      <c r="M99" s="67" t="n"/>
      <c r="N99" s="67" t="n"/>
      <c r="O99" s="67" t="n"/>
      <c r="P99" s="67" t="n"/>
      <c r="Q99" s="67" t="n"/>
      <c r="R99" s="67" t="n"/>
      <c r="S99" s="68" t="inlineStr">
        <is>
          <t>Levier</t>
        </is>
      </c>
      <c r="T99" s="68" t="inlineStr">
        <is>
          <t>—</t>
        </is>
      </c>
      <c r="U99" s="68" t="inlineStr">
        <is>
          <t>—</t>
        </is>
      </c>
      <c r="V99" s="68" t="inlineStr">
        <is>
          <t>XA41</t>
        </is>
      </c>
      <c r="W99" s="83" t="n"/>
    </row>
    <row r="100" ht="23.85" customHeight="1" s="53">
      <c r="A100" s="81" t="inlineStr">
        <is>
          <t>ACQ-09.08</t>
        </is>
      </c>
      <c r="B100" s="67" t="inlineStr">
        <is>
          <t>ACQ-09</t>
        </is>
      </c>
      <c r="C100" s="95">
        <f>IFERROR(INDEX(Thèmes!$D$2:$D$190,MATCH(B100,Thèmes!$A$2:$A$190,0)),"")</f>
        <v/>
      </c>
      <c r="D100" s="68" t="inlineStr">
        <is>
          <t>—</t>
        </is>
      </c>
      <c r="E100" s="68" t="inlineStr">
        <is>
          <t>Rendez-vous honorés</t>
        </is>
      </c>
      <c r="F100" s="68" t="inlineStr">
        <is>
          <t>Nombre</t>
        </is>
      </c>
      <c r="G100" s="96" t="inlineStr">
        <is>
          <t>Calculée</t>
        </is>
      </c>
      <c r="H100" s="67" t="inlineStr">
        <is>
          <t>—</t>
        </is>
      </c>
      <c r="I100" s="68" t="inlineStr">
        <is>
          <t>—</t>
        </is>
      </c>
      <c r="J100" s="68" t="inlineStr">
        <is>
          <t>—</t>
        </is>
      </c>
      <c r="K100" s="67" t="inlineStr">
        <is>
          <t>●</t>
        </is>
      </c>
      <c r="L100" s="67" t="n"/>
      <c r="M100" s="67" t="n"/>
      <c r="N100" s="67" t="n"/>
      <c r="O100" s="67" t="inlineStr">
        <is>
          <t>●</t>
        </is>
      </c>
      <c r="P100" s="67" t="inlineStr">
        <is>
          <t>●</t>
        </is>
      </c>
      <c r="Q100" s="67" t="n"/>
      <c r="R100" s="67" t="n"/>
      <c r="S100" s="68" t="inlineStr">
        <is>
          <t>Mesure</t>
        </is>
      </c>
      <c r="T100" s="68" t="inlineStr">
        <is>
          <t>Obtenus − annulations − absences</t>
        </is>
      </c>
      <c r="U100" s="68" t="inlineStr">
        <is>
          <t>ACQ-09.01, ACQ-09.02, ACQ-09.03</t>
        </is>
      </c>
      <c r="V100" s="68" t="inlineStr">
        <is>
          <t>ACQ-09.09, ACQ-09.11, ACQ-09.12</t>
        </is>
      </c>
      <c r="W100" s="83" t="n"/>
    </row>
    <row r="101" ht="15" customHeight="1" s="53">
      <c r="A101" s="81" t="inlineStr">
        <is>
          <t>ACQ-09.09</t>
        </is>
      </c>
      <c r="B101" s="67" t="inlineStr">
        <is>
          <t>ACQ-09</t>
        </is>
      </c>
      <c r="C101" s="95">
        <f>IFERROR(INDEX(Thèmes!$D$2:$D$190,MATCH(B101,Thèmes!$A$2:$A$190,0)),"")</f>
        <v/>
      </c>
      <c r="D101" s="68" t="inlineStr">
        <is>
          <t>—</t>
        </is>
      </c>
      <c r="E101" s="68" t="inlineStr">
        <is>
          <t>Taux de présence</t>
        </is>
      </c>
      <c r="F101" s="68" t="inlineStr">
        <is>
          <t>%</t>
        </is>
      </c>
      <c r="G101" s="96" t="inlineStr">
        <is>
          <t>Calculée</t>
        </is>
      </c>
      <c r="H101" s="67" t="inlineStr">
        <is>
          <t>—</t>
        </is>
      </c>
      <c r="I101" s="68" t="inlineStr">
        <is>
          <t>—</t>
        </is>
      </c>
      <c r="J101" s="68" t="inlineStr">
        <is>
          <t>—</t>
        </is>
      </c>
      <c r="K101" s="67" t="inlineStr">
        <is>
          <t>●</t>
        </is>
      </c>
      <c r="L101" s="67" t="n"/>
      <c r="M101" s="67" t="n"/>
      <c r="N101" s="67" t="n"/>
      <c r="O101" s="67" t="inlineStr">
        <is>
          <t>●</t>
        </is>
      </c>
      <c r="P101" s="67" t="inlineStr">
        <is>
          <t>●</t>
        </is>
      </c>
      <c r="Q101" s="67" t="n"/>
      <c r="R101" s="67" t="n"/>
      <c r="S101" s="68" t="inlineStr">
        <is>
          <t>Cible</t>
        </is>
      </c>
      <c r="T101" s="68" t="inlineStr">
        <is>
          <t>Honorés ÷ obtenus</t>
        </is>
      </c>
      <c r="U101" s="68" t="inlineStr">
        <is>
          <t>ACQ-09.08, ACQ-09.01</t>
        </is>
      </c>
      <c r="V101" s="68" t="inlineStr">
        <is>
          <t>XA02</t>
        </is>
      </c>
      <c r="W101" s="83" t="n"/>
    </row>
    <row r="102" ht="15" customHeight="1" s="53">
      <c r="A102" s="81" t="inlineStr">
        <is>
          <t>ACQ-09.10</t>
        </is>
      </c>
      <c r="B102" s="67" t="inlineStr">
        <is>
          <t>ACQ-09</t>
        </is>
      </c>
      <c r="C102" s="95">
        <f>IFERROR(INDEX(Thèmes!$D$2:$D$190,MATCH(B102,Thèmes!$A$2:$A$190,0)),"")</f>
        <v/>
      </c>
      <c r="D102" s="68" t="inlineStr">
        <is>
          <t>—</t>
        </is>
      </c>
      <c r="E102" s="68" t="inlineStr">
        <is>
          <t>Taux d'absence sans prévenir</t>
        </is>
      </c>
      <c r="F102" s="68" t="inlineStr">
        <is>
          <t>%</t>
        </is>
      </c>
      <c r="G102" s="96" t="inlineStr">
        <is>
          <t>Calculée</t>
        </is>
      </c>
      <c r="H102" s="67" t="inlineStr">
        <is>
          <t>—</t>
        </is>
      </c>
      <c r="I102" s="68" t="inlineStr">
        <is>
          <t>—</t>
        </is>
      </c>
      <c r="J102" s="68" t="inlineStr">
        <is>
          <t>—</t>
        </is>
      </c>
      <c r="K102" s="67" t="inlineStr">
        <is>
          <t>●</t>
        </is>
      </c>
      <c r="L102" s="67" t="n"/>
      <c r="M102" s="67" t="n"/>
      <c r="N102" s="67" t="n"/>
      <c r="O102" s="67" t="inlineStr">
        <is>
          <t>●</t>
        </is>
      </c>
      <c r="P102" s="67" t="inlineStr">
        <is>
          <t>●</t>
        </is>
      </c>
      <c r="Q102" s="67" t="n"/>
      <c r="R102" s="67" t="n"/>
      <c r="S102" s="68" t="inlineStr">
        <is>
          <t>Problème</t>
        </is>
      </c>
      <c r="T102" s="68" t="inlineStr">
        <is>
          <t>Absences ÷ obtenus</t>
        </is>
      </c>
      <c r="U102" s="68" t="inlineStr">
        <is>
          <t>ACQ-09.03, ACQ-09.01</t>
        </is>
      </c>
      <c r="V102" s="68" t="inlineStr">
        <is>
          <t>Affichée dans le rapport</t>
        </is>
      </c>
      <c r="W102" s="83" t="n"/>
    </row>
    <row r="103" ht="15" customHeight="1" s="53">
      <c r="A103" s="81" t="inlineStr">
        <is>
          <t>ACQ-09.11</t>
        </is>
      </c>
      <c r="B103" s="67" t="inlineStr">
        <is>
          <t>ACQ-09</t>
        </is>
      </c>
      <c r="C103" s="95">
        <f>IFERROR(INDEX(Thèmes!$D$2:$D$190,MATCH(B103,Thèmes!$A$2:$A$190,0)),"")</f>
        <v/>
      </c>
      <c r="D103" s="68" t="inlineStr">
        <is>
          <t>—</t>
        </is>
      </c>
      <c r="E103" s="68" t="inlineStr">
        <is>
          <t>Taux rendez-vous honoré → client signé</t>
        </is>
      </c>
      <c r="F103" s="68" t="inlineStr">
        <is>
          <t>%</t>
        </is>
      </c>
      <c r="G103" s="96" t="inlineStr">
        <is>
          <t>Calculée</t>
        </is>
      </c>
      <c r="H103" s="67" t="inlineStr">
        <is>
          <t>—</t>
        </is>
      </c>
      <c r="I103" s="68" t="inlineStr">
        <is>
          <t>—</t>
        </is>
      </c>
      <c r="J103" s="68" t="inlineStr">
        <is>
          <t>—</t>
        </is>
      </c>
      <c r="K103" s="67" t="n"/>
      <c r="L103" s="67" t="n"/>
      <c r="M103" s="67" t="n"/>
      <c r="N103" s="67" t="n"/>
      <c r="O103" s="67" t="inlineStr">
        <is>
          <t>●</t>
        </is>
      </c>
      <c r="P103" s="67" t="inlineStr">
        <is>
          <t>●</t>
        </is>
      </c>
      <c r="Q103" s="67" t="n"/>
      <c r="R103" s="67" t="n"/>
      <c r="S103" s="68" t="inlineStr">
        <is>
          <t>Parcours</t>
        </is>
      </c>
      <c r="T103" s="68" t="inlineStr">
        <is>
          <t>Nouveaux clients ÷ rendez-vous honorés</t>
        </is>
      </c>
      <c r="U103" s="68" t="inlineStr">
        <is>
          <t>ACQ-11.01, ACQ-09.08</t>
        </is>
      </c>
      <c r="V103" s="68" t="inlineStr">
        <is>
          <t>XA02</t>
        </is>
      </c>
      <c r="W103" s="83" t="n"/>
    </row>
    <row r="104" ht="35.05" customHeight="1" s="53">
      <c r="A104" s="81" t="inlineStr">
        <is>
          <t>ACQ-09.12</t>
        </is>
      </c>
      <c r="B104" s="67" t="inlineStr">
        <is>
          <t>ACQ-09</t>
        </is>
      </c>
      <c r="C104" s="95">
        <f>IFERROR(INDEX(Thèmes!$D$2:$D$190,MATCH(B104,Thèmes!$A$2:$A$190,0)),"")</f>
        <v/>
      </c>
      <c r="D104" s="68" t="inlineStr">
        <is>
          <t>—</t>
        </is>
      </c>
      <c r="E104" s="68" t="inlineStr">
        <is>
          <t>CA moyen par rendez-vous honoré</t>
        </is>
      </c>
      <c r="F104" s="68" t="inlineStr">
        <is>
          <t>€</t>
        </is>
      </c>
      <c r="G104" s="96" t="inlineStr">
        <is>
          <t>Calculée</t>
        </is>
      </c>
      <c r="H104" s="67" t="inlineStr">
        <is>
          <t>—</t>
        </is>
      </c>
      <c r="I104" s="68" t="inlineStr">
        <is>
          <t>—</t>
        </is>
      </c>
      <c r="J104" s="68" t="inlineStr">
        <is>
          <t>—</t>
        </is>
      </c>
      <c r="K104" s="67" t="inlineStr">
        <is>
          <t>●</t>
        </is>
      </c>
      <c r="L104" s="67" t="n"/>
      <c r="M104" s="67" t="n"/>
      <c r="N104" s="67" t="n"/>
      <c r="O104" s="67" t="inlineStr">
        <is>
          <t>●</t>
        </is>
      </c>
      <c r="P104" s="67" t="inlineStr">
        <is>
          <t>●</t>
        </is>
      </c>
      <c r="Q104" s="67" t="n"/>
      <c r="R104" s="67" t="n"/>
      <c r="S104" s="68" t="inlineStr">
        <is>
          <t>Potentiel CA</t>
        </is>
      </c>
      <c r="T104" s="68" t="inlineStr">
        <is>
          <t>Rendez-vous : CA mensuel ÷ rendez-vous honorés. Chantier et B2B : CA des nouveaux clients ÷ rendez-vous honorés</t>
        </is>
      </c>
      <c r="U104" s="68" t="inlineStr">
        <is>
          <t>Inscription · CA mensuel, ACQ-11.20, ACQ-09.08</t>
        </is>
      </c>
      <c r="V104" s="68" t="inlineStr">
        <is>
          <t>ACQ-09.13</t>
        </is>
      </c>
      <c r="W104" s="83" t="n"/>
    </row>
    <row r="105" ht="23.85" customHeight="1" s="53">
      <c r="A105" s="81" t="inlineStr">
        <is>
          <t>ACQ-09.13</t>
        </is>
      </c>
      <c r="B105" s="67" t="inlineStr">
        <is>
          <t>ACQ-09</t>
        </is>
      </c>
      <c r="C105" s="95">
        <f>IFERROR(INDEX(Thèmes!$D$2:$D$190,MATCH(B105,Thèmes!$A$2:$A$190,0)),"")</f>
        <v/>
      </c>
      <c r="D105" s="68" t="inlineStr">
        <is>
          <t>—</t>
        </is>
      </c>
      <c r="E105" s="68" t="inlineStr">
        <is>
          <t>CA perdu par an en absences sans prévenir</t>
        </is>
      </c>
      <c r="F105" s="68" t="inlineStr">
        <is>
          <t>€</t>
        </is>
      </c>
      <c r="G105" s="96" t="inlineStr">
        <is>
          <t>Calculée</t>
        </is>
      </c>
      <c r="H105" s="67" t="inlineStr">
        <is>
          <t>—</t>
        </is>
      </c>
      <c r="I105" s="68" t="inlineStr">
        <is>
          <t>—</t>
        </is>
      </c>
      <c r="J105" s="68" t="inlineStr">
        <is>
          <t>—</t>
        </is>
      </c>
      <c r="K105" s="67" t="inlineStr">
        <is>
          <t>●</t>
        </is>
      </c>
      <c r="L105" s="67" t="n"/>
      <c r="M105" s="67" t="n"/>
      <c r="N105" s="67" t="n"/>
      <c r="O105" s="67" t="inlineStr">
        <is>
          <t>●</t>
        </is>
      </c>
      <c r="P105" s="67" t="inlineStr">
        <is>
          <t>●</t>
        </is>
      </c>
      <c r="Q105" s="67" t="n"/>
      <c r="R105" s="67" t="n"/>
      <c r="S105" s="68" t="inlineStr">
        <is>
          <t>Perte</t>
        </is>
      </c>
      <c r="T105" s="68" t="inlineStr">
        <is>
          <t>Absences par mois × CA moyen par rendez-vous × 12</t>
        </is>
      </c>
      <c r="U105" s="68" t="inlineStr">
        <is>
          <t>ACQ-09.03, ACQ-09.12</t>
        </is>
      </c>
      <c r="V105" s="68" t="inlineStr">
        <is>
          <t>XA25</t>
        </is>
      </c>
      <c r="W105" s="83" t="n"/>
    </row>
    <row r="106" ht="46.25" customHeight="1" s="53">
      <c r="A106" s="98" t="inlineStr">
        <is>
          <t>ACQ-10.01</t>
        </is>
      </c>
      <c r="B106" s="89" t="inlineStr">
        <is>
          <t>ACQ-10</t>
        </is>
      </c>
      <c r="C106" s="97">
        <f>IFERROR(INDEX(Thèmes!$D$2:$D$190,MATCH(B106,Thèmes!$A$2:$A$190,0)),"")</f>
        <v/>
      </c>
      <c r="D106" s="86" t="inlineStr">
        <is>
          <t>A11 · Vos devis</t>
        </is>
      </c>
      <c r="E106" s="86" t="inlineStr">
        <is>
          <t>Devis envoyés par mois : nombre et montant total (regroupe les anciennes ACQ-10.01 et ACQ-10.02)</t>
        </is>
      </c>
      <c r="F106" s="86" t="inlineStr">
        <is>
          <t>Plusieurs champs : Nombre par mois · Montant total par mois</t>
        </is>
      </c>
      <c r="G106" s="89" t="inlineStr">
        <is>
          <t>Demandée</t>
        </is>
      </c>
      <c r="H106" s="89" t="inlineStr">
        <is>
          <t>Essentiel</t>
        </is>
      </c>
      <c r="I106" s="100" t="inlineStr">
        <is>
          <t>D06 · si devis ou propositions</t>
        </is>
      </c>
      <c r="J106" s="86" t="inlineStr">
        <is>
          <t>—</t>
        </is>
      </c>
      <c r="K106" s="89" t="inlineStr">
        <is>
          <t>●</t>
        </is>
      </c>
      <c r="L106" s="89" t="inlineStr">
        <is>
          <t>●</t>
        </is>
      </c>
      <c r="M106" s="89" t="inlineStr">
        <is>
          <t>●</t>
        </is>
      </c>
      <c r="N106" s="89" t="inlineStr">
        <is>
          <t>●</t>
        </is>
      </c>
      <c r="O106" s="89" t="inlineStr">
        <is>
          <t>●</t>
        </is>
      </c>
      <c r="P106" s="89" t="inlineStr">
        <is>
          <t>●</t>
        </is>
      </c>
      <c r="Q106" s="89" t="inlineStr">
        <is>
          <t>●</t>
        </is>
      </c>
      <c r="R106" s="89" t="inlineStr">
        <is>
          <t>●</t>
        </is>
      </c>
      <c r="S106" s="86" t="inlineStr">
        <is>
          <t>Parcours</t>
        </is>
      </c>
      <c r="T106" s="86" t="inlineStr">
        <is>
          <t>—</t>
        </is>
      </c>
      <c r="U106" s="86" t="inlineStr">
        <is>
          <t>—</t>
        </is>
      </c>
      <c r="V106" s="86" t="inlineStr">
        <is>
          <t>ACQ-10.12, ACQ-10.13, ACQ-10.15</t>
        </is>
      </c>
      <c r="W106" s="91" t="inlineStr">
        <is>
          <t>Format de réponse (la banque l'emporte) · Libellé (« Donnée ») · Profils ou tailles concernés</t>
        </is>
      </c>
    </row>
    <row r="107" ht="23.85" customHeight="1" s="53">
      <c r="A107" s="94" t="inlineStr">
        <is>
          <t>ACQ-10.02</t>
        </is>
      </c>
      <c r="B107" s="67" t="inlineStr">
        <is>
          <t>ACQ-10</t>
        </is>
      </c>
      <c r="C107" s="95">
        <f>IFERROR(INDEX(Thèmes!$D$2:$D$190,MATCH(B107,Thèmes!$A$2:$A$190,0)),"")</f>
        <v/>
      </c>
      <c r="D107" s="68" t="inlineStr">
        <is>
          <t>A11 · Vos devis</t>
        </is>
      </c>
      <c r="E107" s="68" t="inlineStr">
        <is>
          <t>Montant total des devis envoyés par mois</t>
        </is>
      </c>
      <c r="F107" s="68" t="inlineStr">
        <is>
          <t>€</t>
        </is>
      </c>
      <c r="G107" s="96" t="inlineStr">
        <is>
          <t>Calculée</t>
        </is>
      </c>
      <c r="H107" s="67" t="inlineStr">
        <is>
          <t>—</t>
        </is>
      </c>
      <c r="I107" s="99" t="inlineStr">
        <is>
          <t>D06 · si devis ou propositions</t>
        </is>
      </c>
      <c r="J107" s="68" t="inlineStr">
        <is>
          <t>—</t>
        </is>
      </c>
      <c r="K107" s="67" t="n"/>
      <c r="L107" s="67" t="n"/>
      <c r="M107" s="67" t="n"/>
      <c r="N107" s="67" t="n"/>
      <c r="O107" s="67" t="inlineStr">
        <is>
          <t>●</t>
        </is>
      </c>
      <c r="P107" s="67" t="inlineStr">
        <is>
          <t>●</t>
        </is>
      </c>
      <c r="Q107" s="67" t="n"/>
      <c r="R107" s="67" t="n"/>
      <c r="S107" s="68" t="inlineStr">
        <is>
          <t>Potentiel CA</t>
        </is>
      </c>
      <c r="T107" s="68" t="inlineStr">
        <is>
          <t>Lue dans la réponse à ACQ-10.01 (champ « Montant total par mois »)</t>
        </is>
      </c>
      <c r="U107" s="68" t="inlineStr">
        <is>
          <t>ACQ-10.01</t>
        </is>
      </c>
      <c r="V107" s="68" t="inlineStr">
        <is>
          <t>ACQ-10.14, ACQ-10.15</t>
        </is>
      </c>
      <c r="W107" s="83" t="inlineStr">
        <is>
          <t>Mode : Calculée (plus de question : la banque la lit dans une autre réponse)</t>
        </is>
      </c>
    </row>
    <row r="108" ht="46.25" customHeight="1" s="53">
      <c r="A108" s="94" t="inlineStr">
        <is>
          <t>ACQ-10.03</t>
        </is>
      </c>
      <c r="B108" s="67" t="inlineStr">
        <is>
          <t>ACQ-10</t>
        </is>
      </c>
      <c r="C108" s="95">
        <f>IFERROR(INDEX(Thèmes!$D$2:$D$190,MATCH(B108,Thèmes!$A$2:$A$190,0)),"")</f>
        <v/>
      </c>
      <c r="D108" s="68" t="inlineStr">
        <is>
          <t>A11 · Vos devis</t>
        </is>
      </c>
      <c r="E108" s="68" t="inlineStr">
        <is>
          <t>Devis acceptés par mois : nombre et montant total (regroupe les anciennes ACQ-10.03 et ACQ-10.04)</t>
        </is>
      </c>
      <c r="F108" s="68" t="inlineStr">
        <is>
          <t>Plusieurs champs : Nombre par mois · Montant total par mois</t>
        </is>
      </c>
      <c r="G108" s="67" t="inlineStr">
        <is>
          <t>Demandée</t>
        </is>
      </c>
      <c r="H108" s="67" t="inlineStr">
        <is>
          <t>Essentiel</t>
        </is>
      </c>
      <c r="I108" s="99" t="inlineStr">
        <is>
          <t>D06 · si devis ou propositions</t>
        </is>
      </c>
      <c r="J108" s="68" t="inlineStr">
        <is>
          <t>—</t>
        </is>
      </c>
      <c r="K108" s="67" t="inlineStr">
        <is>
          <t>●</t>
        </is>
      </c>
      <c r="L108" s="67" t="inlineStr">
        <is>
          <t>●</t>
        </is>
      </c>
      <c r="M108" s="67" t="inlineStr">
        <is>
          <t>●</t>
        </is>
      </c>
      <c r="N108" s="67" t="inlineStr">
        <is>
          <t>●</t>
        </is>
      </c>
      <c r="O108" s="67" t="inlineStr">
        <is>
          <t>●</t>
        </is>
      </c>
      <c r="P108" s="67" t="inlineStr">
        <is>
          <t>●</t>
        </is>
      </c>
      <c r="Q108" s="67" t="inlineStr">
        <is>
          <t>●</t>
        </is>
      </c>
      <c r="R108" s="67" t="inlineStr">
        <is>
          <t>●</t>
        </is>
      </c>
      <c r="S108" s="68" t="inlineStr">
        <is>
          <t>Parcours</t>
        </is>
      </c>
      <c r="T108" s="68" t="inlineStr">
        <is>
          <t>—</t>
        </is>
      </c>
      <c r="U108" s="68" t="inlineStr">
        <is>
          <t>—</t>
        </is>
      </c>
      <c r="V108" s="68" t="inlineStr">
        <is>
          <t>ACQ-10.12, ACQ-10.13, ACQ-10.15</t>
        </is>
      </c>
      <c r="W108" s="83" t="inlineStr">
        <is>
          <t>Format de réponse (la banque l'emporte) · Libellé (« Donnée ») · Profils ou tailles concernés</t>
        </is>
      </c>
    </row>
    <row r="109" ht="23.85" customHeight="1" s="53">
      <c r="A109" s="94" t="inlineStr">
        <is>
          <t>ACQ-10.04</t>
        </is>
      </c>
      <c r="B109" s="67" t="inlineStr">
        <is>
          <t>ACQ-10</t>
        </is>
      </c>
      <c r="C109" s="95">
        <f>IFERROR(INDEX(Thèmes!$D$2:$D$190,MATCH(B109,Thèmes!$A$2:$A$190,0)),"")</f>
        <v/>
      </c>
      <c r="D109" s="68" t="inlineStr">
        <is>
          <t>A11 · Vos devis</t>
        </is>
      </c>
      <c r="E109" s="68" t="inlineStr">
        <is>
          <t>Montant des devis acceptés par mois</t>
        </is>
      </c>
      <c r="F109" s="68" t="inlineStr">
        <is>
          <t>€</t>
        </is>
      </c>
      <c r="G109" s="96" t="inlineStr">
        <is>
          <t>Calculée</t>
        </is>
      </c>
      <c r="H109" s="67" t="inlineStr">
        <is>
          <t>—</t>
        </is>
      </c>
      <c r="I109" s="99" t="inlineStr">
        <is>
          <t>D06 · si devis ou propositions</t>
        </is>
      </c>
      <c r="J109" s="68" t="inlineStr">
        <is>
          <t>—</t>
        </is>
      </c>
      <c r="K109" s="67" t="n"/>
      <c r="L109" s="67" t="n"/>
      <c r="M109" s="67" t="n"/>
      <c r="N109" s="67" t="n"/>
      <c r="O109" s="67" t="inlineStr">
        <is>
          <t>●</t>
        </is>
      </c>
      <c r="P109" s="67" t="inlineStr">
        <is>
          <t>●</t>
        </is>
      </c>
      <c r="Q109" s="67" t="n"/>
      <c r="R109" s="67" t="n"/>
      <c r="S109" s="68" t="inlineStr">
        <is>
          <t>Mesure</t>
        </is>
      </c>
      <c r="T109" s="68" t="inlineStr">
        <is>
          <t>Lue dans la réponse à ACQ-10.03 (champ « Montant total par mois »)</t>
        </is>
      </c>
      <c r="U109" s="68" t="inlineStr">
        <is>
          <t>ACQ-10.03</t>
        </is>
      </c>
      <c r="V109" s="68" t="inlineStr">
        <is>
          <t>ACQ-10.14, ACQ-10.15</t>
        </is>
      </c>
      <c r="W109" s="83" t="inlineStr">
        <is>
          <t>Mode : Calculée (plus de question : la banque la lit dans une autre réponse)</t>
        </is>
      </c>
    </row>
    <row r="110" ht="23.85" customHeight="1" s="53">
      <c r="A110" s="94" t="inlineStr">
        <is>
          <t>ACQ-10.05</t>
        </is>
      </c>
      <c r="B110" s="67" t="inlineStr">
        <is>
          <t>ACQ-10</t>
        </is>
      </c>
      <c r="C110" s="95">
        <f>IFERROR(INDEX(Thèmes!$D$2:$D$190,MATCH(B110,Thèmes!$A$2:$A$190,0)),"")</f>
        <v/>
      </c>
      <c r="D110" s="68" t="inlineStr">
        <is>
          <t>A11 · Vos devis</t>
        </is>
      </c>
      <c r="E110" s="68" t="inlineStr">
        <is>
          <t>Délai d'envoi du devis après la demande ou la visite</t>
        </is>
      </c>
      <c r="F110" s="68" t="inlineStr">
        <is>
          <t>Jours</t>
        </is>
      </c>
      <c r="G110" s="67" t="inlineStr">
        <is>
          <t>Demandée</t>
        </is>
      </c>
      <c r="H110" s="67" t="inlineStr">
        <is>
          <t>Essentiel</t>
        </is>
      </c>
      <c r="I110" s="99" t="inlineStr">
        <is>
          <t>D06 · si devis ou propositions</t>
        </is>
      </c>
      <c r="J110" s="68" t="inlineStr">
        <is>
          <t>—</t>
        </is>
      </c>
      <c r="K110" s="67" t="inlineStr">
        <is>
          <t>●</t>
        </is>
      </c>
      <c r="L110" s="67" t="inlineStr">
        <is>
          <t>●</t>
        </is>
      </c>
      <c r="M110" s="67" t="inlineStr">
        <is>
          <t>●</t>
        </is>
      </c>
      <c r="N110" s="67" t="inlineStr">
        <is>
          <t>●</t>
        </is>
      </c>
      <c r="O110" s="67" t="inlineStr">
        <is>
          <t>●</t>
        </is>
      </c>
      <c r="P110" s="67" t="inlineStr">
        <is>
          <t>●</t>
        </is>
      </c>
      <c r="Q110" s="67" t="inlineStr">
        <is>
          <t>●</t>
        </is>
      </c>
      <c r="R110" s="67" t="inlineStr">
        <is>
          <t>●</t>
        </is>
      </c>
      <c r="S110" s="68" t="inlineStr">
        <is>
          <t>Problème</t>
        </is>
      </c>
      <c r="T110" s="68" t="inlineStr">
        <is>
          <t>—</t>
        </is>
      </c>
      <c r="U110" s="68" t="inlineStr">
        <is>
          <t>—</t>
        </is>
      </c>
      <c r="V110" s="68" t="inlineStr">
        <is>
          <t>ACQ-12.05</t>
        </is>
      </c>
      <c r="W110" s="83" t="inlineStr">
        <is>
          <t>Profils ou tailles concernés</t>
        </is>
      </c>
    </row>
    <row r="111" ht="23.85" customHeight="1" s="53">
      <c r="A111" s="94" t="inlineStr">
        <is>
          <t>ACQ-10.06</t>
        </is>
      </c>
      <c r="B111" s="67" t="inlineStr">
        <is>
          <t>ACQ-10</t>
        </is>
      </c>
      <c r="C111" s="95">
        <f>IFERROR(INDEX(Thèmes!$D$2:$D$190,MATCH(B111,Thèmes!$A$2:$A$190,0)),"")</f>
        <v/>
      </c>
      <c r="D111" s="68" t="inlineStr">
        <is>
          <t>A11 · Vos devis</t>
        </is>
      </c>
      <c r="E111" s="68" t="inlineStr">
        <is>
          <t>Part des devis sans réponse que vous relancez — déclencheur D36</t>
        </is>
      </c>
      <c r="F111" s="68" t="inlineStr">
        <is>
          <t>%</t>
        </is>
      </c>
      <c r="G111" s="67" t="inlineStr">
        <is>
          <t>Demandée</t>
        </is>
      </c>
      <c r="H111" s="67" t="inlineStr">
        <is>
          <t>Essentiel</t>
        </is>
      </c>
      <c r="I111" s="99" t="inlineStr">
        <is>
          <t>D06 · si devis ou propositions</t>
        </is>
      </c>
      <c r="J111" s="68" t="inlineStr">
        <is>
          <t>—</t>
        </is>
      </c>
      <c r="K111" s="67" t="inlineStr">
        <is>
          <t>●</t>
        </is>
      </c>
      <c r="L111" s="67" t="inlineStr">
        <is>
          <t>●</t>
        </is>
      </c>
      <c r="M111" s="67" t="inlineStr">
        <is>
          <t>●</t>
        </is>
      </c>
      <c r="N111" s="67" t="inlineStr">
        <is>
          <t>●</t>
        </is>
      </c>
      <c r="O111" s="67" t="inlineStr">
        <is>
          <t>●</t>
        </is>
      </c>
      <c r="P111" s="67" t="inlineStr">
        <is>
          <t>●</t>
        </is>
      </c>
      <c r="Q111" s="67" t="inlineStr">
        <is>
          <t>●</t>
        </is>
      </c>
      <c r="R111" s="67" t="inlineStr">
        <is>
          <t>●</t>
        </is>
      </c>
      <c r="S111" s="68" t="inlineStr">
        <is>
          <t>Levier</t>
        </is>
      </c>
      <c r="T111" s="68" t="inlineStr">
        <is>
          <t>—</t>
        </is>
      </c>
      <c r="U111" s="68" t="inlineStr">
        <is>
          <t>—</t>
        </is>
      </c>
      <c r="V111" s="68" t="inlineStr">
        <is>
          <t>ACQ-10.16, ACQ-10.18</t>
        </is>
      </c>
      <c r="W111" s="83" t="inlineStr">
        <is>
          <t>Libellé (« Donnée ») · Profils ou tailles concernés</t>
        </is>
      </c>
    </row>
    <row r="112" ht="23.85" customHeight="1" s="53">
      <c r="A112" s="94" t="inlineStr">
        <is>
          <t>ACQ-10.07</t>
        </is>
      </c>
      <c r="B112" s="67" t="inlineStr">
        <is>
          <t>ACQ-10</t>
        </is>
      </c>
      <c r="C112" s="95">
        <f>IFERROR(INDEX(Thèmes!$D$2:$D$190,MATCH(B112,Thèmes!$A$2:$A$190,0)),"")</f>
        <v/>
      </c>
      <c r="D112" s="68" t="inlineStr">
        <is>
          <t>A11 · Vos devis</t>
        </is>
      </c>
      <c r="E112" s="68" t="inlineStr">
        <is>
          <t>Délai avant la première relance</t>
        </is>
      </c>
      <c r="F112" s="68" t="inlineStr">
        <is>
          <t>Jours</t>
        </is>
      </c>
      <c r="G112" s="67" t="inlineStr">
        <is>
          <t>Demandée</t>
        </is>
      </c>
      <c r="H112" s="67" t="inlineStr">
        <is>
          <t>Essentiel</t>
        </is>
      </c>
      <c r="I112" s="99" t="inlineStr">
        <is>
          <t>D36 · si vous relancez vos devis</t>
        </is>
      </c>
      <c r="J112" s="68" t="inlineStr">
        <is>
          <t>—</t>
        </is>
      </c>
      <c r="K112" s="67" t="inlineStr">
        <is>
          <t>●</t>
        </is>
      </c>
      <c r="L112" s="67" t="inlineStr">
        <is>
          <t>●</t>
        </is>
      </c>
      <c r="M112" s="67" t="inlineStr">
        <is>
          <t>●</t>
        </is>
      </c>
      <c r="N112" s="67" t="inlineStr">
        <is>
          <t>●</t>
        </is>
      </c>
      <c r="O112" s="67" t="inlineStr">
        <is>
          <t>●</t>
        </is>
      </c>
      <c r="P112" s="67" t="inlineStr">
        <is>
          <t>●</t>
        </is>
      </c>
      <c r="Q112" s="67" t="inlineStr">
        <is>
          <t>●</t>
        </is>
      </c>
      <c r="R112" s="67" t="inlineStr">
        <is>
          <t>●</t>
        </is>
      </c>
      <c r="S112" s="68" t="inlineStr">
        <is>
          <t>Levier</t>
        </is>
      </c>
      <c r="T112" s="68" t="inlineStr">
        <is>
          <t>—</t>
        </is>
      </c>
      <c r="U112" s="68" t="inlineStr">
        <is>
          <t>—</t>
        </is>
      </c>
      <c r="V112" s="68" t="inlineStr">
        <is>
          <t>Notée directement (couleur du thème)</t>
        </is>
      </c>
      <c r="W112" s="83" t="inlineStr">
        <is>
          <t>Condition d'affichage · Profils ou tailles concernés</t>
        </is>
      </c>
    </row>
    <row r="113" ht="23.85" customHeight="1" s="53">
      <c r="A113" s="94" t="inlineStr">
        <is>
          <t>ACQ-10.08</t>
        </is>
      </c>
      <c r="B113" s="67" t="inlineStr">
        <is>
          <t>ACQ-10</t>
        </is>
      </c>
      <c r="C113" s="95">
        <f>IFERROR(INDEX(Thèmes!$D$2:$D$190,MATCH(B113,Thèmes!$A$2:$A$190,0)),"")</f>
        <v/>
      </c>
      <c r="D113" s="68" t="inlineStr">
        <is>
          <t>A11 · Vos devis</t>
        </is>
      </c>
      <c r="E113" s="68" t="inlineStr">
        <is>
          <t>Devis en attente de réponse aujourd'hui : nombre et montant</t>
        </is>
      </c>
      <c r="F113" s="68" t="inlineStr">
        <is>
          <t>Nombre et €</t>
        </is>
      </c>
      <c r="G113" s="67" t="inlineStr">
        <is>
          <t>Demandée</t>
        </is>
      </c>
      <c r="H113" s="67" t="inlineStr">
        <is>
          <t>Essentiel</t>
        </is>
      </c>
      <c r="I113" s="99" t="inlineStr">
        <is>
          <t>D06 · si devis ou propositions</t>
        </is>
      </c>
      <c r="J113" s="68" t="inlineStr">
        <is>
          <t>—</t>
        </is>
      </c>
      <c r="K113" s="67" t="inlineStr">
        <is>
          <t>●</t>
        </is>
      </c>
      <c r="L113" s="67" t="inlineStr">
        <is>
          <t>●</t>
        </is>
      </c>
      <c r="M113" s="67" t="inlineStr">
        <is>
          <t>●</t>
        </is>
      </c>
      <c r="N113" s="67" t="inlineStr">
        <is>
          <t>●</t>
        </is>
      </c>
      <c r="O113" s="67" t="inlineStr">
        <is>
          <t>●</t>
        </is>
      </c>
      <c r="P113" s="67" t="inlineStr">
        <is>
          <t>●</t>
        </is>
      </c>
      <c r="Q113" s="67" t="inlineStr">
        <is>
          <t>●</t>
        </is>
      </c>
      <c r="R113" s="67" t="inlineStr">
        <is>
          <t>●</t>
        </is>
      </c>
      <c r="S113" s="68" t="inlineStr">
        <is>
          <t>Potentiel CA</t>
        </is>
      </c>
      <c r="T113" s="68" t="inlineStr">
        <is>
          <t>—</t>
        </is>
      </c>
      <c r="U113" s="68" t="inlineStr">
        <is>
          <t>—</t>
        </is>
      </c>
      <c r="V113" s="68" t="inlineStr">
        <is>
          <t>ACQ-10.17</t>
        </is>
      </c>
      <c r="W113" s="83" t="inlineStr">
        <is>
          <t>Profils ou tailles concernés</t>
        </is>
      </c>
    </row>
    <row r="114" ht="23.85" customHeight="1" s="53">
      <c r="A114" s="94" t="inlineStr">
        <is>
          <t>ACQ-10.09</t>
        </is>
      </c>
      <c r="B114" s="67" t="inlineStr">
        <is>
          <t>ACQ-10</t>
        </is>
      </c>
      <c r="C114" s="95">
        <f>IFERROR(INDEX(Thèmes!$D$2:$D$190,MATCH(B114,Thèmes!$A$2:$A$190,0)),"")</f>
        <v/>
      </c>
      <c r="D114" s="68" t="inlineStr">
        <is>
          <t>A11 · Vos devis</t>
        </is>
      </c>
      <c r="E114" s="68" t="inlineStr">
        <is>
          <t>Devis refusés explicitement par mois</t>
        </is>
      </c>
      <c r="F114" s="68" t="inlineStr">
        <is>
          <t>Nombre</t>
        </is>
      </c>
      <c r="G114" s="67" t="inlineStr">
        <is>
          <t>Demandée</t>
        </is>
      </c>
      <c r="H114" s="67" t="inlineStr">
        <is>
          <t>Approfondi</t>
        </is>
      </c>
      <c r="I114" s="99" t="inlineStr">
        <is>
          <t>D06 · si devis ou propositions</t>
        </is>
      </c>
      <c r="J114" s="68" t="inlineStr">
        <is>
          <t>—</t>
        </is>
      </c>
      <c r="K114" s="67" t="inlineStr">
        <is>
          <t>●</t>
        </is>
      </c>
      <c r="L114" s="67" t="inlineStr">
        <is>
          <t>●</t>
        </is>
      </c>
      <c r="M114" s="67" t="inlineStr">
        <is>
          <t>●</t>
        </is>
      </c>
      <c r="N114" s="67" t="inlineStr">
        <is>
          <t>●</t>
        </is>
      </c>
      <c r="O114" s="67" t="inlineStr">
        <is>
          <t>●</t>
        </is>
      </c>
      <c r="P114" s="67" t="inlineStr">
        <is>
          <t>●</t>
        </is>
      </c>
      <c r="Q114" s="67" t="inlineStr">
        <is>
          <t>●</t>
        </is>
      </c>
      <c r="R114" s="67" t="inlineStr">
        <is>
          <t>●</t>
        </is>
      </c>
      <c r="S114" s="68" t="inlineStr">
        <is>
          <t>Parcours</t>
        </is>
      </c>
      <c r="T114" s="68" t="inlineStr">
        <is>
          <t>—</t>
        </is>
      </c>
      <c r="U114" s="68" t="inlineStr">
        <is>
          <t>—</t>
        </is>
      </c>
      <c r="V114" s="68" t="inlineStr">
        <is>
          <t>ACQ-10.12</t>
        </is>
      </c>
      <c r="W114" s="83" t="inlineStr">
        <is>
          <t>Profils ou tailles concernés</t>
        </is>
      </c>
    </row>
    <row r="115" ht="23.85" customHeight="1" s="53">
      <c r="A115" s="94" t="inlineStr">
        <is>
          <t>ACQ-10.10</t>
        </is>
      </c>
      <c r="B115" s="67" t="inlineStr">
        <is>
          <t>ACQ-10</t>
        </is>
      </c>
      <c r="C115" s="95">
        <f>IFERROR(INDEX(Thèmes!$D$2:$D$190,MATCH(B115,Thèmes!$A$2:$A$190,0)),"")</f>
        <v/>
      </c>
      <c r="D115" s="68" t="inlineStr">
        <is>
          <t>A11 · Vos devis</t>
        </is>
      </c>
      <c r="E115" s="68" t="inlineStr">
        <is>
          <t>Relances par devis, en moyenne</t>
        </is>
      </c>
      <c r="F115" s="68" t="inlineStr">
        <is>
          <t>Nombre</t>
        </is>
      </c>
      <c r="G115" s="67" t="inlineStr">
        <is>
          <t>Demandée</t>
        </is>
      </c>
      <c r="H115" s="67" t="inlineStr">
        <is>
          <t>Approfondi</t>
        </is>
      </c>
      <c r="I115" s="99" t="inlineStr">
        <is>
          <t>D36 · si vous relancez vos devis</t>
        </is>
      </c>
      <c r="J115" s="68" t="inlineStr">
        <is>
          <t>—</t>
        </is>
      </c>
      <c r="K115" s="67" t="inlineStr">
        <is>
          <t>●</t>
        </is>
      </c>
      <c r="L115" s="67" t="inlineStr">
        <is>
          <t>●</t>
        </is>
      </c>
      <c r="M115" s="67" t="inlineStr">
        <is>
          <t>●</t>
        </is>
      </c>
      <c r="N115" s="67" t="inlineStr">
        <is>
          <t>●</t>
        </is>
      </c>
      <c r="O115" s="67" t="inlineStr">
        <is>
          <t>●</t>
        </is>
      </c>
      <c r="P115" s="67" t="inlineStr">
        <is>
          <t>●</t>
        </is>
      </c>
      <c r="Q115" s="67" t="inlineStr">
        <is>
          <t>●</t>
        </is>
      </c>
      <c r="R115" s="67" t="inlineStr">
        <is>
          <t>●</t>
        </is>
      </c>
      <c r="S115" s="68" t="inlineStr">
        <is>
          <t>Levier</t>
        </is>
      </c>
      <c r="T115" s="68" t="inlineStr">
        <is>
          <t>—</t>
        </is>
      </c>
      <c r="U115" s="68" t="inlineStr">
        <is>
          <t>—</t>
        </is>
      </c>
      <c r="V115" s="68" t="inlineStr">
        <is>
          <t>Lue par l'IA pour adapter le conseil</t>
        </is>
      </c>
      <c r="W115" s="83" t="inlineStr">
        <is>
          <t>Condition d'affichage · Profils ou tailles concernés</t>
        </is>
      </c>
    </row>
    <row r="116" ht="23.85" customHeight="1" s="53">
      <c r="A116" s="94" t="inlineStr">
        <is>
          <t>ACQ-10.11</t>
        </is>
      </c>
      <c r="B116" s="67" t="inlineStr">
        <is>
          <t>ACQ-10</t>
        </is>
      </c>
      <c r="C116" s="95">
        <f>IFERROR(INDEX(Thèmes!$D$2:$D$190,MATCH(B116,Thèmes!$A$2:$A$190,0)),"")</f>
        <v/>
      </c>
      <c r="D116" s="68" t="inlineStr">
        <is>
          <t>A11 · Vos devis</t>
        </is>
      </c>
      <c r="E116" s="68" t="inlineStr">
        <is>
          <t>Devis acceptés après une relance, par mois</t>
        </is>
      </c>
      <c r="F116" s="68" t="inlineStr">
        <is>
          <t>Nombre</t>
        </is>
      </c>
      <c r="G116" s="67" t="inlineStr">
        <is>
          <t>Demandée</t>
        </is>
      </c>
      <c r="H116" s="67" t="inlineStr">
        <is>
          <t>Approfondi</t>
        </is>
      </c>
      <c r="I116" s="99" t="inlineStr">
        <is>
          <t>D36 · si vous relancez vos devis</t>
        </is>
      </c>
      <c r="J116" s="68" t="inlineStr">
        <is>
          <t>—</t>
        </is>
      </c>
      <c r="K116" s="67" t="inlineStr">
        <is>
          <t>●</t>
        </is>
      </c>
      <c r="L116" s="67" t="inlineStr">
        <is>
          <t>●</t>
        </is>
      </c>
      <c r="M116" s="67" t="inlineStr">
        <is>
          <t>●</t>
        </is>
      </c>
      <c r="N116" s="67" t="inlineStr">
        <is>
          <t>●</t>
        </is>
      </c>
      <c r="O116" s="67" t="inlineStr">
        <is>
          <t>●</t>
        </is>
      </c>
      <c r="P116" s="67" t="inlineStr">
        <is>
          <t>●</t>
        </is>
      </c>
      <c r="Q116" s="67" t="inlineStr">
        <is>
          <t>●</t>
        </is>
      </c>
      <c r="R116" s="67" t="inlineStr">
        <is>
          <t>●</t>
        </is>
      </c>
      <c r="S116" s="68" t="inlineStr">
        <is>
          <t>Mesure</t>
        </is>
      </c>
      <c r="T116" s="68" t="inlineStr">
        <is>
          <t>—</t>
        </is>
      </c>
      <c r="U116" s="68" t="inlineStr">
        <is>
          <t>—</t>
        </is>
      </c>
      <c r="V116" s="68" t="inlineStr">
        <is>
          <t>ACQ-10.16</t>
        </is>
      </c>
      <c r="W116" s="83" t="inlineStr">
        <is>
          <t>Condition d'affichage · Profils ou tailles concernés</t>
        </is>
      </c>
    </row>
    <row r="117" ht="23.85" customHeight="1" s="53">
      <c r="A117" s="81" t="inlineStr">
        <is>
          <t>ACQ-10.12</t>
        </is>
      </c>
      <c r="B117" s="67" t="inlineStr">
        <is>
          <t>ACQ-10</t>
        </is>
      </c>
      <c r="C117" s="95">
        <f>IFERROR(INDEX(Thèmes!$D$2:$D$190,MATCH(B117,Thèmes!$A$2:$A$190,0)),"")</f>
        <v/>
      </c>
      <c r="D117" s="68" t="inlineStr">
        <is>
          <t>—</t>
        </is>
      </c>
      <c r="E117" s="68" t="inlineStr">
        <is>
          <t>Devis sans réponse par mois</t>
        </is>
      </c>
      <c r="F117" s="68" t="inlineStr">
        <is>
          <t>Nombre</t>
        </is>
      </c>
      <c r="G117" s="96" t="inlineStr">
        <is>
          <t>Calculée</t>
        </is>
      </c>
      <c r="H117" s="67" t="inlineStr">
        <is>
          <t>—</t>
        </is>
      </c>
      <c r="I117" s="68" t="inlineStr">
        <is>
          <t>—</t>
        </is>
      </c>
      <c r="J117" s="68" t="inlineStr">
        <is>
          <t>—</t>
        </is>
      </c>
      <c r="K117" s="67" t="n"/>
      <c r="L117" s="67" t="n"/>
      <c r="M117" s="67" t="n"/>
      <c r="N117" s="67" t="n"/>
      <c r="O117" s="67" t="inlineStr">
        <is>
          <t>●</t>
        </is>
      </c>
      <c r="P117" s="67" t="inlineStr">
        <is>
          <t>●</t>
        </is>
      </c>
      <c r="Q117" s="67" t="n"/>
      <c r="R117" s="67" t="n"/>
      <c r="S117" s="68" t="inlineStr">
        <is>
          <t>Perte</t>
        </is>
      </c>
      <c r="T117" s="68" t="inlineStr">
        <is>
          <t>Envoyés − acceptés − refusés</t>
        </is>
      </c>
      <c r="U117" s="68" t="inlineStr">
        <is>
          <t>ACQ-10.01, ACQ-10.03, ACQ-10.09</t>
        </is>
      </c>
      <c r="V117" s="68" t="inlineStr">
        <is>
          <t>ACQ-10.16, ACQ-10.18</t>
        </is>
      </c>
      <c r="W117" s="83" t="n"/>
    </row>
    <row r="118" ht="15" customHeight="1" s="53">
      <c r="A118" s="81" t="inlineStr">
        <is>
          <t>ACQ-10.13</t>
        </is>
      </c>
      <c r="B118" s="67" t="inlineStr">
        <is>
          <t>ACQ-10</t>
        </is>
      </c>
      <c r="C118" s="95">
        <f>IFERROR(INDEX(Thèmes!$D$2:$D$190,MATCH(B118,Thèmes!$A$2:$A$190,0)),"")</f>
        <v/>
      </c>
      <c r="D118" s="68" t="inlineStr">
        <is>
          <t>—</t>
        </is>
      </c>
      <c r="E118" s="68" t="inlineStr">
        <is>
          <t>Taux d'acceptation en nombre</t>
        </is>
      </c>
      <c r="F118" s="68" t="inlineStr">
        <is>
          <t>%</t>
        </is>
      </c>
      <c r="G118" s="96" t="inlineStr">
        <is>
          <t>Calculée</t>
        </is>
      </c>
      <c r="H118" s="67" t="inlineStr">
        <is>
          <t>—</t>
        </is>
      </c>
      <c r="I118" s="68" t="inlineStr">
        <is>
          <t>—</t>
        </is>
      </c>
      <c r="J118" s="68" t="inlineStr">
        <is>
          <t>—</t>
        </is>
      </c>
      <c r="K118" s="67" t="n"/>
      <c r="L118" s="67" t="n"/>
      <c r="M118" s="67" t="n"/>
      <c r="N118" s="67" t="n"/>
      <c r="O118" s="67" t="inlineStr">
        <is>
          <t>●</t>
        </is>
      </c>
      <c r="P118" s="67" t="inlineStr">
        <is>
          <t>●</t>
        </is>
      </c>
      <c r="Q118" s="67" t="n"/>
      <c r="R118" s="67" t="n"/>
      <c r="S118" s="68" t="inlineStr">
        <is>
          <t>Cible</t>
        </is>
      </c>
      <c r="T118" s="68" t="inlineStr">
        <is>
          <t>Devis acceptés ÷ devis envoyés</t>
        </is>
      </c>
      <c r="U118" s="68" t="inlineStr">
        <is>
          <t>ACQ-10.03, ACQ-10.01</t>
        </is>
      </c>
      <c r="V118" s="68" t="inlineStr">
        <is>
          <t>XA02, XA23</t>
        </is>
      </c>
      <c r="W118" s="83" t="n"/>
    </row>
    <row r="119" ht="15" customHeight="1" s="53">
      <c r="A119" s="81" t="inlineStr">
        <is>
          <t>ACQ-10.14</t>
        </is>
      </c>
      <c r="B119" s="67" t="inlineStr">
        <is>
          <t>ACQ-10</t>
        </is>
      </c>
      <c r="C119" s="95">
        <f>IFERROR(INDEX(Thèmes!$D$2:$D$190,MATCH(B119,Thèmes!$A$2:$A$190,0)),"")</f>
        <v/>
      </c>
      <c r="D119" s="68" t="inlineStr">
        <is>
          <t>—</t>
        </is>
      </c>
      <c r="E119" s="68" t="inlineStr">
        <is>
          <t>Taux d'acceptation en montant</t>
        </is>
      </c>
      <c r="F119" s="68" t="inlineStr">
        <is>
          <t>%</t>
        </is>
      </c>
      <c r="G119" s="96" t="inlineStr">
        <is>
          <t>Calculée</t>
        </is>
      </c>
      <c r="H119" s="67" t="inlineStr">
        <is>
          <t>—</t>
        </is>
      </c>
      <c r="I119" s="68" t="inlineStr">
        <is>
          <t>—</t>
        </is>
      </c>
      <c r="J119" s="68" t="inlineStr">
        <is>
          <t>—</t>
        </is>
      </c>
      <c r="K119" s="67" t="n"/>
      <c r="L119" s="67" t="n"/>
      <c r="M119" s="67" t="n"/>
      <c r="N119" s="67" t="n"/>
      <c r="O119" s="67" t="inlineStr">
        <is>
          <t>●</t>
        </is>
      </c>
      <c r="P119" s="67" t="inlineStr">
        <is>
          <t>●</t>
        </is>
      </c>
      <c r="Q119" s="67" t="n"/>
      <c r="R119" s="67" t="n"/>
      <c r="S119" s="68" t="inlineStr">
        <is>
          <t>Problème</t>
        </is>
      </c>
      <c r="T119" s="68" t="inlineStr">
        <is>
          <t>Montant accepté ÷ montant envoyé</t>
        </is>
      </c>
      <c r="U119" s="68" t="inlineStr">
        <is>
          <t>ACQ-10.04, ACQ-10.02</t>
        </is>
      </c>
      <c r="V119" s="68" t="inlineStr">
        <is>
          <t>ACQ-10.17, ACQ-12.06, XA23</t>
        </is>
      </c>
      <c r="W119" s="83" t="n"/>
    </row>
    <row r="120" ht="23.85" customHeight="1" s="53">
      <c r="A120" s="81" t="inlineStr">
        <is>
          <t>ACQ-10.15</t>
        </is>
      </c>
      <c r="B120" s="67" t="inlineStr">
        <is>
          <t>ACQ-10</t>
        </is>
      </c>
      <c r="C120" s="95">
        <f>IFERROR(INDEX(Thèmes!$D$2:$D$190,MATCH(B120,Thèmes!$A$2:$A$190,0)),"")</f>
        <v/>
      </c>
      <c r="D120" s="68" t="inlineStr">
        <is>
          <t>—</t>
        </is>
      </c>
      <c r="E120" s="68" t="inlineStr">
        <is>
          <t>Montant moyen d'un devis accepté et d'un devis non signé</t>
        </is>
      </c>
      <c r="F120" s="68" t="inlineStr">
        <is>
          <t>€</t>
        </is>
      </c>
      <c r="G120" s="96" t="inlineStr">
        <is>
          <t>Calculée</t>
        </is>
      </c>
      <c r="H120" s="67" t="inlineStr">
        <is>
          <t>—</t>
        </is>
      </c>
      <c r="I120" s="68" t="inlineStr">
        <is>
          <t>—</t>
        </is>
      </c>
      <c r="J120" s="68" t="inlineStr">
        <is>
          <t>—</t>
        </is>
      </c>
      <c r="K120" s="67" t="n"/>
      <c r="L120" s="67" t="n"/>
      <c r="M120" s="67" t="n"/>
      <c r="N120" s="67" t="n"/>
      <c r="O120" s="67" t="inlineStr">
        <is>
          <t>●</t>
        </is>
      </c>
      <c r="P120" s="67" t="inlineStr">
        <is>
          <t>●</t>
        </is>
      </c>
      <c r="Q120" s="67" t="n"/>
      <c r="R120" s="67" t="n"/>
      <c r="S120" s="68" t="inlineStr">
        <is>
          <t>Problème</t>
        </is>
      </c>
      <c r="T120" s="68" t="inlineStr">
        <is>
          <t>Montant ÷ nombre, pour chacun des deux</t>
        </is>
      </c>
      <c r="U120" s="68" t="inlineStr">
        <is>
          <t>ACQ-10.04, ACQ-10.03, ACQ-10.02, ACQ-10.01</t>
        </is>
      </c>
      <c r="V120" s="68" t="inlineStr">
        <is>
          <t>ACQ-10.18, ACQ-11.20, ACQ-11.22, XA23</t>
        </is>
      </c>
      <c r="W120" s="83" t="n"/>
    </row>
    <row r="121" ht="23.85" customHeight="1" s="53">
      <c r="A121" s="81" t="inlineStr">
        <is>
          <t>ACQ-10.16</t>
        </is>
      </c>
      <c r="B121" s="67" t="inlineStr">
        <is>
          <t>ACQ-10</t>
        </is>
      </c>
      <c r="C121" s="95">
        <f>IFERROR(INDEX(Thèmes!$D$2:$D$190,MATCH(B121,Thèmes!$A$2:$A$190,0)),"")</f>
        <v/>
      </c>
      <c r="D121" s="68" t="inlineStr">
        <is>
          <t>—</t>
        </is>
      </c>
      <c r="E121" s="68" t="inlineStr">
        <is>
          <t>Efficacité de vos relances</t>
        </is>
      </c>
      <c r="F121" s="68" t="inlineStr">
        <is>
          <t>%</t>
        </is>
      </c>
      <c r="G121" s="96" t="inlineStr">
        <is>
          <t>Calculée</t>
        </is>
      </c>
      <c r="H121" s="67" t="inlineStr">
        <is>
          <t>—</t>
        </is>
      </c>
      <c r="I121" s="68" t="inlineStr">
        <is>
          <t>—</t>
        </is>
      </c>
      <c r="J121" s="68" t="inlineStr">
        <is>
          <t>—</t>
        </is>
      </c>
      <c r="K121" s="67" t="n"/>
      <c r="L121" s="67" t="n"/>
      <c r="M121" s="67" t="n"/>
      <c r="N121" s="67" t="n"/>
      <c r="O121" s="67" t="inlineStr">
        <is>
          <t>●</t>
        </is>
      </c>
      <c r="P121" s="67" t="inlineStr">
        <is>
          <t>●</t>
        </is>
      </c>
      <c r="Q121" s="67" t="n"/>
      <c r="R121" s="67" t="n"/>
      <c r="S121" s="68" t="inlineStr">
        <is>
          <t>Levier</t>
        </is>
      </c>
      <c r="T121" s="68" t="inlineStr">
        <is>
          <t>Devis acceptés après relance ÷ devis relancés</t>
        </is>
      </c>
      <c r="U121" s="68" t="inlineStr">
        <is>
          <t>ACQ-10.11, ACQ-10.12, ACQ-10.06</t>
        </is>
      </c>
      <c r="V121" s="68" t="inlineStr">
        <is>
          <t>ACQ-10.18, XA24</t>
        </is>
      </c>
      <c r="W121" s="83" t="n"/>
    </row>
    <row r="122" ht="15" customHeight="1" s="53">
      <c r="A122" s="81" t="inlineStr">
        <is>
          <t>ACQ-10.17</t>
        </is>
      </c>
      <c r="B122" s="67" t="inlineStr">
        <is>
          <t>ACQ-10</t>
        </is>
      </c>
      <c r="C122" s="95">
        <f>IFERROR(INDEX(Thèmes!$D$2:$D$190,MATCH(B122,Thèmes!$A$2:$A$190,0)),"")</f>
        <v/>
      </c>
      <c r="D122" s="68" t="inlineStr">
        <is>
          <t>—</t>
        </is>
      </c>
      <c r="E122" s="68" t="inlineStr">
        <is>
          <t>CA probable des devis en attente</t>
        </is>
      </c>
      <c r="F122" s="68" t="inlineStr">
        <is>
          <t>€</t>
        </is>
      </c>
      <c r="G122" s="96" t="inlineStr">
        <is>
          <t>Calculée</t>
        </is>
      </c>
      <c r="H122" s="67" t="inlineStr">
        <is>
          <t>—</t>
        </is>
      </c>
      <c r="I122" s="68" t="inlineStr">
        <is>
          <t>—</t>
        </is>
      </c>
      <c r="J122" s="68" t="inlineStr">
        <is>
          <t>—</t>
        </is>
      </c>
      <c r="K122" s="67" t="n"/>
      <c r="L122" s="67" t="n"/>
      <c r="M122" s="67" t="n"/>
      <c r="N122" s="67" t="n"/>
      <c r="O122" s="67" t="inlineStr">
        <is>
          <t>●</t>
        </is>
      </c>
      <c r="P122" s="67" t="inlineStr">
        <is>
          <t>●</t>
        </is>
      </c>
      <c r="Q122" s="67" t="n"/>
      <c r="R122" s="67" t="n"/>
      <c r="S122" s="68" t="inlineStr">
        <is>
          <t>Potentiel CA</t>
        </is>
      </c>
      <c r="T122" s="68" t="inlineStr">
        <is>
          <t>Montant en attente × taux d'acceptation en montant</t>
        </is>
      </c>
      <c r="U122" s="68" t="inlineStr">
        <is>
          <t>ACQ-10.08, ACQ-10.14</t>
        </is>
      </c>
      <c r="V122" s="68" t="inlineStr">
        <is>
          <t>XA22</t>
        </is>
      </c>
      <c r="W122" s="83" t="n"/>
    </row>
    <row r="123" ht="35.05" customHeight="1" s="53">
      <c r="A123" s="81" t="inlineStr">
        <is>
          <t>ACQ-10.18</t>
        </is>
      </c>
      <c r="B123" s="67" t="inlineStr">
        <is>
          <t>ACQ-10</t>
        </is>
      </c>
      <c r="C123" s="95">
        <f>IFERROR(INDEX(Thèmes!$D$2:$D$190,MATCH(B123,Thèmes!$A$2:$A$190,0)),"")</f>
        <v/>
      </c>
      <c r="D123" s="68" t="inlineStr">
        <is>
          <t>—</t>
        </is>
      </c>
      <c r="E123" s="68" t="inlineStr">
        <is>
          <t>CA récupérable en relançant les devis sans réponse</t>
        </is>
      </c>
      <c r="F123" s="68" t="inlineStr">
        <is>
          <t>€</t>
        </is>
      </c>
      <c r="G123" s="96" t="inlineStr">
        <is>
          <t>Calculée</t>
        </is>
      </c>
      <c r="H123" s="67" t="inlineStr">
        <is>
          <t>—</t>
        </is>
      </c>
      <c r="I123" s="68" t="inlineStr">
        <is>
          <t>—</t>
        </is>
      </c>
      <c r="J123" s="68" t="inlineStr">
        <is>
          <t>—</t>
        </is>
      </c>
      <c r="K123" s="67" t="n"/>
      <c r="L123" s="67" t="n"/>
      <c r="M123" s="67" t="n"/>
      <c r="N123" s="67" t="n"/>
      <c r="O123" s="67" t="inlineStr">
        <is>
          <t>●</t>
        </is>
      </c>
      <c r="P123" s="67" t="inlineStr">
        <is>
          <t>●</t>
        </is>
      </c>
      <c r="Q123" s="67" t="n"/>
      <c r="R123" s="67" t="n"/>
      <c r="S123" s="68" t="inlineStr">
        <is>
          <t>Potentiel CA</t>
        </is>
      </c>
      <c r="T123" s="68" t="inlineStr">
        <is>
          <t>Devis sans réponse non relancés × efficacité de vos relances (sinon part récupérable prudente) × montant moyen d'un devis</t>
        </is>
      </c>
      <c r="U123" s="68" t="inlineStr">
        <is>
          <t>ACQ-10.12, ACQ-10.06, ACQ-10.16, ACQ-10.15</t>
        </is>
      </c>
      <c r="V123" s="68" t="inlineStr">
        <is>
          <t>XA24</t>
        </is>
      </c>
      <c r="W123" s="83" t="n"/>
    </row>
    <row r="124" ht="46.25" customHeight="1" s="53">
      <c r="A124" s="85" t="inlineStr">
        <is>
          <t>ACQ-11.01</t>
        </is>
      </c>
      <c r="B124" s="89" t="inlineStr">
        <is>
          <t>ACQ-11</t>
        </is>
      </c>
      <c r="C124" s="97">
        <f>IFERROR(INDEX(Thèmes!$D$2:$D$190,MATCH(B124,Thèmes!$A$2:$A$190,0)),"")</f>
        <v/>
      </c>
      <c r="D124" s="86" t="inlineStr">
        <is>
          <t>A12 · Vos ventes</t>
        </is>
      </c>
      <c r="E124" s="86" t="inlineStr">
        <is>
          <t>Nouveaux clients par mois, moyenne des 3 derniers mois</t>
        </is>
      </c>
      <c r="F124" s="86" t="inlineStr">
        <is>
          <t>Nombre</t>
        </is>
      </c>
      <c r="G124" s="89" t="inlineStr">
        <is>
          <t>Demandée</t>
        </is>
      </c>
      <c r="H124" s="89" t="inlineStr">
        <is>
          <t>Essentiel</t>
        </is>
      </c>
      <c r="I124" s="86" t="inlineStr">
        <is>
          <t>—</t>
        </is>
      </c>
      <c r="J124" s="86" t="inlineStr">
        <is>
          <t>Période adaptée : depuis la création si moins de 3 mois</t>
        </is>
      </c>
      <c r="K124" s="89" t="inlineStr">
        <is>
          <t>●</t>
        </is>
      </c>
      <c r="L124" s="89" t="n"/>
      <c r="M124" s="89" t="inlineStr">
        <is>
          <t>●</t>
        </is>
      </c>
      <c r="N124" s="89" t="n"/>
      <c r="O124" s="89" t="inlineStr">
        <is>
          <t>●</t>
        </is>
      </c>
      <c r="P124" s="89" t="inlineStr">
        <is>
          <t>●</t>
        </is>
      </c>
      <c r="Q124" s="89" t="inlineStr">
        <is>
          <t>●</t>
        </is>
      </c>
      <c r="R124" s="89" t="n"/>
      <c r="S124" s="86" t="inlineStr">
        <is>
          <t>Mesure</t>
        </is>
      </c>
      <c r="T124" s="86" t="inlineStr">
        <is>
          <t>—</t>
        </is>
      </c>
      <c r="U124" s="86" t="inlineStr">
        <is>
          <t>—</t>
        </is>
      </c>
      <c r="V124" s="86" t="inlineStr">
        <is>
          <t>ACQ-07.11, ACQ-07.14, ACQ-09.11, ACQ-11.18, ACQ-11.19, ACQ-11.20, ACQ-11.21, COM-09.06, COM-44.07</t>
        </is>
      </c>
      <c r="W124" s="91" t="n"/>
    </row>
    <row r="125" ht="35.05" customHeight="1" s="53">
      <c r="A125" s="81" t="inlineStr">
        <is>
          <t>ACQ-11.02</t>
        </is>
      </c>
      <c r="B125" s="67" t="inlineStr">
        <is>
          <t>ACQ-11</t>
        </is>
      </c>
      <c r="C125" s="95">
        <f>IFERROR(INDEX(Thèmes!$D$2:$D$190,MATCH(B125,Thèmes!$A$2:$A$190,0)),"")</f>
        <v/>
      </c>
      <c r="D125" s="68" t="inlineStr">
        <is>
          <t>A12 · Vos ventes</t>
        </is>
      </c>
      <c r="E125" s="68" t="inlineStr">
        <is>
          <t>Même chiffre il y a 12 mois</t>
        </is>
      </c>
      <c r="F125" s="68" t="inlineStr">
        <is>
          <t>Nombre</t>
        </is>
      </c>
      <c r="G125" s="67" t="inlineStr">
        <is>
          <t>Demandée</t>
        </is>
      </c>
      <c r="H125" s="67" t="inlineStr">
        <is>
          <t>Essentiel</t>
        </is>
      </c>
      <c r="I125" s="68" t="inlineStr">
        <is>
          <t>—</t>
        </is>
      </c>
      <c r="J125" s="68" t="inlineStr">
        <is>
          <t>Mêmes 3 mois, un an plus tôt (masquée avant 15 mois d'existence)</t>
        </is>
      </c>
      <c r="K125" s="67" t="inlineStr">
        <is>
          <t>●</t>
        </is>
      </c>
      <c r="L125" s="67" t="n"/>
      <c r="M125" s="67" t="inlineStr">
        <is>
          <t>●</t>
        </is>
      </c>
      <c r="N125" s="67" t="n"/>
      <c r="O125" s="67" t="inlineStr">
        <is>
          <t>●</t>
        </is>
      </c>
      <c r="P125" s="67" t="inlineStr">
        <is>
          <t>●</t>
        </is>
      </c>
      <c r="Q125" s="67" t="inlineStr">
        <is>
          <t>●</t>
        </is>
      </c>
      <c r="R125" s="67" t="n"/>
      <c r="S125" s="68" t="inlineStr">
        <is>
          <t>Problème</t>
        </is>
      </c>
      <c r="T125" s="68" t="inlineStr">
        <is>
          <t>—</t>
        </is>
      </c>
      <c r="U125" s="68" t="inlineStr">
        <is>
          <t>—</t>
        </is>
      </c>
      <c r="V125" s="68" t="inlineStr">
        <is>
          <t>ACQ-07.14, ACQ-11.18</t>
        </is>
      </c>
      <c r="W125" s="83" t="n"/>
    </row>
    <row r="126" ht="23.85" customHeight="1" s="53">
      <c r="A126" s="81" t="inlineStr">
        <is>
          <t>ACQ-11.03</t>
        </is>
      </c>
      <c r="B126" s="67" t="inlineStr">
        <is>
          <t>ACQ-11</t>
        </is>
      </c>
      <c r="C126" s="95">
        <f>IFERROR(INDEX(Thèmes!$D$2:$D$190,MATCH(B126,Thèmes!$A$2:$A$190,0)),"")</f>
        <v/>
      </c>
      <c r="D126" s="68" t="inlineStr">
        <is>
          <t>A12 · Vos ventes</t>
        </is>
      </c>
      <c r="E126" s="68" t="inlineStr">
        <is>
          <t>Montant moyen du premier achat ou du premier contrat (chantier et B2B : calculé depuis les devis acceptés)</t>
        </is>
      </c>
      <c r="F126" s="68" t="inlineStr">
        <is>
          <t>€</t>
        </is>
      </c>
      <c r="G126" s="67" t="inlineStr">
        <is>
          <t>Demandée</t>
        </is>
      </c>
      <c r="H126" s="67" t="inlineStr">
        <is>
          <t>Essentiel</t>
        </is>
      </c>
      <c r="I126" s="68" t="inlineStr">
        <is>
          <t>—</t>
        </is>
      </c>
      <c r="J126" s="68" t="inlineStr">
        <is>
          <t>—</t>
        </is>
      </c>
      <c r="K126" s="67" t="inlineStr">
        <is>
          <t>●</t>
        </is>
      </c>
      <c r="L126" s="67" t="n"/>
      <c r="M126" s="67" t="inlineStr">
        <is>
          <t>●</t>
        </is>
      </c>
      <c r="N126" s="67" t="n"/>
      <c r="O126" s="67" t="n"/>
      <c r="P126" s="67" t="n"/>
      <c r="Q126" s="67" t="inlineStr">
        <is>
          <t>●</t>
        </is>
      </c>
      <c r="R126" s="67" t="n"/>
      <c r="S126" s="68" t="inlineStr">
        <is>
          <t>Potentiel CA</t>
        </is>
      </c>
      <c r="T126" s="68" t="inlineStr">
        <is>
          <t>—</t>
        </is>
      </c>
      <c r="U126" s="68" t="inlineStr">
        <is>
          <t>—</t>
        </is>
      </c>
      <c r="V126" s="68" t="inlineStr">
        <is>
          <t>ACQ-02.09, ACQ-04.09, ACQ-11.20, ACQ-11.22, XA03</t>
        </is>
      </c>
      <c r="W126" s="83" t="n"/>
    </row>
    <row r="127" ht="23.85" customHeight="1" s="53">
      <c r="A127" s="94" t="inlineStr">
        <is>
          <t>ACQ-11.04</t>
        </is>
      </c>
      <c r="B127" s="67" t="inlineStr">
        <is>
          <t>ACQ-11</t>
        </is>
      </c>
      <c r="C127" s="95">
        <f>IFERROR(INDEX(Thèmes!$D$2:$D$190,MATCH(B127,Thèmes!$A$2:$A$190,0)),"")</f>
        <v/>
      </c>
      <c r="D127" s="68" t="inlineStr">
        <is>
          <t>A12 · Vos ventes</t>
        </is>
      </c>
      <c r="E127" s="68" t="inlineStr">
        <is>
          <t>Motifs des affaires non signées : prix, délai, concurrent, absence de suivi, projet abandonné, hors offre</t>
        </is>
      </c>
      <c r="F127" s="68" t="inlineStr">
        <is>
          <t>Part estimée par motif</t>
        </is>
      </c>
      <c r="G127" s="67" t="inlineStr">
        <is>
          <t>Demandée</t>
        </is>
      </c>
      <c r="H127" s="67" t="inlineStr">
        <is>
          <t>Approfondi</t>
        </is>
      </c>
      <c r="I127" s="68" t="inlineStr">
        <is>
          <t>—</t>
        </is>
      </c>
      <c r="J127" s="68" t="inlineStr">
        <is>
          <t>—</t>
        </is>
      </c>
      <c r="K127" s="67" t="inlineStr">
        <is>
          <t>●</t>
        </is>
      </c>
      <c r="L127" s="67" t="n"/>
      <c r="M127" s="67" t="n"/>
      <c r="N127" s="67" t="n"/>
      <c r="O127" s="67" t="inlineStr">
        <is>
          <t>●</t>
        </is>
      </c>
      <c r="P127" s="67" t="inlineStr">
        <is>
          <t>●</t>
        </is>
      </c>
      <c r="Q127" s="67" t="inlineStr">
        <is>
          <t>●</t>
        </is>
      </c>
      <c r="R127" s="67" t="n"/>
      <c r="S127" s="68" t="inlineStr">
        <is>
          <t>Levier, Perte</t>
        </is>
      </c>
      <c r="T127" s="68" t="inlineStr">
        <is>
          <t>—</t>
        </is>
      </c>
      <c r="U127" s="68" t="inlineStr">
        <is>
          <t>—</t>
        </is>
      </c>
      <c r="V127" s="68" t="inlineStr">
        <is>
          <t>ACQ-11.23, ACQ-13.09</t>
        </is>
      </c>
      <c r="W127" s="83" t="inlineStr">
        <is>
          <t>Niveau</t>
        </is>
      </c>
    </row>
    <row r="128" ht="23.85" customHeight="1" s="53">
      <c r="A128" s="81" t="inlineStr">
        <is>
          <t>ACQ-11.05</t>
        </is>
      </c>
      <c r="B128" s="67" t="inlineStr">
        <is>
          <t>ACQ-11</t>
        </is>
      </c>
      <c r="C128" s="95">
        <f>IFERROR(INDEX(Thèmes!$D$2:$D$190,MATCH(B128,Thèmes!$A$2:$A$190,0)),"")</f>
        <v/>
      </c>
      <c r="D128" s="68" t="inlineStr">
        <is>
          <t>A12 · Vos ventes</t>
        </is>
      </c>
      <c r="E128" s="68" t="inlineStr">
        <is>
          <t>Échanges nécessaires avant signature : appels, emails, rendez-vous</t>
        </is>
      </c>
      <c r="F128" s="68" t="inlineStr">
        <is>
          <t>Nombre</t>
        </is>
      </c>
      <c r="G128" s="67" t="inlineStr">
        <is>
          <t>Demandée</t>
        </is>
      </c>
      <c r="H128" s="67" t="inlineStr">
        <is>
          <t>Approfondi</t>
        </is>
      </c>
      <c r="I128" s="68" t="inlineStr">
        <is>
          <t>—</t>
        </is>
      </c>
      <c r="J128" s="68" t="inlineStr">
        <is>
          <t>—</t>
        </is>
      </c>
      <c r="K128" s="67" t="n"/>
      <c r="L128" s="67" t="n"/>
      <c r="M128" s="67" t="n"/>
      <c r="N128" s="67" t="n"/>
      <c r="O128" s="67" t="inlineStr">
        <is>
          <t>●</t>
        </is>
      </c>
      <c r="P128" s="67" t="inlineStr">
        <is>
          <t>●</t>
        </is>
      </c>
      <c r="Q128" s="67" t="n"/>
      <c r="R128" s="67" t="n"/>
      <c r="S128" s="68" t="inlineStr">
        <is>
          <t>Capacité</t>
        </is>
      </c>
      <c r="T128" s="68" t="inlineStr">
        <is>
          <t>—</t>
        </is>
      </c>
      <c r="U128" s="68" t="inlineStr">
        <is>
          <t>—</t>
        </is>
      </c>
      <c r="V128" s="68" t="inlineStr">
        <is>
          <t>Lue par l'IA pour adapter le conseil</t>
        </is>
      </c>
      <c r="W128" s="83" t="n"/>
    </row>
    <row r="129" ht="23.85" customHeight="1" s="53">
      <c r="A129" s="81" t="inlineStr">
        <is>
          <t>ACQ-11.06</t>
        </is>
      </c>
      <c r="B129" s="67" t="inlineStr">
        <is>
          <t>ACQ-11</t>
        </is>
      </c>
      <c r="C129" s="95">
        <f>IFERROR(INDEX(Thèmes!$D$2:$D$190,MATCH(B129,Thèmes!$A$2:$A$190,0)),"")</f>
        <v/>
      </c>
      <c r="D129" s="68" t="inlineStr">
        <is>
          <t>A13 · Votre boutique, salle ou site</t>
        </is>
      </c>
      <c r="E129" s="68" t="inlineStr">
        <is>
          <t>Tickets de caisse par mois</t>
        </is>
      </c>
      <c r="F129" s="68" t="inlineStr">
        <is>
          <t>Nombre</t>
        </is>
      </c>
      <c r="G129" s="101" t="inlineStr">
        <is>
          <t>Importée</t>
        </is>
      </c>
      <c r="H129" s="67" t="inlineStr">
        <is>
          <t>Essentiel</t>
        </is>
      </c>
      <c r="I129" s="68" t="inlineStr">
        <is>
          <t>—</t>
        </is>
      </c>
      <c r="J129" s="68" t="inlineStr">
        <is>
          <t>—</t>
        </is>
      </c>
      <c r="K129" s="67" t="n"/>
      <c r="L129" s="67" t="inlineStr">
        <is>
          <t>●</t>
        </is>
      </c>
      <c r="M129" s="67" t="n"/>
      <c r="N129" s="67" t="n"/>
      <c r="O129" s="67" t="n"/>
      <c r="P129" s="67" t="n"/>
      <c r="Q129" s="67" t="n"/>
      <c r="R129" s="67" t="n"/>
      <c r="S129" s="68" t="inlineStr">
        <is>
          <t>Mesure</t>
        </is>
      </c>
      <c r="T129" s="68" t="inlineStr">
        <is>
          <t>Lu dans le logiciel de caisse s'il est connecté</t>
        </is>
      </c>
      <c r="U129" s="68" t="inlineStr">
        <is>
          <t>—</t>
        </is>
      </c>
      <c r="V129" s="68" t="inlineStr">
        <is>
          <t>ACQ-11.24, ACQ-15.06, COM-09.06, COM-44.07</t>
        </is>
      </c>
      <c r="W129" s="83" t="n"/>
    </row>
    <row r="130" ht="23.85" customHeight="1" s="53">
      <c r="A130" s="94" t="inlineStr">
        <is>
          <t>ACQ-11.07</t>
        </is>
      </c>
      <c r="B130" s="67" t="inlineStr">
        <is>
          <t>ACQ-11</t>
        </is>
      </c>
      <c r="C130" s="95">
        <f>IFERROR(INDEX(Thèmes!$D$2:$D$190,MATCH(B130,Thèmes!$A$2:$A$190,0)),"")</f>
        <v/>
      </c>
      <c r="D130" s="68" t="inlineStr">
        <is>
          <t>A13 · Votre boutique, salle ou site</t>
        </is>
      </c>
      <c r="E130" s="68" t="inlineStr">
        <is>
          <t>Couverts moyens par service, midi et soir (couverts par mois calculés : × services par semaine × 4,33)</t>
        </is>
      </c>
      <c r="F130" s="68" t="inlineStr">
        <is>
          <t>Nombre (2 colonnes)</t>
        </is>
      </c>
      <c r="G130" s="67" t="inlineStr">
        <is>
          <t>Demandée</t>
        </is>
      </c>
      <c r="H130" s="67" t="inlineStr">
        <is>
          <t>Essentiel</t>
        </is>
      </c>
      <c r="I130" s="68" t="inlineStr">
        <is>
          <t>—</t>
        </is>
      </c>
      <c r="J130" s="68" t="inlineStr">
        <is>
          <t>—</t>
        </is>
      </c>
      <c r="K130" s="67" t="n"/>
      <c r="L130" s="67" t="n"/>
      <c r="M130" s="67" t="n"/>
      <c r="N130" s="67" t="inlineStr">
        <is>
          <t>●</t>
        </is>
      </c>
      <c r="O130" s="67" t="n"/>
      <c r="P130" s="67" t="n"/>
      <c r="Q130" s="67" t="n"/>
      <c r="R130" s="67" t="n"/>
      <c r="S130" s="68" t="inlineStr">
        <is>
          <t>Mesure</t>
        </is>
      </c>
      <c r="T130" s="68" t="inlineStr">
        <is>
          <t>—</t>
        </is>
      </c>
      <c r="U130" s="68" t="inlineStr">
        <is>
          <t>—</t>
        </is>
      </c>
      <c r="V130" s="68" t="inlineStr">
        <is>
          <t>ACQ-11.25, ACQ-11.26, ACQ-15.06, COM-09.06, COM-44.07</t>
        </is>
      </c>
      <c r="W130" s="83" t="inlineStr">
        <is>
          <t>Libellé (« Donnée »)</t>
        </is>
      </c>
    </row>
    <row r="131" ht="23.85" customHeight="1" s="53">
      <c r="A131" s="81" t="inlineStr">
        <is>
          <t>ACQ-11.08</t>
        </is>
      </c>
      <c r="B131" s="67" t="inlineStr">
        <is>
          <t>ACQ-11</t>
        </is>
      </c>
      <c r="C131" s="95">
        <f>IFERROR(INDEX(Thèmes!$D$2:$D$190,MATCH(B131,Thèmes!$A$2:$A$190,0)),"")</f>
        <v/>
      </c>
      <c r="D131" s="68" t="inlineStr">
        <is>
          <t>A13 · Votre boutique, salle ou site</t>
        </is>
      </c>
      <c r="E131" s="68" t="inlineStr">
        <is>
          <t>Places assises</t>
        </is>
      </c>
      <c r="F131" s="68" t="inlineStr">
        <is>
          <t>Nombre</t>
        </is>
      </c>
      <c r="G131" s="67" t="inlineStr">
        <is>
          <t>Demandée</t>
        </is>
      </c>
      <c r="H131" s="67" t="inlineStr">
        <is>
          <t>Essentiel</t>
        </is>
      </c>
      <c r="I131" s="68" t="inlineStr">
        <is>
          <t>—</t>
        </is>
      </c>
      <c r="J131" s="68" t="inlineStr">
        <is>
          <t>—</t>
        </is>
      </c>
      <c r="K131" s="67" t="n"/>
      <c r="L131" s="67" t="n"/>
      <c r="M131" s="67" t="n"/>
      <c r="N131" s="67" t="inlineStr">
        <is>
          <t>●</t>
        </is>
      </c>
      <c r="O131" s="67" t="n"/>
      <c r="P131" s="67" t="n"/>
      <c r="Q131" s="67" t="n"/>
      <c r="R131" s="67" t="n"/>
      <c r="S131" s="68" t="inlineStr">
        <is>
          <t>Capacité</t>
        </is>
      </c>
      <c r="T131" s="68" t="inlineStr">
        <is>
          <t>—</t>
        </is>
      </c>
      <c r="U131" s="68" t="inlineStr">
        <is>
          <t>—</t>
        </is>
      </c>
      <c r="V131" s="68" t="inlineStr">
        <is>
          <t>ACQ-11.25, XA34</t>
        </is>
      </c>
      <c r="W131" s="83" t="n"/>
    </row>
    <row r="132" ht="23.85" customHeight="1" s="53">
      <c r="A132" s="81" t="inlineStr">
        <is>
          <t>ACQ-11.09</t>
        </is>
      </c>
      <c r="B132" s="67" t="inlineStr">
        <is>
          <t>ACQ-11</t>
        </is>
      </c>
      <c r="C132" s="95">
        <f>IFERROR(INDEX(Thèmes!$D$2:$D$190,MATCH(B132,Thèmes!$A$2:$A$190,0)),"")</f>
        <v/>
      </c>
      <c r="D132" s="68" t="inlineStr">
        <is>
          <t>A13 · Votre boutique, salle ou site</t>
        </is>
      </c>
      <c r="E132" s="68" t="inlineStr">
        <is>
          <t>Services par semaine, midi et soir</t>
        </is>
      </c>
      <c r="F132" s="68" t="inlineStr">
        <is>
          <t>Nombre (2 colonnes)</t>
        </is>
      </c>
      <c r="G132" s="67" t="inlineStr">
        <is>
          <t>Demandée</t>
        </is>
      </c>
      <c r="H132" s="67" t="inlineStr">
        <is>
          <t>Essentiel</t>
        </is>
      </c>
      <c r="I132" s="68" t="inlineStr">
        <is>
          <t>—</t>
        </is>
      </c>
      <c r="J132" s="68" t="inlineStr">
        <is>
          <t>—</t>
        </is>
      </c>
      <c r="K132" s="67" t="n"/>
      <c r="L132" s="67" t="n"/>
      <c r="M132" s="67" t="n"/>
      <c r="N132" s="67" t="inlineStr">
        <is>
          <t>●</t>
        </is>
      </c>
      <c r="O132" s="67" t="n"/>
      <c r="P132" s="67" t="n"/>
      <c r="Q132" s="67" t="n"/>
      <c r="R132" s="67" t="n"/>
      <c r="S132" s="68" t="inlineStr">
        <is>
          <t>Capacité</t>
        </is>
      </c>
      <c r="T132" s="68" t="inlineStr">
        <is>
          <t>—</t>
        </is>
      </c>
      <c r="U132" s="68" t="inlineStr">
        <is>
          <t>—</t>
        </is>
      </c>
      <c r="V132" s="68" t="inlineStr">
        <is>
          <t>ACQ-11.25</t>
        </is>
      </c>
      <c r="W132" s="83" t="n"/>
    </row>
    <row r="133" ht="23.85" customHeight="1" s="53">
      <c r="A133" s="81" t="inlineStr">
        <is>
          <t>ACQ-11.10</t>
        </is>
      </c>
      <c r="B133" s="67" t="inlineStr">
        <is>
          <t>ACQ-11</t>
        </is>
      </c>
      <c r="C133" s="95">
        <f>IFERROR(INDEX(Thèmes!$D$2:$D$190,MATCH(B133,Thèmes!$A$2:$A$190,0)),"")</f>
        <v/>
      </c>
      <c r="D133" s="68" t="inlineStr">
        <is>
          <t>A13 · Votre boutique, salle ou site</t>
        </is>
      </c>
      <c r="E133" s="68" t="inlineStr">
        <is>
          <t>Réservations refusées par semaine faute de place</t>
        </is>
      </c>
      <c r="F133" s="68" t="inlineStr">
        <is>
          <t>Nombre</t>
        </is>
      </c>
      <c r="G133" s="67" t="inlineStr">
        <is>
          <t>Demandée</t>
        </is>
      </c>
      <c r="H133" s="67" t="inlineStr">
        <is>
          <t>Essentiel</t>
        </is>
      </c>
      <c r="I133" s="68" t="inlineStr">
        <is>
          <t>—</t>
        </is>
      </c>
      <c r="J133" s="68" t="inlineStr">
        <is>
          <t>—</t>
        </is>
      </c>
      <c r="K133" s="67" t="n"/>
      <c r="L133" s="67" t="n"/>
      <c r="M133" s="67" t="n"/>
      <c r="N133" s="67" t="inlineStr">
        <is>
          <t>●</t>
        </is>
      </c>
      <c r="O133" s="67" t="n"/>
      <c r="P133" s="67" t="n"/>
      <c r="Q133" s="67" t="n"/>
      <c r="R133" s="67" t="n"/>
      <c r="S133" s="68" t="inlineStr">
        <is>
          <t>Perte</t>
        </is>
      </c>
      <c r="T133" s="68" t="inlineStr">
        <is>
          <t>—</t>
        </is>
      </c>
      <c r="U133" s="68" t="inlineStr">
        <is>
          <t>—</t>
        </is>
      </c>
      <c r="V133" s="68" t="inlineStr">
        <is>
          <t>ACQ-11.27</t>
        </is>
      </c>
      <c r="W133" s="83" t="n"/>
    </row>
    <row r="134" ht="23.85" customHeight="1" s="53">
      <c r="A134" s="81" t="inlineStr">
        <is>
          <t>ACQ-11.11</t>
        </is>
      </c>
      <c r="B134" s="67" t="inlineStr">
        <is>
          <t>ACQ-11</t>
        </is>
      </c>
      <c r="C134" s="95">
        <f>IFERROR(INDEX(Thèmes!$D$2:$D$190,MATCH(B134,Thèmes!$A$2:$A$190,0)),"")</f>
        <v/>
      </c>
      <c r="D134" s="68" t="inlineStr">
        <is>
          <t>A13 · Votre boutique, salle ou site</t>
        </is>
      </c>
      <c r="E134" s="68" t="inlineStr">
        <is>
          <t>Réservations non honorées par semaine</t>
        </is>
      </c>
      <c r="F134" s="68" t="inlineStr">
        <is>
          <t>Nombre</t>
        </is>
      </c>
      <c r="G134" s="67" t="inlineStr">
        <is>
          <t>Demandée</t>
        </is>
      </c>
      <c r="H134" s="67" t="inlineStr">
        <is>
          <t>Essentiel</t>
        </is>
      </c>
      <c r="I134" s="68" t="inlineStr">
        <is>
          <t>—</t>
        </is>
      </c>
      <c r="J134" s="68" t="inlineStr">
        <is>
          <t>—</t>
        </is>
      </c>
      <c r="K134" s="67" t="n"/>
      <c r="L134" s="67" t="n"/>
      <c r="M134" s="67" t="n"/>
      <c r="N134" s="67" t="inlineStr">
        <is>
          <t>●</t>
        </is>
      </c>
      <c r="O134" s="67" t="n"/>
      <c r="P134" s="67" t="n"/>
      <c r="Q134" s="67" t="n"/>
      <c r="R134" s="67" t="n"/>
      <c r="S134" s="68" t="inlineStr">
        <is>
          <t>Perte</t>
        </is>
      </c>
      <c r="T134" s="68" t="inlineStr">
        <is>
          <t>—</t>
        </is>
      </c>
      <c r="U134" s="68" t="inlineStr">
        <is>
          <t>—</t>
        </is>
      </c>
      <c r="V134" s="68" t="inlineStr">
        <is>
          <t>ACQ-11.27</t>
        </is>
      </c>
      <c r="W134" s="83" t="n"/>
    </row>
    <row r="135" ht="23.85" customHeight="1" s="53">
      <c r="A135" s="81" t="inlineStr">
        <is>
          <t>ACQ-11.12</t>
        </is>
      </c>
      <c r="B135" s="67" t="inlineStr">
        <is>
          <t>ACQ-11</t>
        </is>
      </c>
      <c r="C135" s="95">
        <f>IFERROR(INDEX(Thèmes!$D$2:$D$190,MATCH(B135,Thèmes!$A$2:$A$190,0)),"")</f>
        <v/>
      </c>
      <c r="D135" s="68" t="inlineStr">
        <is>
          <t>A13 · Votre boutique, salle ou site</t>
        </is>
      </c>
      <c r="E135" s="68" t="inlineStr">
        <is>
          <t>Couverts moyens par réservation</t>
        </is>
      </c>
      <c r="F135" s="68" t="inlineStr">
        <is>
          <t>Nombre</t>
        </is>
      </c>
      <c r="G135" s="67" t="inlineStr">
        <is>
          <t>Demandée</t>
        </is>
      </c>
      <c r="H135" s="67" t="inlineStr">
        <is>
          <t>Approfondi</t>
        </is>
      </c>
      <c r="I135" s="68" t="inlineStr">
        <is>
          <t>—</t>
        </is>
      </c>
      <c r="J135" s="68" t="inlineStr">
        <is>
          <t>—</t>
        </is>
      </c>
      <c r="K135" s="67" t="n"/>
      <c r="L135" s="67" t="n"/>
      <c r="M135" s="67" t="n"/>
      <c r="N135" s="67" t="inlineStr">
        <is>
          <t>●</t>
        </is>
      </c>
      <c r="O135" s="67" t="n"/>
      <c r="P135" s="67" t="n"/>
      <c r="Q135" s="67" t="n"/>
      <c r="R135" s="67" t="n"/>
      <c r="S135" s="68" t="inlineStr">
        <is>
          <t>Potentiel CA</t>
        </is>
      </c>
      <c r="T135" s="68" t="inlineStr">
        <is>
          <t>—</t>
        </is>
      </c>
      <c r="U135" s="68" t="inlineStr">
        <is>
          <t>—</t>
        </is>
      </c>
      <c r="V135" s="68" t="inlineStr">
        <is>
          <t>ACQ-11.27</t>
        </is>
      </c>
      <c r="W135" s="83" t="n"/>
    </row>
    <row r="136" ht="23.85" customHeight="1" s="53">
      <c r="A136" s="81" t="inlineStr">
        <is>
          <t>ACQ-11.13</t>
        </is>
      </c>
      <c r="B136" s="67" t="inlineStr">
        <is>
          <t>ACQ-11</t>
        </is>
      </c>
      <c r="C136" s="95">
        <f>IFERROR(INDEX(Thèmes!$D$2:$D$190,MATCH(B136,Thèmes!$A$2:$A$190,0)),"")</f>
        <v/>
      </c>
      <c r="D136" s="68" t="inlineStr">
        <is>
          <t>A13 · Votre boutique, salle ou site</t>
        </is>
      </c>
      <c r="E136" s="68" t="inlineStr">
        <is>
          <t>Part de la vente à emporter et de la livraison dans le CA</t>
        </is>
      </c>
      <c r="F136" s="68" t="inlineStr">
        <is>
          <t>%</t>
        </is>
      </c>
      <c r="G136" s="67" t="inlineStr">
        <is>
          <t>Demandée</t>
        </is>
      </c>
      <c r="H136" s="67" t="inlineStr">
        <is>
          <t>Approfondi</t>
        </is>
      </c>
      <c r="I136" s="68" t="inlineStr">
        <is>
          <t>—</t>
        </is>
      </c>
      <c r="J136" s="68" t="inlineStr">
        <is>
          <t>—</t>
        </is>
      </c>
      <c r="K136" s="67" t="n"/>
      <c r="L136" s="67" t="n"/>
      <c r="M136" s="67" t="n"/>
      <c r="N136" s="67" t="inlineStr">
        <is>
          <t>●</t>
        </is>
      </c>
      <c r="O136" s="67" t="n"/>
      <c r="P136" s="67" t="n"/>
      <c r="Q136" s="67" t="n"/>
      <c r="R136" s="67" t="n"/>
      <c r="S136" s="68" t="inlineStr">
        <is>
          <t>Levier</t>
        </is>
      </c>
      <c r="T136" s="68" t="inlineStr">
        <is>
          <t>—</t>
        </is>
      </c>
      <c r="U136" s="68" t="inlineStr">
        <is>
          <t>—</t>
        </is>
      </c>
      <c r="V136" s="68" t="inlineStr">
        <is>
          <t>ACQ-11.26</t>
        </is>
      </c>
      <c r="W136" s="83" t="n"/>
    </row>
    <row r="137" ht="35.05" customHeight="1" s="53">
      <c r="A137" s="81" t="inlineStr">
        <is>
          <t>ACQ-11.14</t>
        </is>
      </c>
      <c r="B137" s="67" t="inlineStr">
        <is>
          <t>ACQ-11</t>
        </is>
      </c>
      <c r="C137" s="95">
        <f>IFERROR(INDEX(Thèmes!$D$2:$D$190,MATCH(B137,Thèmes!$A$2:$A$190,0)),"")</f>
        <v/>
      </c>
      <c r="D137" s="68" t="inlineStr">
        <is>
          <t>A13 · Votre boutique, salle ou site</t>
        </is>
      </c>
      <c r="E137" s="68" t="inlineStr">
        <is>
          <t>Commandes par mois</t>
        </is>
      </c>
      <c r="F137" s="68" t="inlineStr">
        <is>
          <t>Nombre</t>
        </is>
      </c>
      <c r="G137" s="101" t="inlineStr">
        <is>
          <t>Importée</t>
        </is>
      </c>
      <c r="H137" s="67" t="inlineStr">
        <is>
          <t>Essentiel</t>
        </is>
      </c>
      <c r="I137" s="68" t="inlineStr">
        <is>
          <t>—</t>
        </is>
      </c>
      <c r="J137" s="68" t="inlineStr">
        <is>
          <t>—</t>
        </is>
      </c>
      <c r="K137" s="67" t="n"/>
      <c r="L137" s="67" t="n"/>
      <c r="M137" s="67" t="inlineStr">
        <is>
          <t>●</t>
        </is>
      </c>
      <c r="N137" s="67" t="n"/>
      <c r="O137" s="67" t="n"/>
      <c r="P137" s="67" t="n"/>
      <c r="Q137" s="67" t="n"/>
      <c r="R137" s="67" t="n"/>
      <c r="S137" s="68" t="inlineStr">
        <is>
          <t>Mesure</t>
        </is>
      </c>
      <c r="T137" s="68" t="inlineStr">
        <is>
          <t>Lu dans la boutique en ligne si elle est connectée</t>
        </is>
      </c>
      <c r="U137" s="68" t="inlineStr">
        <is>
          <t>—</t>
        </is>
      </c>
      <c r="V137" s="68" t="inlineStr">
        <is>
          <t>ACQ-11.28, ACQ-11.29, ACQ-15.06, ACQ-21.09, ACQ-21.14, COM-09.06, COM-44.07</t>
        </is>
      </c>
      <c r="W137" s="83" t="n"/>
    </row>
    <row r="138" ht="35.05" customHeight="1" s="53">
      <c r="A138" s="94" t="inlineStr">
        <is>
          <t>ACQ-11.15</t>
        </is>
      </c>
      <c r="B138" s="67" t="inlineStr">
        <is>
          <t>ACQ-11</t>
        </is>
      </c>
      <c r="C138" s="95">
        <f>IFERROR(INDEX(Thèmes!$D$2:$D$190,MATCH(B138,Thèmes!$A$2:$A$190,0)),"")</f>
        <v/>
      </c>
      <c r="D138" s="68" t="inlineStr">
        <is>
          <t>A13 · Votre boutique, salle ou site</t>
        </is>
      </c>
      <c r="E138" s="68" t="inlineStr">
        <is>
          <t>Paniers abandonnés par mois</t>
        </is>
      </c>
      <c r="F138" s="68" t="inlineStr">
        <is>
          <t>Nombre</t>
        </is>
      </c>
      <c r="G138" s="67" t="inlineStr">
        <is>
          <t>Demandée</t>
        </is>
      </c>
      <c r="H138" s="67" t="inlineStr">
        <is>
          <t>Essentiel</t>
        </is>
      </c>
      <c r="I138" s="68" t="inlineStr">
        <is>
          <t>—</t>
        </is>
      </c>
      <c r="J138" s="68" t="inlineStr">
        <is>
          <t>—</t>
        </is>
      </c>
      <c r="K138" s="67" t="n"/>
      <c r="L138" s="67" t="n"/>
      <c r="M138" s="67" t="inlineStr">
        <is>
          <t>●</t>
        </is>
      </c>
      <c r="N138" s="67" t="n"/>
      <c r="O138" s="67" t="n"/>
      <c r="P138" s="67" t="n"/>
      <c r="Q138" s="67" t="n"/>
      <c r="R138" s="67" t="n"/>
      <c r="S138" s="68" t="inlineStr">
        <is>
          <t>Perte</t>
        </is>
      </c>
      <c r="T138" s="68" t="inlineStr">
        <is>
          <t>Saisie par le dirigeant tant qu'aucune connexion n'existe. Quand la connexion existera : Lu dans la boutique en ligne</t>
        </is>
      </c>
      <c r="U138" s="68" t="inlineStr">
        <is>
          <t>—</t>
        </is>
      </c>
      <c r="V138" s="68" t="inlineStr">
        <is>
          <t>ACQ-11.29, ACQ-11.30</t>
        </is>
      </c>
      <c r="W138" s="83" t="inlineStr">
        <is>
          <t>Mode : Importée → Demandée (le dirigeant la saisit)</t>
        </is>
      </c>
    </row>
    <row r="139" ht="23.85" customHeight="1" s="53">
      <c r="A139" s="81" t="inlineStr">
        <is>
          <t>ACQ-11.16</t>
        </is>
      </c>
      <c r="B139" s="67" t="inlineStr">
        <is>
          <t>ACQ-11</t>
        </is>
      </c>
      <c r="C139" s="95">
        <f>IFERROR(INDEX(Thèmes!$D$2:$D$190,MATCH(B139,Thèmes!$A$2:$A$190,0)),"")</f>
        <v/>
      </c>
      <c r="D139" s="68" t="inlineStr">
        <is>
          <t>A13 · Votre boutique, salle ou site</t>
        </is>
      </c>
      <c r="E139" s="68" t="inlineStr">
        <is>
          <t>Relance automatique des paniers abandonnés</t>
        </is>
      </c>
      <c r="F139" s="68" t="inlineStr">
        <is>
          <t>Oui / non</t>
        </is>
      </c>
      <c r="G139" s="67" t="inlineStr">
        <is>
          <t>Demandée</t>
        </is>
      </c>
      <c r="H139" s="67" t="inlineStr">
        <is>
          <t>Essentiel</t>
        </is>
      </c>
      <c r="I139" s="68" t="inlineStr">
        <is>
          <t>—</t>
        </is>
      </c>
      <c r="J139" s="68" t="inlineStr">
        <is>
          <t>—</t>
        </is>
      </c>
      <c r="K139" s="67" t="n"/>
      <c r="L139" s="67" t="n"/>
      <c r="M139" s="67" t="inlineStr">
        <is>
          <t>●</t>
        </is>
      </c>
      <c r="N139" s="67" t="n"/>
      <c r="O139" s="67" t="n"/>
      <c r="P139" s="67" t="n"/>
      <c r="Q139" s="67" t="n"/>
      <c r="R139" s="67" t="n"/>
      <c r="S139" s="68" t="inlineStr">
        <is>
          <t>Levier</t>
        </is>
      </c>
      <c r="T139" s="68" t="inlineStr">
        <is>
          <t>—</t>
        </is>
      </c>
      <c r="U139" s="68" t="inlineStr">
        <is>
          <t>—</t>
        </is>
      </c>
      <c r="V139" s="68" t="inlineStr">
        <is>
          <t>Notée directement (couleur du thème)</t>
        </is>
      </c>
      <c r="W139" s="83" t="n"/>
    </row>
    <row r="140" ht="46.25" customHeight="1" s="53">
      <c r="A140" s="94" t="inlineStr">
        <is>
          <t>ACQ-11.17</t>
        </is>
      </c>
      <c r="B140" s="67" t="inlineStr">
        <is>
          <t>ACQ-11</t>
        </is>
      </c>
      <c r="C140" s="95">
        <f>IFERROR(INDEX(Thèmes!$D$2:$D$190,MATCH(B140,Thèmes!$A$2:$A$190,0)),"")</f>
        <v/>
      </c>
      <c r="D140" s="68" t="inlineStr">
        <is>
          <t>A13 · Votre boutique, salle ou site</t>
        </is>
      </c>
      <c r="E140" s="68" t="inlineStr">
        <is>
          <t>Part des visites sur mobile et taux de conversion sur mobile</t>
        </is>
      </c>
      <c r="F140" s="68" t="inlineStr">
        <is>
          <t>Plusieurs champs : Visites sur mobile · Visites mobiles qui commandent</t>
        </is>
      </c>
      <c r="G140" s="67" t="inlineStr">
        <is>
          <t>Demandée</t>
        </is>
      </c>
      <c r="H140" s="67" t="inlineStr">
        <is>
          <t>Approfondi</t>
        </is>
      </c>
      <c r="I140" s="68" t="inlineStr">
        <is>
          <t>—</t>
        </is>
      </c>
      <c r="J140" s="68" t="inlineStr">
        <is>
          <t>—</t>
        </is>
      </c>
      <c r="K140" s="67" t="n"/>
      <c r="L140" s="67" t="n"/>
      <c r="M140" s="67" t="inlineStr">
        <is>
          <t>●</t>
        </is>
      </c>
      <c r="N140" s="67" t="n"/>
      <c r="O140" s="67" t="n"/>
      <c r="P140" s="67" t="n"/>
      <c r="Q140" s="67" t="n"/>
      <c r="R140" s="67" t="n"/>
      <c r="S140" s="68" t="inlineStr">
        <is>
          <t>Problème</t>
        </is>
      </c>
      <c r="T140" s="68" t="inlineStr">
        <is>
          <t>Saisie par le dirigeant tant qu'aucune connexion n'existe. Quand la connexion existera : Statistiques du site</t>
        </is>
      </c>
      <c r="U140" s="68" t="inlineStr">
        <is>
          <t>—</t>
        </is>
      </c>
      <c r="V140" s="68" t="inlineStr">
        <is>
          <t>Lue par l'IA pour adapter le conseil</t>
        </is>
      </c>
      <c r="W140" s="83" t="inlineStr">
        <is>
          <t>Mode : Importée → Demandée (le dirigeant la saisit) · Format de réponse</t>
        </is>
      </c>
    </row>
    <row r="141" ht="15" customHeight="1" s="53">
      <c r="A141" s="81" t="inlineStr">
        <is>
          <t>ACQ-11.18</t>
        </is>
      </c>
      <c r="B141" s="67" t="inlineStr">
        <is>
          <t>ACQ-11</t>
        </is>
      </c>
      <c r="C141" s="95">
        <f>IFERROR(INDEX(Thèmes!$D$2:$D$190,MATCH(B141,Thèmes!$A$2:$A$190,0)),"")</f>
        <v/>
      </c>
      <c r="D141" s="68" t="inlineStr">
        <is>
          <t>—</t>
        </is>
      </c>
      <c r="E141" s="68" t="inlineStr">
        <is>
          <t>Évolution des nouveaux clients sur 12 mois</t>
        </is>
      </c>
      <c r="F141" s="68" t="inlineStr">
        <is>
          <t>%</t>
        </is>
      </c>
      <c r="G141" s="96" t="inlineStr">
        <is>
          <t>Calculée</t>
        </is>
      </c>
      <c r="H141" s="67" t="inlineStr">
        <is>
          <t>—</t>
        </is>
      </c>
      <c r="I141" s="68" t="inlineStr">
        <is>
          <t>—</t>
        </is>
      </c>
      <c r="J141" s="68" t="inlineStr">
        <is>
          <t>—</t>
        </is>
      </c>
      <c r="K141" s="67" t="inlineStr">
        <is>
          <t>●</t>
        </is>
      </c>
      <c r="L141" s="67" t="n"/>
      <c r="M141" s="67" t="inlineStr">
        <is>
          <t>●</t>
        </is>
      </c>
      <c r="N141" s="67" t="n"/>
      <c r="O141" s="67" t="inlineStr">
        <is>
          <t>●</t>
        </is>
      </c>
      <c r="P141" s="67" t="inlineStr">
        <is>
          <t>●</t>
        </is>
      </c>
      <c r="Q141" s="67" t="inlineStr">
        <is>
          <t>●</t>
        </is>
      </c>
      <c r="R141" s="67" t="n"/>
      <c r="S141" s="68" t="inlineStr">
        <is>
          <t>Problème</t>
        </is>
      </c>
      <c r="T141" s="68" t="inlineStr">
        <is>
          <t>(Moyenne par mois des 3 derniers mois − moyenne par mois des mêmes 3 mois un an plus tôt) ÷ cette dernière. Non calculée si le périmètre a changé entre les deux périodes (ACQ-23.13).</t>
        </is>
      </c>
      <c r="U141" s="68" t="inlineStr">
        <is>
          <t>ACQ-11.01, ACQ-11.02, ACQ-23.13</t>
        </is>
      </c>
      <c r="V141" s="68" t="inlineStr">
        <is>
          <t>XA30</t>
        </is>
      </c>
      <c r="W141" s="83" t="n"/>
    </row>
    <row r="142" ht="23.85" customHeight="1" s="53">
      <c r="A142" s="81" t="inlineStr">
        <is>
          <t>ACQ-11.19</t>
        </is>
      </c>
      <c r="B142" s="67" t="inlineStr">
        <is>
          <t>ACQ-11</t>
        </is>
      </c>
      <c r="C142" s="95">
        <f>IFERROR(INDEX(Thèmes!$D$2:$D$190,MATCH(B142,Thèmes!$A$2:$A$190,0)),"")</f>
        <v/>
      </c>
      <c r="D142" s="68" t="inlineStr">
        <is>
          <t>—</t>
        </is>
      </c>
      <c r="E142" s="68" t="inlineStr">
        <is>
          <t>Taux de transformation global (demandes → nouveaux clients)</t>
        </is>
      </c>
      <c r="F142" s="68" t="inlineStr">
        <is>
          <t>%</t>
        </is>
      </c>
      <c r="G142" s="96" t="inlineStr">
        <is>
          <t>Calculée</t>
        </is>
      </c>
      <c r="H142" s="67" t="inlineStr">
        <is>
          <t>—</t>
        </is>
      </c>
      <c r="I142" s="68" t="inlineStr">
        <is>
          <t>—</t>
        </is>
      </c>
      <c r="J142" s="68" t="inlineStr">
        <is>
          <t>—</t>
        </is>
      </c>
      <c r="K142" s="67" t="inlineStr">
        <is>
          <t>●</t>
        </is>
      </c>
      <c r="L142" s="67" t="n"/>
      <c r="M142" s="67" t="inlineStr">
        <is>
          <t>●</t>
        </is>
      </c>
      <c r="N142" s="67" t="n"/>
      <c r="O142" s="67" t="inlineStr">
        <is>
          <t>●</t>
        </is>
      </c>
      <c r="P142" s="67" t="inlineStr">
        <is>
          <t>●</t>
        </is>
      </c>
      <c r="Q142" s="67" t="inlineStr">
        <is>
          <t>●</t>
        </is>
      </c>
      <c r="R142" s="67" t="n"/>
      <c r="S142" s="68" t="inlineStr">
        <is>
          <t>Cible, Problème</t>
        </is>
      </c>
      <c r="T142" s="68" t="inlineStr">
        <is>
          <t>Nouveaux clients ÷ demandes reçues</t>
        </is>
      </c>
      <c r="U142" s="68" t="inlineStr">
        <is>
          <t>ACQ-11.01, ACQ-02.01</t>
        </is>
      </c>
      <c r="V142" s="68" t="inlineStr">
        <is>
          <t>ACQ-02.09, COM-13.07, COM-15.11, XA02, XA03, XA09</t>
        </is>
      </c>
      <c r="W142" s="83" t="n"/>
    </row>
    <row r="143" ht="23.85" customHeight="1" s="53">
      <c r="A143" s="81" t="inlineStr">
        <is>
          <t>ACQ-11.20</t>
        </is>
      </c>
      <c r="B143" s="67" t="inlineStr">
        <is>
          <t>ACQ-11</t>
        </is>
      </c>
      <c r="C143" s="95">
        <f>IFERROR(INDEX(Thèmes!$D$2:$D$190,MATCH(B143,Thèmes!$A$2:$A$190,0)),"")</f>
        <v/>
      </c>
      <c r="D143" s="68" t="inlineStr">
        <is>
          <t>—</t>
        </is>
      </c>
      <c r="E143" s="68" t="inlineStr">
        <is>
          <t>CA apporté par les nouveaux clients sur 12 mois</t>
        </is>
      </c>
      <c r="F143" s="68" t="inlineStr">
        <is>
          <t>€</t>
        </is>
      </c>
      <c r="G143" s="96" t="inlineStr">
        <is>
          <t>Calculée</t>
        </is>
      </c>
      <c r="H143" s="67" t="inlineStr">
        <is>
          <t>—</t>
        </is>
      </c>
      <c r="I143" s="68" t="inlineStr">
        <is>
          <t>—</t>
        </is>
      </c>
      <c r="J143" s="68" t="inlineStr">
        <is>
          <t>—</t>
        </is>
      </c>
      <c r="K143" s="67" t="inlineStr">
        <is>
          <t>●</t>
        </is>
      </c>
      <c r="L143" s="67" t="n"/>
      <c r="M143" s="67" t="inlineStr">
        <is>
          <t>●</t>
        </is>
      </c>
      <c r="N143" s="67" t="n"/>
      <c r="O143" s="67" t="inlineStr">
        <is>
          <t>●</t>
        </is>
      </c>
      <c r="P143" s="67" t="inlineStr">
        <is>
          <t>●</t>
        </is>
      </c>
      <c r="Q143" s="67" t="inlineStr">
        <is>
          <t>●</t>
        </is>
      </c>
      <c r="R143" s="67" t="n"/>
      <c r="S143" s="68" t="inlineStr">
        <is>
          <t>Mesure</t>
        </is>
      </c>
      <c r="T143" s="68" t="inlineStr">
        <is>
          <t>Nouveaux clients × 12 × montant du premier achat</t>
        </is>
      </c>
      <c r="U143" s="68" t="inlineStr">
        <is>
          <t>ACQ-11.01, ACQ-11.03, ACQ-10.15</t>
        </is>
      </c>
      <c r="V143" s="68" t="inlineStr">
        <is>
          <t>ACQ-09.12</t>
        </is>
      </c>
      <c r="W143" s="83" t="n"/>
    </row>
    <row r="144" ht="15" customHeight="1" s="53">
      <c r="A144" s="81" t="inlineStr">
        <is>
          <t>ACQ-11.21</t>
        </is>
      </c>
      <c r="B144" s="67" t="inlineStr">
        <is>
          <t>ACQ-11</t>
        </is>
      </c>
      <c r="C144" s="95">
        <f>IFERROR(INDEX(Thèmes!$D$2:$D$190,MATCH(B144,Thèmes!$A$2:$A$190,0)),"")</f>
        <v/>
      </c>
      <c r="D144" s="68" t="inlineStr">
        <is>
          <t>—</t>
        </is>
      </c>
      <c r="E144" s="68" t="inlineStr">
        <is>
          <t>Affaires qualifiées non signées par mois</t>
        </is>
      </c>
      <c r="F144" s="68" t="inlineStr">
        <is>
          <t>Nombre</t>
        </is>
      </c>
      <c r="G144" s="96" t="inlineStr">
        <is>
          <t>Calculée</t>
        </is>
      </c>
      <c r="H144" s="67" t="inlineStr">
        <is>
          <t>—</t>
        </is>
      </c>
      <c r="I144" s="68" t="inlineStr">
        <is>
          <t>—</t>
        </is>
      </c>
      <c r="J144" s="68" t="inlineStr">
        <is>
          <t>—</t>
        </is>
      </c>
      <c r="K144" s="67" t="inlineStr">
        <is>
          <t>●</t>
        </is>
      </c>
      <c r="L144" s="67" t="n"/>
      <c r="M144" s="67" t="n"/>
      <c r="N144" s="67" t="n"/>
      <c r="O144" s="67" t="inlineStr">
        <is>
          <t>●</t>
        </is>
      </c>
      <c r="P144" s="67" t="inlineStr">
        <is>
          <t>●</t>
        </is>
      </c>
      <c r="Q144" s="67" t="inlineStr">
        <is>
          <t>●</t>
        </is>
      </c>
      <c r="R144" s="67" t="n"/>
      <c r="S144" s="68" t="inlineStr">
        <is>
          <t>Perte</t>
        </is>
      </c>
      <c r="T144" s="68" t="inlineStr">
        <is>
          <t>Demandes qualifiées − nouveaux clients</t>
        </is>
      </c>
      <c r="U144" s="68" t="inlineStr">
        <is>
          <t>ACQ-02.04, ACQ-11.01</t>
        </is>
      </c>
      <c r="V144" s="68" t="inlineStr">
        <is>
          <t>ACQ-11.22</t>
        </is>
      </c>
      <c r="W144" s="83" t="n"/>
    </row>
    <row r="145" ht="23.85" customHeight="1" s="53">
      <c r="A145" s="81" t="inlineStr">
        <is>
          <t>ACQ-11.22</t>
        </is>
      </c>
      <c r="B145" s="67" t="inlineStr">
        <is>
          <t>ACQ-11</t>
        </is>
      </c>
      <c r="C145" s="95">
        <f>IFERROR(INDEX(Thèmes!$D$2:$D$190,MATCH(B145,Thèmes!$A$2:$A$190,0)),"")</f>
        <v/>
      </c>
      <c r="D145" s="68" t="inlineStr">
        <is>
          <t>—</t>
        </is>
      </c>
      <c r="E145" s="68" t="inlineStr">
        <is>
          <t>Valeur des affaires perdues par mois</t>
        </is>
      </c>
      <c r="F145" s="68" t="inlineStr">
        <is>
          <t>€</t>
        </is>
      </c>
      <c r="G145" s="96" t="inlineStr">
        <is>
          <t>Calculée</t>
        </is>
      </c>
      <c r="H145" s="67" t="inlineStr">
        <is>
          <t>—</t>
        </is>
      </c>
      <c r="I145" s="68" t="inlineStr">
        <is>
          <t>—</t>
        </is>
      </c>
      <c r="J145" s="68" t="inlineStr">
        <is>
          <t>—</t>
        </is>
      </c>
      <c r="K145" s="67" t="inlineStr">
        <is>
          <t>●</t>
        </is>
      </c>
      <c r="L145" s="67" t="n"/>
      <c r="M145" s="67" t="n"/>
      <c r="N145" s="67" t="n"/>
      <c r="O145" s="67" t="inlineStr">
        <is>
          <t>●</t>
        </is>
      </c>
      <c r="P145" s="67" t="inlineStr">
        <is>
          <t>●</t>
        </is>
      </c>
      <c r="Q145" s="67" t="inlineStr">
        <is>
          <t>●</t>
        </is>
      </c>
      <c r="R145" s="67" t="n"/>
      <c r="S145" s="68" t="inlineStr">
        <is>
          <t>Perte</t>
        </is>
      </c>
      <c r="T145" s="68" t="inlineStr">
        <is>
          <t>Affaires non signées × montant du premier achat</t>
        </is>
      </c>
      <c r="U145" s="68" t="inlineStr">
        <is>
          <t>ACQ-11.21, ACQ-11.03, ACQ-10.15</t>
        </is>
      </c>
      <c r="V145" s="68" t="inlineStr">
        <is>
          <t>Affichée dans le rapport</t>
        </is>
      </c>
      <c r="W145" s="83" t="n"/>
    </row>
    <row r="146" ht="23.85" customHeight="1" s="53">
      <c r="A146" s="81" t="inlineStr">
        <is>
          <t>ACQ-11.23</t>
        </is>
      </c>
      <c r="B146" s="67" t="inlineStr">
        <is>
          <t>ACQ-11</t>
        </is>
      </c>
      <c r="C146" s="95">
        <f>IFERROR(INDEX(Thèmes!$D$2:$D$190,MATCH(B146,Thèmes!$A$2:$A$190,0)),"")</f>
        <v/>
      </c>
      <c r="D146" s="68" t="inlineStr">
        <is>
          <t>—</t>
        </is>
      </c>
      <c r="E146" s="68" t="inlineStr">
        <is>
          <t>Part des affaires perdues sur des motifs que l'entreprise maîtrise (délai, absence de suivi)</t>
        </is>
      </c>
      <c r="F146" s="68" t="inlineStr">
        <is>
          <t>%</t>
        </is>
      </c>
      <c r="G146" s="96" t="inlineStr">
        <is>
          <t>Calculée</t>
        </is>
      </c>
      <c r="H146" s="67" t="inlineStr">
        <is>
          <t>—</t>
        </is>
      </c>
      <c r="I146" s="68" t="inlineStr">
        <is>
          <t>—</t>
        </is>
      </c>
      <c r="J146" s="68" t="inlineStr">
        <is>
          <t>—</t>
        </is>
      </c>
      <c r="K146" s="67" t="inlineStr">
        <is>
          <t>●</t>
        </is>
      </c>
      <c r="L146" s="67" t="n"/>
      <c r="M146" s="67" t="n"/>
      <c r="N146" s="67" t="n"/>
      <c r="O146" s="67" t="inlineStr">
        <is>
          <t>●</t>
        </is>
      </c>
      <c r="P146" s="67" t="inlineStr">
        <is>
          <t>●</t>
        </is>
      </c>
      <c r="Q146" s="67" t="inlineStr">
        <is>
          <t>●</t>
        </is>
      </c>
      <c r="R146" s="67" t="n"/>
      <c r="S146" s="68" t="inlineStr">
        <is>
          <t>Levier</t>
        </is>
      </c>
      <c r="T146" s="68" t="inlineStr">
        <is>
          <t>Somme des motifs délai et absence de suivi</t>
        </is>
      </c>
      <c r="U146" s="68" t="inlineStr">
        <is>
          <t>ACQ-11.04</t>
        </is>
      </c>
      <c r="V146" s="68" t="inlineStr">
        <is>
          <t>Affichée dans le rapport</t>
        </is>
      </c>
      <c r="W146" s="83" t="n"/>
    </row>
    <row r="147" ht="15" customHeight="1" s="53">
      <c r="A147" s="81" t="inlineStr">
        <is>
          <t>ACQ-11.24</t>
        </is>
      </c>
      <c r="B147" s="67" t="inlineStr">
        <is>
          <t>ACQ-11</t>
        </is>
      </c>
      <c r="C147" s="95">
        <f>IFERROR(INDEX(Thèmes!$D$2:$D$190,MATCH(B147,Thèmes!$A$2:$A$190,0)),"")</f>
        <v/>
      </c>
      <c r="D147" s="68" t="inlineStr">
        <is>
          <t>—</t>
        </is>
      </c>
      <c r="E147" s="68" t="inlineStr">
        <is>
          <t>Taux de transformation visiteurs → acheteurs</t>
        </is>
      </c>
      <c r="F147" s="68" t="inlineStr">
        <is>
          <t>%</t>
        </is>
      </c>
      <c r="G147" s="96" t="inlineStr">
        <is>
          <t>Calculée</t>
        </is>
      </c>
      <c r="H147" s="67" t="inlineStr">
        <is>
          <t>—</t>
        </is>
      </c>
      <c r="I147" s="68" t="inlineStr">
        <is>
          <t>—</t>
        </is>
      </c>
      <c r="J147" s="68" t="inlineStr">
        <is>
          <t>—</t>
        </is>
      </c>
      <c r="K147" s="67" t="n"/>
      <c r="L147" s="67" t="inlineStr">
        <is>
          <t>●</t>
        </is>
      </c>
      <c r="M147" s="67" t="n"/>
      <c r="N147" s="67" t="n"/>
      <c r="O147" s="67" t="n"/>
      <c r="P147" s="67" t="n"/>
      <c r="Q147" s="67" t="n"/>
      <c r="R147" s="67" t="n"/>
      <c r="S147" s="68" t="inlineStr">
        <is>
          <t>Cible</t>
        </is>
      </c>
      <c r="T147" s="68" t="inlineStr">
        <is>
          <t>Tickets ÷ visiteurs</t>
        </is>
      </c>
      <c r="U147" s="68" t="inlineStr">
        <is>
          <t>ACQ-11.06, ACQ-02.01</t>
        </is>
      </c>
      <c r="V147" s="68" t="inlineStr">
        <is>
          <t>ACQ-02.09, XA02, XA38</t>
        </is>
      </c>
      <c r="W147" s="83" t="n"/>
    </row>
    <row r="148" ht="23.85" customHeight="1" s="53">
      <c r="A148" s="81" t="inlineStr">
        <is>
          <t>ACQ-11.25</t>
        </is>
      </c>
      <c r="B148" s="67" t="inlineStr">
        <is>
          <t>ACQ-11</t>
        </is>
      </c>
      <c r="C148" s="95">
        <f>IFERROR(INDEX(Thèmes!$D$2:$D$190,MATCH(B148,Thèmes!$A$2:$A$190,0)),"")</f>
        <v/>
      </c>
      <c r="D148" s="68" t="inlineStr">
        <is>
          <t>—</t>
        </is>
      </c>
      <c r="E148" s="68" t="inlineStr">
        <is>
          <t>Taux de remplissage par service (au-delà de 100 % : les tables tournent)</t>
        </is>
      </c>
      <c r="F148" s="68" t="inlineStr">
        <is>
          <t>%</t>
        </is>
      </c>
      <c r="G148" s="96" t="inlineStr">
        <is>
          <t>Calculée</t>
        </is>
      </c>
      <c r="H148" s="67" t="inlineStr">
        <is>
          <t>—</t>
        </is>
      </c>
      <c r="I148" s="68" t="inlineStr">
        <is>
          <t>—</t>
        </is>
      </c>
      <c r="J148" s="68" t="inlineStr">
        <is>
          <t>—</t>
        </is>
      </c>
      <c r="K148" s="67" t="n"/>
      <c r="L148" s="67" t="n"/>
      <c r="M148" s="67" t="n"/>
      <c r="N148" s="67" t="inlineStr">
        <is>
          <t>●</t>
        </is>
      </c>
      <c r="O148" s="67" t="n"/>
      <c r="P148" s="67" t="n"/>
      <c r="Q148" s="67" t="n"/>
      <c r="R148" s="67" t="n"/>
      <c r="S148" s="68" t="inlineStr">
        <is>
          <t>Capacité</t>
        </is>
      </c>
      <c r="T148" s="68" t="inlineStr">
        <is>
          <t>Couverts par service ÷ places assises</t>
        </is>
      </c>
      <c r="U148" s="68" t="inlineStr">
        <is>
          <t>ACQ-11.07, ACQ-11.09, ACQ-11.08</t>
        </is>
      </c>
      <c r="V148" s="68" t="inlineStr">
        <is>
          <t>XA34</t>
        </is>
      </c>
      <c r="W148" s="83" t="n"/>
    </row>
    <row r="149" ht="23.85" customHeight="1" s="53">
      <c r="A149" s="81" t="inlineStr">
        <is>
          <t>ACQ-11.26</t>
        </is>
      </c>
      <c r="B149" s="67" t="inlineStr">
        <is>
          <t>ACQ-11</t>
        </is>
      </c>
      <c r="C149" s="95">
        <f>IFERROR(INDEX(Thèmes!$D$2:$D$190,MATCH(B149,Thèmes!$A$2:$A$190,0)),"")</f>
        <v/>
      </c>
      <c r="D149" s="68" t="inlineStr">
        <is>
          <t>—</t>
        </is>
      </c>
      <c r="E149" s="68" t="inlineStr">
        <is>
          <t>Ticket moyen par couvert</t>
        </is>
      </c>
      <c r="F149" s="68" t="inlineStr">
        <is>
          <t>€</t>
        </is>
      </c>
      <c r="G149" s="96" t="inlineStr">
        <is>
          <t>Calculée</t>
        </is>
      </c>
      <c r="H149" s="67" t="inlineStr">
        <is>
          <t>—</t>
        </is>
      </c>
      <c r="I149" s="68" t="inlineStr">
        <is>
          <t>—</t>
        </is>
      </c>
      <c r="J149" s="68" t="inlineStr">
        <is>
          <t>—</t>
        </is>
      </c>
      <c r="K149" s="67" t="n"/>
      <c r="L149" s="67" t="n"/>
      <c r="M149" s="67" t="n"/>
      <c r="N149" s="67" t="inlineStr">
        <is>
          <t>●</t>
        </is>
      </c>
      <c r="O149" s="67" t="n"/>
      <c r="P149" s="67" t="n"/>
      <c r="Q149" s="67" t="n"/>
      <c r="R149" s="67" t="n"/>
      <c r="S149" s="68" t="inlineStr">
        <is>
          <t>Levier</t>
        </is>
      </c>
      <c r="T149" s="68" t="inlineStr">
        <is>
          <t>CA sur place ÷ couverts</t>
        </is>
      </c>
      <c r="U149" s="68" t="inlineStr">
        <is>
          <t>Inscription · CA mensuel, ACQ-11.13, ACQ-11.07</t>
        </is>
      </c>
      <c r="V149" s="68" t="inlineStr">
        <is>
          <t>ACQ-11.27, XA34</t>
        </is>
      </c>
      <c r="W149" s="83" t="n"/>
    </row>
    <row r="150" ht="23.85" customHeight="1" s="53">
      <c r="A150" s="81" t="inlineStr">
        <is>
          <t>ACQ-11.27</t>
        </is>
      </c>
      <c r="B150" s="67" t="inlineStr">
        <is>
          <t>ACQ-11</t>
        </is>
      </c>
      <c r="C150" s="95">
        <f>IFERROR(INDEX(Thèmes!$D$2:$D$190,MATCH(B150,Thèmes!$A$2:$A$190,0)),"")</f>
        <v/>
      </c>
      <c r="D150" s="68" t="inlineStr">
        <is>
          <t>—</t>
        </is>
      </c>
      <c r="E150" s="68" t="inlineStr">
        <is>
          <t>CA perdu par mois en réservations refusées et non honorées</t>
        </is>
      </c>
      <c r="F150" s="68" t="inlineStr">
        <is>
          <t>€</t>
        </is>
      </c>
      <c r="G150" s="96" t="inlineStr">
        <is>
          <t>Calculée</t>
        </is>
      </c>
      <c r="H150" s="67" t="inlineStr">
        <is>
          <t>—</t>
        </is>
      </c>
      <c r="I150" s="68" t="inlineStr">
        <is>
          <t>—</t>
        </is>
      </c>
      <c r="J150" s="68" t="inlineStr">
        <is>
          <t>—</t>
        </is>
      </c>
      <c r="K150" s="67" t="n"/>
      <c r="L150" s="67" t="n"/>
      <c r="M150" s="67" t="n"/>
      <c r="N150" s="67" t="inlineStr">
        <is>
          <t>●</t>
        </is>
      </c>
      <c r="O150" s="67" t="n"/>
      <c r="P150" s="67" t="n"/>
      <c r="Q150" s="67" t="n"/>
      <c r="R150" s="67" t="n"/>
      <c r="S150" s="68" t="inlineStr">
        <is>
          <t>Perte</t>
        </is>
      </c>
      <c r="T150" s="68" t="inlineStr">
        <is>
          <t>(Refusées + non honorées) × couverts par réservation × ticket moyen × 4,33</t>
        </is>
      </c>
      <c r="U150" s="68" t="inlineStr">
        <is>
          <t>ACQ-11.10, ACQ-11.11, ACQ-11.12, ACQ-11.26</t>
        </is>
      </c>
      <c r="V150" s="68" t="inlineStr">
        <is>
          <t>XA33</t>
        </is>
      </c>
      <c r="W150" s="83" t="n"/>
    </row>
    <row r="151" ht="23.85" customHeight="1" s="53">
      <c r="A151" s="81" t="inlineStr">
        <is>
          <t>ACQ-11.28</t>
        </is>
      </c>
      <c r="B151" s="67" t="inlineStr">
        <is>
          <t>ACQ-11</t>
        </is>
      </c>
      <c r="C151" s="95">
        <f>IFERROR(INDEX(Thèmes!$D$2:$D$190,MATCH(B151,Thèmes!$A$2:$A$190,0)),"")</f>
        <v/>
      </c>
      <c r="D151" s="68" t="inlineStr">
        <is>
          <t>—</t>
        </is>
      </c>
      <c r="E151" s="68" t="inlineStr">
        <is>
          <t>Taux de conversion du site</t>
        </is>
      </c>
      <c r="F151" s="68" t="inlineStr">
        <is>
          <t>%</t>
        </is>
      </c>
      <c r="G151" s="96" t="inlineStr">
        <is>
          <t>Calculée</t>
        </is>
      </c>
      <c r="H151" s="67" t="inlineStr">
        <is>
          <t>—</t>
        </is>
      </c>
      <c r="I151" s="68" t="inlineStr">
        <is>
          <t>—</t>
        </is>
      </c>
      <c r="J151" s="68" t="inlineStr">
        <is>
          <t>—</t>
        </is>
      </c>
      <c r="K151" s="67" t="n"/>
      <c r="L151" s="67" t="n"/>
      <c r="M151" s="67" t="inlineStr">
        <is>
          <t>●</t>
        </is>
      </c>
      <c r="N151" s="67" t="n"/>
      <c r="O151" s="67" t="n"/>
      <c r="P151" s="67" t="n"/>
      <c r="Q151" s="67" t="n"/>
      <c r="R151" s="67" t="n"/>
      <c r="S151" s="68" t="inlineStr">
        <is>
          <t>Cible</t>
        </is>
      </c>
      <c r="T151" s="68" t="inlineStr">
        <is>
          <t>Commandes ÷ visiteurs</t>
        </is>
      </c>
      <c r="U151" s="68" t="inlineStr">
        <is>
          <t>ACQ-11.14, ACQ-02.01</t>
        </is>
      </c>
      <c r="V151" s="68" t="inlineStr">
        <is>
          <t>ACQ-02.09, COM-13.08, XA02, XC08, DC07</t>
        </is>
      </c>
      <c r="W151" s="83" t="n"/>
    </row>
    <row r="152" ht="23.85" customHeight="1" s="53">
      <c r="A152" s="81" t="inlineStr">
        <is>
          <t>ACQ-11.29</t>
        </is>
      </c>
      <c r="B152" s="67" t="inlineStr">
        <is>
          <t>ACQ-11</t>
        </is>
      </c>
      <c r="C152" s="95">
        <f>IFERROR(INDEX(Thèmes!$D$2:$D$190,MATCH(B152,Thèmes!$A$2:$A$190,0)),"")</f>
        <v/>
      </c>
      <c r="D152" s="68" t="inlineStr">
        <is>
          <t>—</t>
        </is>
      </c>
      <c r="E152" s="68" t="inlineStr">
        <is>
          <t>Taux d'abandon de panier</t>
        </is>
      </c>
      <c r="F152" s="68" t="inlineStr">
        <is>
          <t>%</t>
        </is>
      </c>
      <c r="G152" s="96" t="inlineStr">
        <is>
          <t>Calculée</t>
        </is>
      </c>
      <c r="H152" s="67" t="inlineStr">
        <is>
          <t>—</t>
        </is>
      </c>
      <c r="I152" s="68" t="inlineStr">
        <is>
          <t>—</t>
        </is>
      </c>
      <c r="J152" s="68" t="inlineStr">
        <is>
          <t>—</t>
        </is>
      </c>
      <c r="K152" s="67" t="n"/>
      <c r="L152" s="67" t="n"/>
      <c r="M152" s="67" t="inlineStr">
        <is>
          <t>●</t>
        </is>
      </c>
      <c r="N152" s="67" t="n"/>
      <c r="O152" s="67" t="n"/>
      <c r="P152" s="67" t="n"/>
      <c r="Q152" s="67" t="n"/>
      <c r="R152" s="67" t="n"/>
      <c r="S152" s="68" t="inlineStr">
        <is>
          <t>Problème</t>
        </is>
      </c>
      <c r="T152" s="68" t="inlineStr">
        <is>
          <t>Paniers abandonnés ÷ (paniers abandonnés + commandes)</t>
        </is>
      </c>
      <c r="U152" s="68" t="inlineStr">
        <is>
          <t>ACQ-11.15, ACQ-11.14</t>
        </is>
      </c>
      <c r="V152" s="68" t="inlineStr">
        <is>
          <t>XA35</t>
        </is>
      </c>
      <c r="W152" s="83" t="n"/>
    </row>
    <row r="153" ht="23.85" customHeight="1" s="53">
      <c r="A153" s="81" t="inlineStr">
        <is>
          <t>ACQ-11.30</t>
        </is>
      </c>
      <c r="B153" s="67" t="inlineStr">
        <is>
          <t>ACQ-11</t>
        </is>
      </c>
      <c r="C153" s="95">
        <f>IFERROR(INDEX(Thèmes!$D$2:$D$190,MATCH(B153,Thèmes!$A$2:$A$190,0)),"")</f>
        <v/>
      </c>
      <c r="D153" s="68" t="inlineStr">
        <is>
          <t>—</t>
        </is>
      </c>
      <c r="E153" s="68" t="inlineStr">
        <is>
          <t>CA récupérable sur les paniers abandonnés</t>
        </is>
      </c>
      <c r="F153" s="68" t="inlineStr">
        <is>
          <t>€</t>
        </is>
      </c>
      <c r="G153" s="96" t="inlineStr">
        <is>
          <t>Calculée</t>
        </is>
      </c>
      <c r="H153" s="67" t="inlineStr">
        <is>
          <t>—</t>
        </is>
      </c>
      <c r="I153" s="68" t="inlineStr">
        <is>
          <t>—</t>
        </is>
      </c>
      <c r="J153" s="68" t="inlineStr">
        <is>
          <t>—</t>
        </is>
      </c>
      <c r="K153" s="67" t="n"/>
      <c r="L153" s="67" t="n"/>
      <c r="M153" s="67" t="inlineStr">
        <is>
          <t>●</t>
        </is>
      </c>
      <c r="N153" s="67" t="n"/>
      <c r="O153" s="67" t="n"/>
      <c r="P153" s="67" t="n"/>
      <c r="Q153" s="67" t="n"/>
      <c r="R153" s="67" t="n"/>
      <c r="S153" s="68" t="inlineStr">
        <is>
          <t>Potentiel CA</t>
        </is>
      </c>
      <c r="T153" s="68" t="inlineStr">
        <is>
          <t>Paniers abandonnés × part récupérable prudente × panier moyen</t>
        </is>
      </c>
      <c r="U153" s="68" t="inlineStr">
        <is>
          <t>ACQ-11.15, ACQ-15.06</t>
        </is>
      </c>
      <c r="V153" s="68" t="inlineStr">
        <is>
          <t>XA35</t>
        </is>
      </c>
      <c r="W153" s="83" t="n"/>
    </row>
    <row r="154" ht="35.05" customHeight="1" s="53">
      <c r="A154" s="92" t="inlineStr">
        <is>
          <t>ACQ-11.31</t>
        </is>
      </c>
      <c r="B154" s="67" t="inlineStr">
        <is>
          <t>ACQ-11</t>
        </is>
      </c>
      <c r="C154" s="95">
        <f>IFERROR(INDEX(Thèmes!$D$2:$D$190,MATCH(B154,Thèmes!$A$2:$A$190,0)),"")</f>
        <v/>
      </c>
      <c r="D154" s="68" t="inlineStr">
        <is>
          <t>—</t>
        </is>
      </c>
      <c r="E154" s="68" t="inlineStr">
        <is>
          <t>Unités vendues sur les 12 derniers mois : nuitées (hébergement) ou jours de location (véhicules)</t>
        </is>
      </c>
      <c r="F154" s="68" t="inlineStr">
        <is>
          <t>Nombre</t>
        </is>
      </c>
      <c r="G154" s="67" t="inlineStr">
        <is>
          <t>Demandée</t>
        </is>
      </c>
      <c r="H154" s="67" t="inlineStr">
        <is>
          <t>Essentiel</t>
        </is>
      </c>
      <c r="I154" s="68" t="inlineStr">
        <is>
          <t>—</t>
        </is>
      </c>
      <c r="J154" s="68" t="inlineStr">
        <is>
          <t>Période adaptée : depuis la création si moins de 12 mois</t>
        </is>
      </c>
      <c r="K154" s="67" t="n"/>
      <c r="L154" s="67" t="n"/>
      <c r="M154" s="67" t="n"/>
      <c r="N154" s="67" t="n"/>
      <c r="O154" s="67" t="n"/>
      <c r="P154" s="67" t="n"/>
      <c r="Q154" s="67" t="n"/>
      <c r="R154" s="67" t="inlineStr">
        <is>
          <t>●</t>
        </is>
      </c>
      <c r="S154" s="68" t="inlineStr">
        <is>
          <t>—</t>
        </is>
      </c>
      <c r="T154" s="68" t="inlineStr">
        <is>
          <t>—</t>
        </is>
      </c>
      <c r="U154" s="68" t="inlineStr">
        <is>
          <t>—</t>
        </is>
      </c>
      <c r="V154" s="68" t="inlineStr">
        <is>
          <t>—</t>
        </is>
      </c>
      <c r="W154" s="83" t="inlineStr">
        <is>
          <t>Nouveau</t>
        </is>
      </c>
    </row>
    <row r="155" ht="23.85" customHeight="1" s="53">
      <c r="A155" s="92" t="inlineStr">
        <is>
          <t>ACQ-11.32</t>
        </is>
      </c>
      <c r="B155" s="67" t="inlineStr">
        <is>
          <t>ACQ-11</t>
        </is>
      </c>
      <c r="C155" s="95">
        <f>IFERROR(INDEX(Thèmes!$D$2:$D$190,MATCH(B155,Thèmes!$A$2:$A$190,0)),"")</f>
        <v/>
      </c>
      <c r="D155" s="68" t="inlineStr">
        <is>
          <t>—</t>
        </is>
      </c>
      <c r="E155" s="68" t="inlineStr">
        <is>
          <t>Chambres, logements, emplacements ou véhicules à louer</t>
        </is>
      </c>
      <c r="F155" s="68" t="inlineStr">
        <is>
          <t>Nombre</t>
        </is>
      </c>
      <c r="G155" s="67" t="inlineStr">
        <is>
          <t>Demandée</t>
        </is>
      </c>
      <c r="H155" s="67" t="inlineStr">
        <is>
          <t>Essentiel</t>
        </is>
      </c>
      <c r="I155" s="68" t="inlineStr">
        <is>
          <t>—</t>
        </is>
      </c>
      <c r="J155" s="68" t="inlineStr">
        <is>
          <t>—</t>
        </is>
      </c>
      <c r="K155" s="67" t="n"/>
      <c r="L155" s="67" t="n"/>
      <c r="M155" s="67" t="n"/>
      <c r="N155" s="67" t="n"/>
      <c r="O155" s="67" t="n"/>
      <c r="P155" s="67" t="n"/>
      <c r="Q155" s="67" t="n"/>
      <c r="R155" s="67" t="inlineStr">
        <is>
          <t>●</t>
        </is>
      </c>
      <c r="S155" s="68" t="inlineStr">
        <is>
          <t>—</t>
        </is>
      </c>
      <c r="T155" s="68" t="inlineStr">
        <is>
          <t>—</t>
        </is>
      </c>
      <c r="U155" s="68" t="inlineStr">
        <is>
          <t>—</t>
        </is>
      </c>
      <c r="V155" s="68" t="inlineStr">
        <is>
          <t>—</t>
        </is>
      </c>
      <c r="W155" s="83" t="inlineStr">
        <is>
          <t>Nouveau</t>
        </is>
      </c>
    </row>
    <row r="156" ht="35.05" customHeight="1" s="53">
      <c r="A156" s="92" t="inlineStr">
        <is>
          <t>ACQ-11.33</t>
        </is>
      </c>
      <c r="B156" s="67" t="inlineStr">
        <is>
          <t>ACQ-11</t>
        </is>
      </c>
      <c r="C156" s="95">
        <f>IFERROR(INDEX(Thèmes!$D$2:$D$190,MATCH(B156,Thèmes!$A$2:$A$190,0)),"")</f>
        <v/>
      </c>
      <c r="D156" s="68" t="inlineStr">
        <is>
          <t>—</t>
        </is>
      </c>
      <c r="E156" s="68" t="inlineStr">
        <is>
          <t>Nuits ou jours d'ouverture sur les 12 derniers mois</t>
        </is>
      </c>
      <c r="F156" s="68" t="inlineStr">
        <is>
          <t>Nombre</t>
        </is>
      </c>
      <c r="G156" s="67" t="inlineStr">
        <is>
          <t>Demandée</t>
        </is>
      </c>
      <c r="H156" s="67" t="inlineStr">
        <is>
          <t>Essentiel</t>
        </is>
      </c>
      <c r="I156" s="68" t="inlineStr">
        <is>
          <t>—</t>
        </is>
      </c>
      <c r="J156" s="68" t="inlineStr">
        <is>
          <t>Période adaptée : depuis la création si moins de 12 mois</t>
        </is>
      </c>
      <c r="K156" s="67" t="n"/>
      <c r="L156" s="67" t="n"/>
      <c r="M156" s="67" t="n"/>
      <c r="N156" s="67" t="n"/>
      <c r="O156" s="67" t="n"/>
      <c r="P156" s="67" t="n"/>
      <c r="Q156" s="67" t="n"/>
      <c r="R156" s="67" t="inlineStr">
        <is>
          <t>●</t>
        </is>
      </c>
      <c r="S156" s="68" t="inlineStr">
        <is>
          <t>—</t>
        </is>
      </c>
      <c r="T156" s="68" t="inlineStr">
        <is>
          <t>—</t>
        </is>
      </c>
      <c r="U156" s="68" t="inlineStr">
        <is>
          <t>—</t>
        </is>
      </c>
      <c r="V156" s="68" t="inlineStr">
        <is>
          <t>—</t>
        </is>
      </c>
      <c r="W156" s="83" t="inlineStr">
        <is>
          <t>Nouveau</t>
        </is>
      </c>
    </row>
    <row r="157" ht="35.05" customHeight="1" s="53">
      <c r="A157" s="92" t="inlineStr">
        <is>
          <t>ACQ-11.34</t>
        </is>
      </c>
      <c r="B157" s="67" t="inlineStr">
        <is>
          <t>ACQ-11</t>
        </is>
      </c>
      <c r="C157" s="95">
        <f>IFERROR(INDEX(Thèmes!$D$2:$D$190,MATCH(B157,Thèmes!$A$2:$A$190,0)),"")</f>
        <v/>
      </c>
      <c r="D157" s="68" t="inlineStr">
        <is>
          <t>—</t>
        </is>
      </c>
      <c r="E157" s="68" t="inlineStr">
        <is>
          <t>Demandes refusées faute de disponibilité sur les 12 derniers mois</t>
        </is>
      </c>
      <c r="F157" s="68" t="inlineStr">
        <is>
          <t>Nombre</t>
        </is>
      </c>
      <c r="G157" s="67" t="inlineStr">
        <is>
          <t>Demandée</t>
        </is>
      </c>
      <c r="H157" s="67" t="inlineStr">
        <is>
          <t>Essentiel</t>
        </is>
      </c>
      <c r="I157" s="68" t="inlineStr">
        <is>
          <t>—</t>
        </is>
      </c>
      <c r="J157" s="68" t="inlineStr">
        <is>
          <t>Période adaptée : depuis la création si moins de 12 mois</t>
        </is>
      </c>
      <c r="K157" s="67" t="n"/>
      <c r="L157" s="67" t="n"/>
      <c r="M157" s="67" t="n"/>
      <c r="N157" s="67" t="n"/>
      <c r="O157" s="67" t="n"/>
      <c r="P157" s="67" t="n"/>
      <c r="Q157" s="67" t="n"/>
      <c r="R157" s="67" t="inlineStr">
        <is>
          <t>●</t>
        </is>
      </c>
      <c r="S157" s="68" t="inlineStr">
        <is>
          <t>—</t>
        </is>
      </c>
      <c r="T157" s="68" t="inlineStr">
        <is>
          <t>—</t>
        </is>
      </c>
      <c r="U157" s="68" t="inlineStr">
        <is>
          <t>—</t>
        </is>
      </c>
      <c r="V157" s="68" t="inlineStr">
        <is>
          <t>—</t>
        </is>
      </c>
      <c r="W157" s="83" t="inlineStr">
        <is>
          <t>Nouveau</t>
        </is>
      </c>
    </row>
    <row r="158" ht="35.05" customHeight="1" s="53">
      <c r="A158" s="92" t="inlineStr">
        <is>
          <t>ACQ-11.35</t>
        </is>
      </c>
      <c r="B158" s="67" t="inlineStr">
        <is>
          <t>ACQ-11</t>
        </is>
      </c>
      <c r="C158" s="95">
        <f>IFERROR(INDEX(Thèmes!$D$2:$D$190,MATCH(B158,Thèmes!$A$2:$A$190,0)),"")</f>
        <v/>
      </c>
      <c r="D158" s="68" t="inlineStr">
        <is>
          <t>—</t>
        </is>
      </c>
      <c r="E158" s="68" t="inlineStr">
        <is>
          <t>Réservations annulées trop tard pour être relouées, ou non honorées, sur les 12 derniers mois</t>
        </is>
      </c>
      <c r="F158" s="68" t="inlineStr">
        <is>
          <t>Nombre</t>
        </is>
      </c>
      <c r="G158" s="67" t="inlineStr">
        <is>
          <t>Demandée</t>
        </is>
      </c>
      <c r="H158" s="67" t="inlineStr">
        <is>
          <t>Essentiel</t>
        </is>
      </c>
      <c r="I158" s="68" t="inlineStr">
        <is>
          <t>—</t>
        </is>
      </c>
      <c r="J158" s="68" t="inlineStr">
        <is>
          <t>Période adaptée : depuis la création si moins de 12 mois</t>
        </is>
      </c>
      <c r="K158" s="67" t="n"/>
      <c r="L158" s="67" t="n"/>
      <c r="M158" s="67" t="n"/>
      <c r="N158" s="67" t="n"/>
      <c r="O158" s="67" t="n"/>
      <c r="P158" s="67" t="n"/>
      <c r="Q158" s="67" t="n"/>
      <c r="R158" s="67" t="inlineStr">
        <is>
          <t>●</t>
        </is>
      </c>
      <c r="S158" s="68" t="inlineStr">
        <is>
          <t>—</t>
        </is>
      </c>
      <c r="T158" s="68" t="inlineStr">
        <is>
          <t>—</t>
        </is>
      </c>
      <c r="U158" s="68" t="inlineStr">
        <is>
          <t>—</t>
        </is>
      </c>
      <c r="V158" s="68" t="inlineStr">
        <is>
          <t>—</t>
        </is>
      </c>
      <c r="W158" s="83" t="inlineStr">
        <is>
          <t>Nouveau</t>
        </is>
      </c>
    </row>
    <row r="159" ht="15" customHeight="1" s="53">
      <c r="A159" s="92" t="inlineStr">
        <is>
          <t>ACQ-11.36</t>
        </is>
      </c>
      <c r="B159" s="67" t="inlineStr">
        <is>
          <t>ACQ-11</t>
        </is>
      </c>
      <c r="C159" s="95">
        <f>IFERROR(INDEX(Thèmes!$D$2:$D$190,MATCH(B159,Thèmes!$A$2:$A$190,0)),"")</f>
        <v/>
      </c>
      <c r="D159" s="68" t="inlineStr">
        <is>
          <t>—</t>
        </is>
      </c>
      <c r="E159" s="68" t="inlineStr">
        <is>
          <t>Durée moyenne d'une réservation, en nuits ou en jours</t>
        </is>
      </c>
      <c r="F159" s="68" t="inlineStr">
        <is>
          <t>Nombre</t>
        </is>
      </c>
      <c r="G159" s="67" t="inlineStr">
        <is>
          <t>Demandée</t>
        </is>
      </c>
      <c r="H159" s="67" t="inlineStr">
        <is>
          <t>Approfondi</t>
        </is>
      </c>
      <c r="I159" s="68" t="inlineStr">
        <is>
          <t>—</t>
        </is>
      </c>
      <c r="J159" s="68" t="inlineStr">
        <is>
          <t>—</t>
        </is>
      </c>
      <c r="K159" s="67" t="n"/>
      <c r="L159" s="67" t="n"/>
      <c r="M159" s="67" t="n"/>
      <c r="N159" s="67" t="n"/>
      <c r="O159" s="67" t="n"/>
      <c r="P159" s="67" t="n"/>
      <c r="Q159" s="67" t="n"/>
      <c r="R159" s="67" t="inlineStr">
        <is>
          <t>●</t>
        </is>
      </c>
      <c r="S159" s="68" t="inlineStr">
        <is>
          <t>—</t>
        </is>
      </c>
      <c r="T159" s="68" t="inlineStr">
        <is>
          <t>—</t>
        </is>
      </c>
      <c r="U159" s="68" t="inlineStr">
        <is>
          <t>—</t>
        </is>
      </c>
      <c r="V159" s="68" t="inlineStr">
        <is>
          <t>—</t>
        </is>
      </c>
      <c r="W159" s="83" t="inlineStr">
        <is>
          <t>Nouveau</t>
        </is>
      </c>
    </row>
    <row r="160" ht="23.85" customHeight="1" s="53">
      <c r="A160" s="92" t="inlineStr">
        <is>
          <t>ACQ-11.37</t>
        </is>
      </c>
      <c r="B160" s="67" t="inlineStr">
        <is>
          <t>ACQ-11</t>
        </is>
      </c>
      <c r="C160" s="95">
        <f>IFERROR(INDEX(Thèmes!$D$2:$D$190,MATCH(B160,Thèmes!$A$2:$A$190,0)),"")</f>
        <v/>
      </c>
      <c r="D160" s="68" t="inlineStr">
        <is>
          <t>—</t>
        </is>
      </c>
      <c r="E160" s="68" t="inlineStr">
        <is>
          <t>Part du CA qui ne vient pas de la location : services annexes</t>
        </is>
      </c>
      <c r="F160" s="68" t="inlineStr">
        <is>
          <t>%</t>
        </is>
      </c>
      <c r="G160" s="67" t="inlineStr">
        <is>
          <t>Demandée</t>
        </is>
      </c>
      <c r="H160" s="67" t="inlineStr">
        <is>
          <t>Approfondi</t>
        </is>
      </c>
      <c r="I160" s="68" t="inlineStr">
        <is>
          <t>—</t>
        </is>
      </c>
      <c r="J160" s="68" t="inlineStr">
        <is>
          <t>—</t>
        </is>
      </c>
      <c r="K160" s="67" t="n"/>
      <c r="L160" s="67" t="n"/>
      <c r="M160" s="67" t="n"/>
      <c r="N160" s="67" t="n"/>
      <c r="O160" s="67" t="n"/>
      <c r="P160" s="67" t="n"/>
      <c r="Q160" s="67" t="n"/>
      <c r="R160" s="67" t="inlineStr">
        <is>
          <t>●</t>
        </is>
      </c>
      <c r="S160" s="68" t="inlineStr">
        <is>
          <t>—</t>
        </is>
      </c>
      <c r="T160" s="68" t="inlineStr">
        <is>
          <t>—</t>
        </is>
      </c>
      <c r="U160" s="68" t="inlineStr">
        <is>
          <t>—</t>
        </is>
      </c>
      <c r="V160" s="68" t="inlineStr">
        <is>
          <t>—</t>
        </is>
      </c>
      <c r="W160" s="83" t="inlineStr">
        <is>
          <t>Nouveau</t>
        </is>
      </c>
    </row>
    <row r="161" ht="23.85" customHeight="1" s="53">
      <c r="A161" s="92" t="inlineStr">
        <is>
          <t>ACQ-11.38</t>
        </is>
      </c>
      <c r="B161" s="67" t="inlineStr">
        <is>
          <t>ACQ-11</t>
        </is>
      </c>
      <c r="C161" s="95">
        <f>IFERROR(INDEX(Thèmes!$D$2:$D$190,MATCH(B161,Thèmes!$A$2:$A$190,0)),"")</f>
        <v/>
      </c>
      <c r="D161" s="68" t="inlineStr">
        <is>
          <t>A13 · Votre boutique, salle ou site</t>
        </is>
      </c>
      <c r="E161" s="68" t="inlineStr">
        <is>
          <t>Sur les 3 derniers mois, quelle part de votre chiffre d'affaires est venue des boissons ?</t>
        </is>
      </c>
      <c r="F161" s="68" t="inlineStr">
        <is>
          <t>%</t>
        </is>
      </c>
      <c r="G161" s="67" t="inlineStr">
        <is>
          <t>Demandée</t>
        </is>
      </c>
      <c r="H161" s="67" t="inlineStr">
        <is>
          <t>Essentiel</t>
        </is>
      </c>
      <c r="I161" s="68" t="inlineStr">
        <is>
          <t>—</t>
        </is>
      </c>
      <c r="J161" s="68" t="inlineStr">
        <is>
          <t>—</t>
        </is>
      </c>
      <c r="K161" s="67" t="n"/>
      <c r="L161" s="67" t="n"/>
      <c r="M161" s="67" t="n"/>
      <c r="N161" s="67" t="inlineStr">
        <is>
          <t>●</t>
        </is>
      </c>
      <c r="O161" s="67" t="n"/>
      <c r="P161" s="67" t="n"/>
      <c r="Q161" s="67" t="n"/>
      <c r="R161" s="67" t="n"/>
      <c r="S161" s="68" t="inlineStr">
        <is>
          <t>—</t>
        </is>
      </c>
      <c r="T161" s="68" t="inlineStr">
        <is>
          <t>—</t>
        </is>
      </c>
      <c r="U161" s="68" t="inlineStr">
        <is>
          <t>—</t>
        </is>
      </c>
      <c r="V161" s="68" t="inlineStr">
        <is>
          <t>Lue par l'IA pour adapter le conseil</t>
        </is>
      </c>
      <c r="W161" s="83" t="inlineStr">
        <is>
          <t>Nouveau : profils et condition proposés, à valider</t>
        </is>
      </c>
    </row>
    <row r="162" ht="23.85" customHeight="1" s="53">
      <c r="A162" s="92" t="inlineStr">
        <is>
          <t>ACQ-11.39</t>
        </is>
      </c>
      <c r="B162" s="67" t="inlineStr">
        <is>
          <t>ACQ-11</t>
        </is>
      </c>
      <c r="C162" s="95">
        <f>IFERROR(INDEX(Thèmes!$D$2:$D$190,MATCH(B162,Thèmes!$A$2:$A$190,0)),"")</f>
        <v/>
      </c>
      <c r="D162" s="68" t="inlineStr">
        <is>
          <t>A13 · Votre boutique, salle ou site</t>
        </is>
      </c>
      <c r="E162" s="68" t="inlineStr">
        <is>
          <t>Combien paient vos clients pour la livraison, et à partir de quel montant est-elle offerte ?</t>
        </is>
      </c>
      <c r="F162" s="68" t="inlineStr">
        <is>
          <t>Plusieurs champs : Prix de la livraison standard · Offerte à partir de</t>
        </is>
      </c>
      <c r="G162" s="67" t="inlineStr">
        <is>
          <t>Demandée</t>
        </is>
      </c>
      <c r="H162" s="67" t="inlineStr">
        <is>
          <t>Essentiel</t>
        </is>
      </c>
      <c r="I162" s="68" t="inlineStr">
        <is>
          <t>—</t>
        </is>
      </c>
      <c r="J162" s="68" t="inlineStr">
        <is>
          <t>—</t>
        </is>
      </c>
      <c r="K162" s="67" t="n"/>
      <c r="L162" s="67" t="n"/>
      <c r="M162" s="67" t="inlineStr">
        <is>
          <t>●</t>
        </is>
      </c>
      <c r="N162" s="67" t="inlineStr">
        <is>
          <t>●</t>
        </is>
      </c>
      <c r="O162" s="67" t="n"/>
      <c r="P162" s="67" t="n"/>
      <c r="Q162" s="67" t="n"/>
      <c r="R162" s="67" t="n"/>
      <c r="S162" s="68" t="inlineStr">
        <is>
          <t>—</t>
        </is>
      </c>
      <c r="T162" s="68" t="inlineStr">
        <is>
          <t>—</t>
        </is>
      </c>
      <c r="U162" s="68" t="inlineStr">
        <is>
          <t>—</t>
        </is>
      </c>
      <c r="V162" s="68" t="inlineStr">
        <is>
          <t>Lue par l'IA pour adapter le conseil</t>
        </is>
      </c>
      <c r="W162" s="83" t="inlineStr">
        <is>
          <t>Nouveau : profils et condition proposés, à valider</t>
        </is>
      </c>
    </row>
    <row r="163" ht="35.05" customHeight="1" s="53">
      <c r="A163" s="98" t="inlineStr">
        <is>
          <t>ACQ-12.01</t>
        </is>
      </c>
      <c r="B163" s="89" t="inlineStr">
        <is>
          <t>ACQ-12</t>
        </is>
      </c>
      <c r="C163" s="97">
        <f>IFERROR(INDEX(Thèmes!$D$2:$D$190,MATCH(B163,Thèmes!$A$2:$A$190,0)),"")</f>
        <v/>
      </c>
      <c r="D163" s="86" t="inlineStr">
        <is>
          <t>A12 · Vos ventes</t>
        </is>
      </c>
      <c r="E163" s="86" t="inlineStr">
        <is>
          <t>Jours entre le premier contact et le premier rendez-vous</t>
        </is>
      </c>
      <c r="F163" s="86" t="inlineStr">
        <is>
          <t>Jours</t>
        </is>
      </c>
      <c r="G163" s="89" t="inlineStr">
        <is>
          <t>Demandée</t>
        </is>
      </c>
      <c r="H163" s="89" t="inlineStr">
        <is>
          <t>Essentiel</t>
        </is>
      </c>
      <c r="I163" s="100" t="inlineStr">
        <is>
          <t>D06 · si devis ou propositions</t>
        </is>
      </c>
      <c r="J163" s="86" t="inlineStr">
        <is>
          <t>—</t>
        </is>
      </c>
      <c r="K163" s="89" t="inlineStr">
        <is>
          <t>●</t>
        </is>
      </c>
      <c r="L163" s="89" t="inlineStr">
        <is>
          <t>●</t>
        </is>
      </c>
      <c r="M163" s="89" t="inlineStr">
        <is>
          <t>●</t>
        </is>
      </c>
      <c r="N163" s="89" t="inlineStr">
        <is>
          <t>●</t>
        </is>
      </c>
      <c r="O163" s="89" t="inlineStr">
        <is>
          <t>●</t>
        </is>
      </c>
      <c r="P163" s="89" t="inlineStr">
        <is>
          <t>●</t>
        </is>
      </c>
      <c r="Q163" s="89" t="inlineStr">
        <is>
          <t>●</t>
        </is>
      </c>
      <c r="R163" s="89" t="inlineStr">
        <is>
          <t>●</t>
        </is>
      </c>
      <c r="S163" s="86" t="inlineStr">
        <is>
          <t>Problème</t>
        </is>
      </c>
      <c r="T163" s="86" t="inlineStr">
        <is>
          <t>—</t>
        </is>
      </c>
      <c r="U163" s="86" t="inlineStr">
        <is>
          <t>—</t>
        </is>
      </c>
      <c r="V163" s="86" t="inlineStr">
        <is>
          <t>ACQ-12.05</t>
        </is>
      </c>
      <c r="W163" s="91" t="inlineStr">
        <is>
          <t>Profils ou tailles concernés</t>
        </is>
      </c>
    </row>
    <row r="164" ht="23.85" customHeight="1" s="53">
      <c r="A164" s="94" t="inlineStr">
        <is>
          <t>ACQ-12.02</t>
        </is>
      </c>
      <c r="B164" s="67" t="inlineStr">
        <is>
          <t>ACQ-12</t>
        </is>
      </c>
      <c r="C164" s="95">
        <f>IFERROR(INDEX(Thèmes!$D$2:$D$190,MATCH(B164,Thèmes!$A$2:$A$190,0)),"")</f>
        <v/>
      </c>
      <c r="D164" s="68" t="inlineStr">
        <is>
          <t>A12 · Vos ventes</t>
        </is>
      </c>
      <c r="E164" s="68" t="inlineStr">
        <is>
          <t>Jours entre l'envoi du devis et la signature</t>
        </is>
      </c>
      <c r="F164" s="68" t="inlineStr">
        <is>
          <t>Jours</t>
        </is>
      </c>
      <c r="G164" s="67" t="inlineStr">
        <is>
          <t>Demandée</t>
        </is>
      </c>
      <c r="H164" s="67" t="inlineStr">
        <is>
          <t>Essentiel</t>
        </is>
      </c>
      <c r="I164" s="99" t="inlineStr">
        <is>
          <t>D06 · si devis ou propositions</t>
        </is>
      </c>
      <c r="J164" s="68" t="inlineStr">
        <is>
          <t>—</t>
        </is>
      </c>
      <c r="K164" s="67" t="inlineStr">
        <is>
          <t>●</t>
        </is>
      </c>
      <c r="L164" s="67" t="inlineStr">
        <is>
          <t>●</t>
        </is>
      </c>
      <c r="M164" s="67" t="inlineStr">
        <is>
          <t>●</t>
        </is>
      </c>
      <c r="N164" s="67" t="inlineStr">
        <is>
          <t>●</t>
        </is>
      </c>
      <c r="O164" s="67" t="inlineStr">
        <is>
          <t>●</t>
        </is>
      </c>
      <c r="P164" s="67" t="inlineStr">
        <is>
          <t>●</t>
        </is>
      </c>
      <c r="Q164" s="67" t="inlineStr">
        <is>
          <t>●</t>
        </is>
      </c>
      <c r="R164" s="67" t="inlineStr">
        <is>
          <t>●</t>
        </is>
      </c>
      <c r="S164" s="68" t="inlineStr">
        <is>
          <t>Problème</t>
        </is>
      </c>
      <c r="T164" s="68" t="inlineStr">
        <is>
          <t>—</t>
        </is>
      </c>
      <c r="U164" s="68" t="inlineStr">
        <is>
          <t>—</t>
        </is>
      </c>
      <c r="V164" s="68" t="inlineStr">
        <is>
          <t>ACQ-12.05</t>
        </is>
      </c>
      <c r="W164" s="83" t="inlineStr">
        <is>
          <t>Profils ou tailles concernés</t>
        </is>
      </c>
    </row>
    <row r="165" ht="23.85" customHeight="1" s="53">
      <c r="A165" s="94" t="inlineStr">
        <is>
          <t>ACQ-12.03</t>
        </is>
      </c>
      <c r="B165" s="67" t="inlineStr">
        <is>
          <t>ACQ-12</t>
        </is>
      </c>
      <c r="C165" s="95">
        <f>IFERROR(INDEX(Thèmes!$D$2:$D$190,MATCH(B165,Thèmes!$A$2:$A$190,0)),"")</f>
        <v/>
      </c>
      <c r="D165" s="68" t="inlineStr">
        <is>
          <t>A12 · Vos ventes</t>
        </is>
      </c>
      <c r="E165" s="68" t="inlineStr">
        <is>
          <t>Affaires en discussion pas encore chiffrées : nombre et montant estimé (les devis en attente sont en ACQ-10.08)</t>
        </is>
      </c>
      <c r="F165" s="68" t="inlineStr">
        <is>
          <t>Nombre et €</t>
        </is>
      </c>
      <c r="G165" s="67" t="inlineStr">
        <is>
          <t>Demandée</t>
        </is>
      </c>
      <c r="H165" s="67" t="inlineStr">
        <is>
          <t>Essentiel</t>
        </is>
      </c>
      <c r="I165" s="99" t="inlineStr">
        <is>
          <t>D06 · si devis ou propositions</t>
        </is>
      </c>
      <c r="J165" s="68" t="inlineStr">
        <is>
          <t>—</t>
        </is>
      </c>
      <c r="K165" s="67" t="inlineStr">
        <is>
          <t>●</t>
        </is>
      </c>
      <c r="L165" s="67" t="inlineStr">
        <is>
          <t>●</t>
        </is>
      </c>
      <c r="M165" s="67" t="inlineStr">
        <is>
          <t>●</t>
        </is>
      </c>
      <c r="N165" s="67" t="inlineStr">
        <is>
          <t>●</t>
        </is>
      </c>
      <c r="O165" s="67" t="inlineStr">
        <is>
          <t>●</t>
        </is>
      </c>
      <c r="P165" s="67" t="inlineStr">
        <is>
          <t>●</t>
        </is>
      </c>
      <c r="Q165" s="67" t="inlineStr">
        <is>
          <t>●</t>
        </is>
      </c>
      <c r="R165" s="67" t="inlineStr">
        <is>
          <t>●</t>
        </is>
      </c>
      <c r="S165" s="68" t="inlineStr">
        <is>
          <t>Potentiel CA</t>
        </is>
      </c>
      <c r="T165" s="68" t="inlineStr">
        <is>
          <t>—</t>
        </is>
      </c>
      <c r="U165" s="68" t="inlineStr">
        <is>
          <t>—</t>
        </is>
      </c>
      <c r="V165" s="68" t="inlineStr">
        <is>
          <t>ACQ-12.06</t>
        </is>
      </c>
      <c r="W165" s="83" t="inlineStr">
        <is>
          <t>Libellé (« Donnée ») · Profils ou tailles concernés</t>
        </is>
      </c>
    </row>
    <row r="166" ht="23.85" customHeight="1" s="53">
      <c r="A166" s="94" t="inlineStr">
        <is>
          <t>ACQ-12.04</t>
        </is>
      </c>
      <c r="B166" s="67" t="inlineStr">
        <is>
          <t>ACQ-12</t>
        </is>
      </c>
      <c r="C166" s="95">
        <f>IFERROR(INDEX(Thèmes!$D$2:$D$190,MATCH(B166,Thèmes!$A$2:$A$190,0)),"")</f>
        <v/>
      </c>
      <c r="D166" s="68" t="inlineStr">
        <is>
          <t>A12 · Vos ventes</t>
        </is>
      </c>
      <c r="E166" s="68" t="inlineStr">
        <is>
          <t>Durée du cycle pour vos plus grosses affaires</t>
        </is>
      </c>
      <c r="F166" s="68" t="inlineStr">
        <is>
          <t>Jours</t>
        </is>
      </c>
      <c r="G166" s="67" t="inlineStr">
        <is>
          <t>Demandée</t>
        </is>
      </c>
      <c r="H166" s="67" t="inlineStr">
        <is>
          <t>Approfondi</t>
        </is>
      </c>
      <c r="I166" s="99" t="inlineStr">
        <is>
          <t>D06 · si devis ou propositions</t>
        </is>
      </c>
      <c r="J166" s="68" t="inlineStr">
        <is>
          <t>—</t>
        </is>
      </c>
      <c r="K166" s="67" t="inlineStr">
        <is>
          <t>●</t>
        </is>
      </c>
      <c r="L166" s="67" t="inlineStr">
        <is>
          <t>●</t>
        </is>
      </c>
      <c r="M166" s="67" t="inlineStr">
        <is>
          <t>●</t>
        </is>
      </c>
      <c r="N166" s="67" t="inlineStr">
        <is>
          <t>●</t>
        </is>
      </c>
      <c r="O166" s="67" t="inlineStr">
        <is>
          <t>●</t>
        </is>
      </c>
      <c r="P166" s="67" t="inlineStr">
        <is>
          <t>●</t>
        </is>
      </c>
      <c r="Q166" s="67" t="inlineStr">
        <is>
          <t>●</t>
        </is>
      </c>
      <c r="R166" s="67" t="inlineStr">
        <is>
          <t>●</t>
        </is>
      </c>
      <c r="S166" s="68" t="inlineStr">
        <is>
          <t>Problème</t>
        </is>
      </c>
      <c r="T166" s="68" t="inlineStr">
        <is>
          <t>—</t>
        </is>
      </c>
      <c r="U166" s="68" t="inlineStr">
        <is>
          <t>—</t>
        </is>
      </c>
      <c r="V166" s="68" t="inlineStr">
        <is>
          <t>Lue par l'IA pour adapter le conseil</t>
        </is>
      </c>
      <c r="W166" s="83" t="inlineStr">
        <is>
          <t>Profils ou tailles concernés</t>
        </is>
      </c>
    </row>
    <row r="167" ht="23.85" customHeight="1" s="53">
      <c r="A167" s="81" t="inlineStr">
        <is>
          <t>ACQ-12.05</t>
        </is>
      </c>
      <c r="B167" s="67" t="inlineStr">
        <is>
          <t>ACQ-12</t>
        </is>
      </c>
      <c r="C167" s="95">
        <f>IFERROR(INDEX(Thèmes!$D$2:$D$190,MATCH(B167,Thèmes!$A$2:$A$190,0)),"")</f>
        <v/>
      </c>
      <c r="D167" s="68" t="inlineStr">
        <is>
          <t>—</t>
        </is>
      </c>
      <c r="E167" s="68" t="inlineStr">
        <is>
          <t>Durée totale du cycle de vente</t>
        </is>
      </c>
      <c r="F167" s="68" t="inlineStr">
        <is>
          <t>Jours</t>
        </is>
      </c>
      <c r="G167" s="96" t="inlineStr">
        <is>
          <t>Calculée</t>
        </is>
      </c>
      <c r="H167" s="67" t="inlineStr">
        <is>
          <t>—</t>
        </is>
      </c>
      <c r="I167" s="68" t="inlineStr">
        <is>
          <t>—</t>
        </is>
      </c>
      <c r="J167" s="68" t="inlineStr">
        <is>
          <t>—</t>
        </is>
      </c>
      <c r="K167" s="67" t="n"/>
      <c r="L167" s="67" t="n"/>
      <c r="M167" s="67" t="n"/>
      <c r="N167" s="67" t="n"/>
      <c r="O167" s="67" t="inlineStr">
        <is>
          <t>●</t>
        </is>
      </c>
      <c r="P167" s="67" t="inlineStr">
        <is>
          <t>●</t>
        </is>
      </c>
      <c r="Q167" s="67" t="n"/>
      <c r="R167" s="67" t="n"/>
      <c r="S167" s="68" t="inlineStr">
        <is>
          <t>Cible</t>
        </is>
      </c>
      <c r="T167" s="68" t="inlineStr">
        <is>
          <t>Contact → rendez-vous + délai d'envoi du devis + devis → signature</t>
        </is>
      </c>
      <c r="U167" s="68" t="inlineStr">
        <is>
          <t>ACQ-12.01, ACQ-10.05, ACQ-12.02</t>
        </is>
      </c>
      <c r="V167" s="68" t="inlineStr">
        <is>
          <t>Affichée dans le rapport</t>
        </is>
      </c>
      <c r="W167" s="83" t="n"/>
    </row>
    <row r="168" ht="23.85" customHeight="1" s="53">
      <c r="A168" s="81" t="inlineStr">
        <is>
          <t>ACQ-12.06</t>
        </is>
      </c>
      <c r="B168" s="67" t="inlineStr">
        <is>
          <t>ACQ-12</t>
        </is>
      </c>
      <c r="C168" s="95">
        <f>IFERROR(INDEX(Thèmes!$D$2:$D$190,MATCH(B168,Thèmes!$A$2:$A$190,0)),"")</f>
        <v/>
      </c>
      <c r="D168" s="68" t="inlineStr">
        <is>
          <t>—</t>
        </is>
      </c>
      <c r="E168" s="68" t="inlineStr">
        <is>
          <t>CA probable des affaires en cours</t>
        </is>
      </c>
      <c r="F168" s="68" t="inlineStr">
        <is>
          <t>€</t>
        </is>
      </c>
      <c r="G168" s="96" t="inlineStr">
        <is>
          <t>Calculée</t>
        </is>
      </c>
      <c r="H168" s="67" t="inlineStr">
        <is>
          <t>—</t>
        </is>
      </c>
      <c r="I168" s="68" t="inlineStr">
        <is>
          <t>—</t>
        </is>
      </c>
      <c r="J168" s="68" t="inlineStr">
        <is>
          <t>—</t>
        </is>
      </c>
      <c r="K168" s="67" t="n"/>
      <c r="L168" s="67" t="n"/>
      <c r="M168" s="67" t="n"/>
      <c r="N168" s="67" t="n"/>
      <c r="O168" s="67" t="n"/>
      <c r="P168" s="67" t="inlineStr">
        <is>
          <t>●</t>
        </is>
      </c>
      <c r="Q168" s="67" t="n"/>
      <c r="R168" s="67" t="n"/>
      <c r="S168" s="68" t="inlineStr">
        <is>
          <t>Potentiel CA</t>
        </is>
      </c>
      <c r="T168" s="68" t="inlineStr">
        <is>
          <t>Montant en cours × taux d'acceptation en montant</t>
        </is>
      </c>
      <c r="U168" s="68" t="inlineStr">
        <is>
          <t>ACQ-12.03, ACQ-10.14</t>
        </is>
      </c>
      <c r="V168" s="68" t="inlineStr">
        <is>
          <t>ACQ-12.07, XA40</t>
        </is>
      </c>
      <c r="W168" s="83" t="n"/>
    </row>
    <row r="169" ht="23.85" customHeight="1" s="53">
      <c r="A169" s="81" t="inlineStr">
        <is>
          <t>ACQ-12.07</t>
        </is>
      </c>
      <c r="B169" s="67" t="inlineStr">
        <is>
          <t>ACQ-12</t>
        </is>
      </c>
      <c r="C169" s="95">
        <f>IFERROR(INDEX(Thèmes!$D$2:$D$190,MATCH(B169,Thèmes!$A$2:$A$190,0)),"")</f>
        <v/>
      </c>
      <c r="D169" s="68" t="inlineStr">
        <is>
          <t>—</t>
        </is>
      </c>
      <c r="E169" s="68" t="inlineStr">
        <is>
          <t>Mois de CA sécurisés par les affaires en cours</t>
        </is>
      </c>
      <c r="F169" s="68" t="inlineStr">
        <is>
          <t>Mois</t>
        </is>
      </c>
      <c r="G169" s="96" t="inlineStr">
        <is>
          <t>Calculée</t>
        </is>
      </c>
      <c r="H169" s="67" t="inlineStr">
        <is>
          <t>—</t>
        </is>
      </c>
      <c r="I169" s="68" t="inlineStr">
        <is>
          <t>—</t>
        </is>
      </c>
      <c r="J169" s="68" t="inlineStr">
        <is>
          <t>—</t>
        </is>
      </c>
      <c r="K169" s="67" t="n"/>
      <c r="L169" s="67" t="n"/>
      <c r="M169" s="67" t="n"/>
      <c r="N169" s="67" t="n"/>
      <c r="O169" s="67" t="n"/>
      <c r="P169" s="67" t="inlineStr">
        <is>
          <t>●</t>
        </is>
      </c>
      <c r="Q169" s="67" t="n"/>
      <c r="R169" s="67" t="n"/>
      <c r="S169" s="68" t="inlineStr">
        <is>
          <t>Risque</t>
        </is>
      </c>
      <c r="T169" s="68" t="inlineStr">
        <is>
          <t>CA probable ÷ CA mensuel</t>
        </is>
      </c>
      <c r="U169" s="68" t="inlineStr">
        <is>
          <t>ACQ-12.06, Inscription · CA mensuel</t>
        </is>
      </c>
      <c r="V169" s="68" t="inlineStr">
        <is>
          <t>Affichée dans le rapport</t>
        </is>
      </c>
      <c r="W169" s="83" t="n"/>
    </row>
    <row r="170" ht="23.85" customHeight="1" s="53">
      <c r="A170" s="85" t="inlineStr">
        <is>
          <t>ACQ-13.01</t>
        </is>
      </c>
      <c r="B170" s="89" t="inlineStr">
        <is>
          <t>ACQ-13</t>
        </is>
      </c>
      <c r="C170" s="97">
        <f>IFERROR(INDEX(Thèmes!$D$2:$D$190,MATCH(B170,Thèmes!$A$2:$A$190,0)),"")</f>
        <v/>
      </c>
      <c r="D170" s="86" t="inlineStr">
        <is>
          <t>A14 · Vos prix et remises</t>
        </is>
      </c>
      <c r="E170" s="86" t="inlineStr">
        <is>
          <t>Prix de vos 3 offres principales (partagé avec l'agent Finance, FIN-01)</t>
        </is>
      </c>
      <c r="F170" s="86" t="inlineStr">
        <is>
          <t>€ (3 lignes)</t>
        </is>
      </c>
      <c r="G170" s="89" t="inlineStr">
        <is>
          <t>Demandée</t>
        </is>
      </c>
      <c r="H170" s="89" t="inlineStr">
        <is>
          <t>Essentiel</t>
        </is>
      </c>
      <c r="I170" s="86" t="inlineStr">
        <is>
          <t>—</t>
        </is>
      </c>
      <c r="J170" s="86" t="inlineStr">
        <is>
          <t>—</t>
        </is>
      </c>
      <c r="K170" s="89" t="inlineStr">
        <is>
          <t>●</t>
        </is>
      </c>
      <c r="L170" s="89" t="inlineStr">
        <is>
          <t>●</t>
        </is>
      </c>
      <c r="M170" s="89" t="inlineStr">
        <is>
          <t>●</t>
        </is>
      </c>
      <c r="N170" s="89" t="inlineStr">
        <is>
          <t>●</t>
        </is>
      </c>
      <c r="O170" s="89" t="inlineStr">
        <is>
          <t>●</t>
        </is>
      </c>
      <c r="P170" s="89" t="inlineStr">
        <is>
          <t>●</t>
        </is>
      </c>
      <c r="Q170" s="89" t="inlineStr">
        <is>
          <t>●</t>
        </is>
      </c>
      <c r="R170" s="89" t="inlineStr">
        <is>
          <t>●</t>
        </is>
      </c>
      <c r="S170" s="86" t="inlineStr">
        <is>
          <t>Cible</t>
        </is>
      </c>
      <c r="T170" s="86" t="inlineStr">
        <is>
          <t>—</t>
        </is>
      </c>
      <c r="U170" s="86" t="inlineStr">
        <is>
          <t>—</t>
        </is>
      </c>
      <c r="V170" s="86" t="inlineStr">
        <is>
          <t>ACQ-13.08, COM-09.07, FIN-01.04, FIN-03.03</t>
        </is>
      </c>
      <c r="W170" s="91" t="n"/>
    </row>
    <row r="171" ht="35.05" customHeight="1" s="53">
      <c r="A171" s="81" t="inlineStr">
        <is>
          <t>ACQ-13.02</t>
        </is>
      </c>
      <c r="B171" s="67" t="inlineStr">
        <is>
          <t>ACQ-13</t>
        </is>
      </c>
      <c r="C171" s="95">
        <f>IFERROR(INDEX(Thèmes!$D$2:$D$190,MATCH(B171,Thèmes!$A$2:$A$190,0)),"")</f>
        <v/>
      </c>
      <c r="D171" s="68" t="inlineStr">
        <is>
          <t>A14 · Vos prix et remises</t>
        </is>
      </c>
      <c r="E171" s="68" t="inlineStr">
        <is>
          <t>Part du CA de chacune de ces offres (partagé avec FIN-01)</t>
        </is>
      </c>
      <c r="F171" s="68" t="inlineStr">
        <is>
          <t>% (3 lignes)</t>
        </is>
      </c>
      <c r="G171" s="67" t="inlineStr">
        <is>
          <t>Demandée</t>
        </is>
      </c>
      <c r="H171" s="67" t="inlineStr">
        <is>
          <t>Essentiel</t>
        </is>
      </c>
      <c r="I171" s="68" t="inlineStr">
        <is>
          <t>—</t>
        </is>
      </c>
      <c r="J171" s="68" t="inlineStr">
        <is>
          <t>—</t>
        </is>
      </c>
      <c r="K171" s="67" t="inlineStr">
        <is>
          <t>●</t>
        </is>
      </c>
      <c r="L171" s="67" t="inlineStr">
        <is>
          <t>●</t>
        </is>
      </c>
      <c r="M171" s="67" t="inlineStr">
        <is>
          <t>●</t>
        </is>
      </c>
      <c r="N171" s="67" t="inlineStr">
        <is>
          <t>●</t>
        </is>
      </c>
      <c r="O171" s="67" t="inlineStr">
        <is>
          <t>●</t>
        </is>
      </c>
      <c r="P171" s="67" t="inlineStr">
        <is>
          <t>●</t>
        </is>
      </c>
      <c r="Q171" s="67" t="inlineStr">
        <is>
          <t>●</t>
        </is>
      </c>
      <c r="R171" s="67" t="inlineStr">
        <is>
          <t>●</t>
        </is>
      </c>
      <c r="S171" s="68" t="inlineStr">
        <is>
          <t>Levier</t>
        </is>
      </c>
      <c r="T171" s="68" t="inlineStr">
        <is>
          <t>—</t>
        </is>
      </c>
      <c r="U171" s="68" t="inlineStr">
        <is>
          <t>—</t>
        </is>
      </c>
      <c r="V171" s="68" t="inlineStr">
        <is>
          <t>FIN-01.06, XF34</t>
        </is>
      </c>
      <c r="W171" s="83" t="n"/>
    </row>
    <row r="172" ht="23.85" customHeight="1" s="53">
      <c r="A172" s="94" t="inlineStr">
        <is>
          <t>ACQ-13.03</t>
        </is>
      </c>
      <c r="B172" s="67" t="inlineStr">
        <is>
          <t>ACQ-13</t>
        </is>
      </c>
      <c r="C172" s="95">
        <f>IFERROR(INDEX(Thèmes!$D$2:$D$190,MATCH(B172,Thèmes!$A$2:$A$190,0)),"")</f>
        <v/>
      </c>
      <c r="D172" s="68" t="inlineStr">
        <is>
          <t>A14 · Vos prix et remises</t>
        </is>
      </c>
      <c r="E172" s="68" t="inlineStr">
        <is>
          <t>Taux horaire facturé</t>
        </is>
      </c>
      <c r="F172" s="68" t="inlineStr">
        <is>
          <t>Plusieurs champs : Tarif · Par</t>
        </is>
      </c>
      <c r="G172" s="67" t="inlineStr">
        <is>
          <t>Demandée</t>
        </is>
      </c>
      <c r="H172" s="67" t="inlineStr">
        <is>
          <t>Essentiel</t>
        </is>
      </c>
      <c r="I172" s="99" t="inlineStr">
        <is>
          <t>D18 · si facturation au temps</t>
        </is>
      </c>
      <c r="J172" s="68" t="inlineStr">
        <is>
          <t>—</t>
        </is>
      </c>
      <c r="K172" s="67" t="inlineStr">
        <is>
          <t>●</t>
        </is>
      </c>
      <c r="L172" s="67" t="n"/>
      <c r="M172" s="67" t="n"/>
      <c r="N172" s="67" t="n"/>
      <c r="O172" s="67" t="inlineStr">
        <is>
          <t>●</t>
        </is>
      </c>
      <c r="P172" s="67" t="inlineStr">
        <is>
          <t>●</t>
        </is>
      </c>
      <c r="Q172" s="67" t="n"/>
      <c r="R172" s="67" t="n"/>
      <c r="S172" s="68" t="inlineStr">
        <is>
          <t>Cible</t>
        </is>
      </c>
      <c r="T172" s="68" t="inlineStr">
        <is>
          <t>—</t>
        </is>
      </c>
      <c r="U172" s="68" t="inlineStr">
        <is>
          <t>—</t>
        </is>
      </c>
      <c r="V172" s="68" t="inlineStr">
        <is>
          <t>ACQ-21.13, FIN-07.14</t>
        </is>
      </c>
      <c r="W172" s="83" t="inlineStr">
        <is>
          <t>Format de réponse (la banque l'emporte)</t>
        </is>
      </c>
    </row>
    <row r="173" ht="23.85" customHeight="1" s="53">
      <c r="A173" s="94" t="inlineStr">
        <is>
          <t>ACQ-13.04</t>
        </is>
      </c>
      <c r="B173" s="67" t="inlineStr">
        <is>
          <t>ACQ-13</t>
        </is>
      </c>
      <c r="C173" s="95">
        <f>IFERROR(INDEX(Thèmes!$D$2:$D$190,MATCH(B173,Thèmes!$A$2:$A$190,0)),"")</f>
        <v/>
      </c>
      <c r="D173" s="68" t="inlineStr">
        <is>
          <t>A14 · Vos prix et remises</t>
        </is>
      </c>
      <c r="E173" s="68" t="inlineStr">
        <is>
          <t>Date et montant de la dernière hausse de prix — partagée avec FIN-04.01 : posée une seule fois</t>
        </is>
      </c>
      <c r="F173" s="68" t="inlineStr">
        <is>
          <t>Plusieurs champs : Date de la hausse · Hausse</t>
        </is>
      </c>
      <c r="G173" s="67" t="inlineStr">
        <is>
          <t>Demandée</t>
        </is>
      </c>
      <c r="H173" s="67" t="inlineStr">
        <is>
          <t>Essentiel</t>
        </is>
      </c>
      <c r="I173" s="68" t="inlineStr">
        <is>
          <t>—</t>
        </is>
      </c>
      <c r="J173" s="68" t="inlineStr">
        <is>
          <t>—</t>
        </is>
      </c>
      <c r="K173" s="67" t="inlineStr">
        <is>
          <t>●</t>
        </is>
      </c>
      <c r="L173" s="67" t="inlineStr">
        <is>
          <t>●</t>
        </is>
      </c>
      <c r="M173" s="67" t="inlineStr">
        <is>
          <t>●</t>
        </is>
      </c>
      <c r="N173" s="67" t="inlineStr">
        <is>
          <t>●</t>
        </is>
      </c>
      <c r="O173" s="67" t="inlineStr">
        <is>
          <t>●</t>
        </is>
      </c>
      <c r="P173" s="67" t="inlineStr">
        <is>
          <t>●</t>
        </is>
      </c>
      <c r="Q173" s="67" t="inlineStr">
        <is>
          <t>●</t>
        </is>
      </c>
      <c r="R173" s="67" t="inlineStr">
        <is>
          <t>●</t>
        </is>
      </c>
      <c r="S173" s="68" t="inlineStr">
        <is>
          <t>Problème</t>
        </is>
      </c>
      <c r="T173" s="68" t="inlineStr">
        <is>
          <t>—</t>
        </is>
      </c>
      <c r="U173" s="68" t="inlineStr">
        <is>
          <t>—</t>
        </is>
      </c>
      <c r="V173" s="68" t="inlineStr">
        <is>
          <t>XF09</t>
        </is>
      </c>
      <c r="W173" s="83" t="inlineStr">
        <is>
          <t>Format de réponse (la banque l'emporte) · Libellé (« Donnée »)</t>
        </is>
      </c>
    </row>
    <row r="174" ht="15" customHeight="1" s="53">
      <c r="A174" s="81" t="inlineStr">
        <is>
          <t>ACQ-13.05</t>
        </is>
      </c>
      <c r="B174" s="67" t="inlineStr">
        <is>
          <t>ACQ-13</t>
        </is>
      </c>
      <c r="C174" s="95">
        <f>IFERROR(INDEX(Thèmes!$D$2:$D$190,MATCH(B174,Thèmes!$A$2:$A$190,0)),"")</f>
        <v/>
      </c>
      <c r="D174" s="68" t="inlineStr">
        <is>
          <t>A14 · Vos prix et remises</t>
        </is>
      </c>
      <c r="E174" s="68" t="inlineStr">
        <is>
          <t>Grille tarifaire écrite</t>
        </is>
      </c>
      <c r="F174" s="68" t="inlineStr">
        <is>
          <t>Oui / partielle / non</t>
        </is>
      </c>
      <c r="G174" s="67" t="inlineStr">
        <is>
          <t>Demandée</t>
        </is>
      </c>
      <c r="H174" s="67" t="inlineStr">
        <is>
          <t>Essentiel</t>
        </is>
      </c>
      <c r="I174" s="68" t="inlineStr">
        <is>
          <t>—</t>
        </is>
      </c>
      <c r="J174" s="68" t="inlineStr">
        <is>
          <t>—</t>
        </is>
      </c>
      <c r="K174" s="67" t="inlineStr">
        <is>
          <t>●</t>
        </is>
      </c>
      <c r="L174" s="67" t="inlineStr">
        <is>
          <t>●</t>
        </is>
      </c>
      <c r="M174" s="67" t="inlineStr">
        <is>
          <t>●</t>
        </is>
      </c>
      <c r="N174" s="67" t="inlineStr">
        <is>
          <t>●</t>
        </is>
      </c>
      <c r="O174" s="67" t="inlineStr">
        <is>
          <t>●</t>
        </is>
      </c>
      <c r="P174" s="67" t="inlineStr">
        <is>
          <t>●</t>
        </is>
      </c>
      <c r="Q174" s="67" t="inlineStr">
        <is>
          <t>●</t>
        </is>
      </c>
      <c r="R174" s="67" t="inlineStr">
        <is>
          <t>●</t>
        </is>
      </c>
      <c r="S174" s="68" t="inlineStr">
        <is>
          <t>Levier</t>
        </is>
      </c>
      <c r="T174" s="68" t="inlineStr">
        <is>
          <t>—</t>
        </is>
      </c>
      <c r="U174" s="68" t="inlineStr">
        <is>
          <t>—</t>
        </is>
      </c>
      <c r="V174" s="68" t="inlineStr">
        <is>
          <t>Notée directement (couleur du thème)</t>
        </is>
      </c>
      <c r="W174" s="83" t="n"/>
    </row>
    <row r="175" ht="23.85" customHeight="1" s="53">
      <c r="A175" s="94" t="inlineStr">
        <is>
          <t>ACQ-13.06</t>
        </is>
      </c>
      <c r="B175" s="67" t="inlineStr">
        <is>
          <t>ACQ-13</t>
        </is>
      </c>
      <c r="C175" s="95">
        <f>IFERROR(INDEX(Thèmes!$D$2:$D$190,MATCH(B175,Thèmes!$A$2:$A$190,0)),"")</f>
        <v/>
      </c>
      <c r="D175" s="68" t="inlineStr">
        <is>
          <t>A14 · Vos prix et remises</t>
        </is>
      </c>
      <c r="E175" s="68" t="inlineStr">
        <is>
          <t>Ampleur de cette dernière hausse</t>
        </is>
      </c>
      <c r="F175" s="68" t="inlineStr">
        <is>
          <t>%</t>
        </is>
      </c>
      <c r="G175" s="96" t="inlineStr">
        <is>
          <t>Calculée</t>
        </is>
      </c>
      <c r="H175" s="67" t="inlineStr">
        <is>
          <t>—</t>
        </is>
      </c>
      <c r="I175" s="68" t="inlineStr">
        <is>
          <t>—</t>
        </is>
      </c>
      <c r="J175" s="68" t="inlineStr">
        <is>
          <t>—</t>
        </is>
      </c>
      <c r="K175" s="67" t="inlineStr">
        <is>
          <t>●</t>
        </is>
      </c>
      <c r="L175" s="67" t="inlineStr">
        <is>
          <t>●</t>
        </is>
      </c>
      <c r="M175" s="67" t="inlineStr">
        <is>
          <t>●</t>
        </is>
      </c>
      <c r="N175" s="67" t="inlineStr">
        <is>
          <t>●</t>
        </is>
      </c>
      <c r="O175" s="67" t="inlineStr">
        <is>
          <t>●</t>
        </is>
      </c>
      <c r="P175" s="67" t="inlineStr">
        <is>
          <t>●</t>
        </is>
      </c>
      <c r="Q175" s="67" t="inlineStr">
        <is>
          <t>●</t>
        </is>
      </c>
      <c r="R175" s="67" t="inlineStr">
        <is>
          <t>●</t>
        </is>
      </c>
      <c r="S175" s="68" t="inlineStr">
        <is>
          <t>Problème</t>
        </is>
      </c>
      <c r="T175" s="68" t="inlineStr">
        <is>
          <t>Lue dans la réponse à ACQ-13.04 (champ « Hausse », en %) : questions fusionnées</t>
        </is>
      </c>
      <c r="U175" s="68" t="inlineStr">
        <is>
          <t>ACQ-13.04</t>
        </is>
      </c>
      <c r="V175" s="68" t="inlineStr">
        <is>
          <t>FIN-04.04, XF09</t>
        </is>
      </c>
      <c r="W175" s="83" t="inlineStr">
        <is>
          <t>Mode : Calculée (plus de question : la banque la lit dans une autre réponse)</t>
        </is>
      </c>
    </row>
    <row r="176" ht="15" customHeight="1" s="53">
      <c r="A176" s="81" t="inlineStr">
        <is>
          <t>ACQ-13.07</t>
        </is>
      </c>
      <c r="B176" s="67" t="inlineStr">
        <is>
          <t>ACQ-13</t>
        </is>
      </c>
      <c r="C176" s="95">
        <f>IFERROR(INDEX(Thèmes!$D$2:$D$190,MATCH(B176,Thèmes!$A$2:$A$190,0)),"")</f>
        <v/>
      </c>
      <c r="D176" s="68" t="inlineStr">
        <is>
          <t>A14 · Vos prix et remises</t>
        </is>
      </c>
      <c r="E176" s="68" t="inlineStr">
        <is>
          <t>Prix de 2 concurrents directs sur votre offre principale</t>
        </is>
      </c>
      <c r="F176" s="68" t="inlineStr">
        <is>
          <t>€ (2 lignes)</t>
        </is>
      </c>
      <c r="G176" s="67" t="inlineStr">
        <is>
          <t>Demandée</t>
        </is>
      </c>
      <c r="H176" s="67" t="inlineStr">
        <is>
          <t>Approfondi</t>
        </is>
      </c>
      <c r="I176" s="68" t="inlineStr">
        <is>
          <t>—</t>
        </is>
      </c>
      <c r="J176" s="68" t="inlineStr">
        <is>
          <t>—</t>
        </is>
      </c>
      <c r="K176" s="67" t="inlineStr">
        <is>
          <t>●</t>
        </is>
      </c>
      <c r="L176" s="67" t="inlineStr">
        <is>
          <t>●</t>
        </is>
      </c>
      <c r="M176" s="67" t="inlineStr">
        <is>
          <t>●</t>
        </is>
      </c>
      <c r="N176" s="67" t="inlineStr">
        <is>
          <t>●</t>
        </is>
      </c>
      <c r="O176" s="67" t="inlineStr">
        <is>
          <t>●</t>
        </is>
      </c>
      <c r="P176" s="67" t="inlineStr">
        <is>
          <t>●</t>
        </is>
      </c>
      <c r="Q176" s="67" t="inlineStr">
        <is>
          <t>●</t>
        </is>
      </c>
      <c r="R176" s="67" t="inlineStr">
        <is>
          <t>●</t>
        </is>
      </c>
      <c r="S176" s="68" t="inlineStr">
        <is>
          <t>Cible</t>
        </is>
      </c>
      <c r="T176" s="68" t="inlineStr">
        <is>
          <t>—</t>
        </is>
      </c>
      <c r="U176" s="68" t="inlineStr">
        <is>
          <t>—</t>
        </is>
      </c>
      <c r="V176" s="68" t="inlineStr">
        <is>
          <t>ACQ-13.08</t>
        </is>
      </c>
      <c r="W176" s="83" t="n"/>
    </row>
    <row r="177" ht="35.05" customHeight="1" s="53">
      <c r="A177" s="81" t="inlineStr">
        <is>
          <t>ACQ-13.08</t>
        </is>
      </c>
      <c r="B177" s="67" t="inlineStr">
        <is>
          <t>ACQ-13</t>
        </is>
      </c>
      <c r="C177" s="95">
        <f>IFERROR(INDEX(Thèmes!$D$2:$D$190,MATCH(B177,Thèmes!$A$2:$A$190,0)),"")</f>
        <v/>
      </c>
      <c r="D177" s="68" t="inlineStr">
        <is>
          <t>—</t>
        </is>
      </c>
      <c r="E177" s="68" t="inlineStr">
        <is>
          <t>Écart de prix avec les concurrents</t>
        </is>
      </c>
      <c r="F177" s="68" t="inlineStr">
        <is>
          <t>%</t>
        </is>
      </c>
      <c r="G177" s="96" t="inlineStr">
        <is>
          <t>Calculée</t>
        </is>
      </c>
      <c r="H177" s="67" t="inlineStr">
        <is>
          <t>—</t>
        </is>
      </c>
      <c r="I177" s="68" t="inlineStr">
        <is>
          <t>—</t>
        </is>
      </c>
      <c r="J177" s="68" t="inlineStr">
        <is>
          <t>—</t>
        </is>
      </c>
      <c r="K177" s="67" t="inlineStr">
        <is>
          <t>●</t>
        </is>
      </c>
      <c r="L177" s="67" t="inlineStr">
        <is>
          <t>●</t>
        </is>
      </c>
      <c r="M177" s="67" t="inlineStr">
        <is>
          <t>●</t>
        </is>
      </c>
      <c r="N177" s="67" t="inlineStr">
        <is>
          <t>●</t>
        </is>
      </c>
      <c r="O177" s="67" t="inlineStr">
        <is>
          <t>●</t>
        </is>
      </c>
      <c r="P177" s="67" t="inlineStr">
        <is>
          <t>●</t>
        </is>
      </c>
      <c r="Q177" s="67" t="inlineStr">
        <is>
          <t>●</t>
        </is>
      </c>
      <c r="R177" s="67" t="inlineStr">
        <is>
          <t>●</t>
        </is>
      </c>
      <c r="S177" s="68" t="inlineStr">
        <is>
          <t>Cible</t>
        </is>
      </c>
      <c r="T177" s="68" t="inlineStr">
        <is>
          <t>(Votre prix − prix moyen des concurrents) ÷ prix moyen des concurrents</t>
        </is>
      </c>
      <c r="U177" s="68" t="inlineStr">
        <is>
          <t>ACQ-13.01, ACQ-13.07</t>
        </is>
      </c>
      <c r="V177" s="68" t="inlineStr">
        <is>
          <t>ACQ-13.10, XA21</t>
        </is>
      </c>
      <c r="W177" s="83" t="n"/>
    </row>
    <row r="178" ht="15" customHeight="1" s="53">
      <c r="A178" s="81" t="inlineStr">
        <is>
          <t>ACQ-13.09</t>
        </is>
      </c>
      <c r="B178" s="67" t="inlineStr">
        <is>
          <t>ACQ-13</t>
        </is>
      </c>
      <c r="C178" s="95">
        <f>IFERROR(INDEX(Thèmes!$D$2:$D$190,MATCH(B178,Thèmes!$A$2:$A$190,0)),"")</f>
        <v/>
      </c>
      <c r="D178" s="68" t="inlineStr">
        <is>
          <t>—</t>
        </is>
      </c>
      <c r="E178" s="68" t="inlineStr">
        <is>
          <t>Part des affaires perdues pour motif prix</t>
        </is>
      </c>
      <c r="F178" s="68" t="inlineStr">
        <is>
          <t>%</t>
        </is>
      </c>
      <c r="G178" s="96" t="inlineStr">
        <is>
          <t>Calculée</t>
        </is>
      </c>
      <c r="H178" s="67" t="inlineStr">
        <is>
          <t>—</t>
        </is>
      </c>
      <c r="I178" s="68" t="inlineStr">
        <is>
          <t>—</t>
        </is>
      </c>
      <c r="J178" s="68" t="inlineStr">
        <is>
          <t>—</t>
        </is>
      </c>
      <c r="K178" s="67" t="inlineStr">
        <is>
          <t>●</t>
        </is>
      </c>
      <c r="L178" s="67" t="n"/>
      <c r="M178" s="67" t="n"/>
      <c r="N178" s="67" t="n"/>
      <c r="O178" s="67" t="inlineStr">
        <is>
          <t>●</t>
        </is>
      </c>
      <c r="P178" s="67" t="inlineStr">
        <is>
          <t>●</t>
        </is>
      </c>
      <c r="Q178" s="67" t="inlineStr">
        <is>
          <t>●</t>
        </is>
      </c>
      <c r="R178" s="67" t="n"/>
      <c r="S178" s="68" t="inlineStr">
        <is>
          <t>Problème</t>
        </is>
      </c>
      <c r="T178" s="68" t="inlineStr">
        <is>
          <t>Motif prix dans les affaires non signées</t>
        </is>
      </c>
      <c r="U178" s="68" t="inlineStr">
        <is>
          <t>ACQ-11.04</t>
        </is>
      </c>
      <c r="V178" s="68" t="inlineStr">
        <is>
          <t>Affichée dans le rapport</t>
        </is>
      </c>
      <c r="W178" s="83" t="n"/>
    </row>
    <row r="179" ht="23.85" customHeight="1" s="53">
      <c r="A179" s="81" t="inlineStr">
        <is>
          <t>ACQ-13.10</t>
        </is>
      </c>
      <c r="B179" s="67" t="inlineStr">
        <is>
          <t>ACQ-13</t>
        </is>
      </c>
      <c r="C179" s="95">
        <f>IFERROR(INDEX(Thèmes!$D$2:$D$190,MATCH(B179,Thèmes!$A$2:$A$190,0)),"")</f>
        <v/>
      </c>
      <c r="D179" s="68" t="inlineStr">
        <is>
          <t>—</t>
        </is>
      </c>
      <c r="E179" s="68" t="inlineStr">
        <is>
          <t>Potentiel d'une hausse de prix</t>
        </is>
      </c>
      <c r="F179" s="68" t="inlineStr">
        <is>
          <t>€</t>
        </is>
      </c>
      <c r="G179" s="96" t="inlineStr">
        <is>
          <t>Calculée</t>
        </is>
      </c>
      <c r="H179" s="67" t="inlineStr">
        <is>
          <t>—</t>
        </is>
      </c>
      <c r="I179" s="68" t="inlineStr">
        <is>
          <t>—</t>
        </is>
      </c>
      <c r="J179" s="68" t="inlineStr">
        <is>
          <t>—</t>
        </is>
      </c>
      <c r="K179" s="67" t="inlineStr">
        <is>
          <t>●</t>
        </is>
      </c>
      <c r="L179" s="67" t="inlineStr">
        <is>
          <t>●</t>
        </is>
      </c>
      <c r="M179" s="67" t="inlineStr">
        <is>
          <t>●</t>
        </is>
      </c>
      <c r="N179" s="67" t="inlineStr">
        <is>
          <t>●</t>
        </is>
      </c>
      <c r="O179" s="67" t="inlineStr">
        <is>
          <t>●</t>
        </is>
      </c>
      <c r="P179" s="67" t="inlineStr">
        <is>
          <t>●</t>
        </is>
      </c>
      <c r="Q179" s="67" t="inlineStr">
        <is>
          <t>●</t>
        </is>
      </c>
      <c r="R179" s="67" t="n"/>
      <c r="S179" s="68" t="inlineStr">
        <is>
          <t>Potentiel CA</t>
        </is>
      </c>
      <c r="T179" s="68" t="inlineStr">
        <is>
          <t>CA mensuel × 12 × hausse envisagée ; calculé seulement si le planning est plein sur plus de 8 semaines ou si vos prix sont sous la concurrence</t>
        </is>
      </c>
      <c r="U179" s="68" t="inlineStr">
        <is>
          <t>Inscription · CA mensuel, ACQ-19.01, ACQ-13.08</t>
        </is>
      </c>
      <c r="V179" s="68" t="inlineStr">
        <is>
          <t>XA21</t>
        </is>
      </c>
      <c r="W179" s="83" t="n"/>
    </row>
    <row r="180" ht="23.85" customHeight="1" s="53">
      <c r="A180" s="92" t="inlineStr">
        <is>
          <t>ACQ-13.11</t>
        </is>
      </c>
      <c r="B180" s="67" t="inlineStr">
        <is>
          <t>ACQ-13</t>
        </is>
      </c>
      <c r="C180" s="95">
        <f>IFERROR(INDEX(Thèmes!$D$2:$D$190,MATCH(B180,Thèmes!$A$2:$A$190,0)),"")</f>
        <v/>
      </c>
      <c r="D180" s="68" t="inlineStr">
        <is>
          <t>—</t>
        </is>
      </c>
      <c r="E180" s="68" t="inlineStr">
        <is>
          <t>Méthode de fixation des prix</t>
        </is>
      </c>
      <c r="F180" s="68" t="inlineStr">
        <is>
          <t>Choix</t>
        </is>
      </c>
      <c r="G180" s="67" t="inlineStr">
        <is>
          <t>Demandée</t>
        </is>
      </c>
      <c r="H180" s="67" t="inlineStr">
        <is>
          <t>Approfondi</t>
        </is>
      </c>
      <c r="I180" s="68" t="inlineStr">
        <is>
          <t>—</t>
        </is>
      </c>
      <c r="J180" s="68" t="inlineStr">
        <is>
          <t>—</t>
        </is>
      </c>
      <c r="K180" s="67" t="inlineStr">
        <is>
          <t>●</t>
        </is>
      </c>
      <c r="L180" s="67" t="inlineStr">
        <is>
          <t>●</t>
        </is>
      </c>
      <c r="M180" s="67" t="inlineStr">
        <is>
          <t>●</t>
        </is>
      </c>
      <c r="N180" s="67" t="inlineStr">
        <is>
          <t>●</t>
        </is>
      </c>
      <c r="O180" s="67" t="inlineStr">
        <is>
          <t>●</t>
        </is>
      </c>
      <c r="P180" s="67" t="inlineStr">
        <is>
          <t>●</t>
        </is>
      </c>
      <c r="Q180" s="67" t="inlineStr">
        <is>
          <t>●</t>
        </is>
      </c>
      <c r="R180" s="67" t="inlineStr">
        <is>
          <t>●</t>
        </is>
      </c>
      <c r="S180" s="68" t="inlineStr">
        <is>
          <t>—</t>
        </is>
      </c>
      <c r="T180" s="68" t="inlineStr">
        <is>
          <t>—</t>
        </is>
      </c>
      <c r="U180" s="68" t="inlineStr">
        <is>
          <t>—</t>
        </is>
      </c>
      <c r="V180" s="68" t="inlineStr">
        <is>
          <t>—</t>
        </is>
      </c>
      <c r="W180" s="83" t="inlineStr">
        <is>
          <t>Nouveau</t>
        </is>
      </c>
    </row>
    <row r="181" ht="15" customHeight="1" s="53">
      <c r="A181" s="92" t="inlineStr">
        <is>
          <t>ACQ-13.12</t>
        </is>
      </c>
      <c r="B181" s="67" t="inlineStr">
        <is>
          <t>ACQ-13</t>
        </is>
      </c>
      <c r="C181" s="95">
        <f>IFERROR(INDEX(Thèmes!$D$2:$D$190,MATCH(B181,Thèmes!$A$2:$A$190,0)),"")</f>
        <v/>
      </c>
      <c r="D181" s="68" t="inlineStr">
        <is>
          <t>A14 · Vos prix et remises</t>
        </is>
      </c>
      <c r="E181" s="68" t="inlineStr">
        <is>
          <t>Pour chaque catégorie de clients, laquelle de vos offres principales choisit-elle le plus ?</t>
        </is>
      </c>
      <c r="F181" s="68" t="inlineStr">
        <is>
          <t>Tableau : Offre choisie le plus (lignes liste: ACQ-01.01)</t>
        </is>
      </c>
      <c r="G181" s="67" t="inlineStr">
        <is>
          <t>Demandée</t>
        </is>
      </c>
      <c r="H181" s="67" t="inlineStr">
        <is>
          <t>Approfondi</t>
        </is>
      </c>
      <c r="I181" s="68" t="inlineStr">
        <is>
          <t>—</t>
        </is>
      </c>
      <c r="J181" s="68" t="inlineStr">
        <is>
          <t>—</t>
        </is>
      </c>
      <c r="K181" s="67" t="inlineStr">
        <is>
          <t>●</t>
        </is>
      </c>
      <c r="L181" s="67" t="inlineStr">
        <is>
          <t>●</t>
        </is>
      </c>
      <c r="M181" s="67" t="inlineStr">
        <is>
          <t>●</t>
        </is>
      </c>
      <c r="N181" s="67" t="inlineStr">
        <is>
          <t>●</t>
        </is>
      </c>
      <c r="O181" s="67" t="inlineStr">
        <is>
          <t>●</t>
        </is>
      </c>
      <c r="P181" s="67" t="inlineStr">
        <is>
          <t>●</t>
        </is>
      </c>
      <c r="Q181" s="67" t="inlineStr">
        <is>
          <t>●</t>
        </is>
      </c>
      <c r="R181" s="67" t="inlineStr">
        <is>
          <t>●</t>
        </is>
      </c>
      <c r="S181" s="68" t="inlineStr">
        <is>
          <t>—</t>
        </is>
      </c>
      <c r="T181" s="68" t="inlineStr">
        <is>
          <t>—</t>
        </is>
      </c>
      <c r="U181" s="68" t="inlineStr">
        <is>
          <t>—</t>
        </is>
      </c>
      <c r="V181" s="68" t="inlineStr">
        <is>
          <t>Lue par l'IA pour adapter le conseil</t>
        </is>
      </c>
      <c r="W181" s="83" t="inlineStr">
        <is>
          <t>Nouveau : profils et condition proposés, à valider</t>
        </is>
      </c>
    </row>
    <row r="182" ht="23.85" customHeight="1" s="53">
      <c r="A182" s="92" t="inlineStr">
        <is>
          <t>ACQ-13.13</t>
        </is>
      </c>
      <c r="B182" s="67" t="inlineStr">
        <is>
          <t>ACQ-13</t>
        </is>
      </c>
      <c r="C182" s="95">
        <f>IFERROR(INDEX(Thèmes!$D$2:$D$190,MATCH(B182,Thèmes!$A$2:$A$190,0)),"")</f>
        <v/>
      </c>
      <c r="D182" s="68" t="inlineStr">
        <is>
          <t>A14 · Vos prix et remises</t>
        </is>
      </c>
      <c r="E182" s="68" t="inlineStr">
        <is>
          <t>Après votre dernière hausse de prix, quelle part de vos clients est partie à cause du prix ?</t>
        </is>
      </c>
      <c r="F182" s="68" t="inlineStr">
        <is>
          <t>Choix</t>
        </is>
      </c>
      <c r="G182" s="67" t="inlineStr">
        <is>
          <t>Demandée</t>
        </is>
      </c>
      <c r="H182" s="67" t="inlineStr">
        <is>
          <t>Approfondi</t>
        </is>
      </c>
      <c r="I182" s="68" t="inlineStr">
        <is>
          <t>—</t>
        </is>
      </c>
      <c r="J182" s="68" t="inlineStr">
        <is>
          <t>—</t>
        </is>
      </c>
      <c r="K182" s="67" t="inlineStr">
        <is>
          <t>●</t>
        </is>
      </c>
      <c r="L182" s="67" t="inlineStr">
        <is>
          <t>●</t>
        </is>
      </c>
      <c r="M182" s="67" t="inlineStr">
        <is>
          <t>●</t>
        </is>
      </c>
      <c r="N182" s="67" t="inlineStr">
        <is>
          <t>●</t>
        </is>
      </c>
      <c r="O182" s="67" t="inlineStr">
        <is>
          <t>●</t>
        </is>
      </c>
      <c r="P182" s="67" t="inlineStr">
        <is>
          <t>●</t>
        </is>
      </c>
      <c r="Q182" s="67" t="inlineStr">
        <is>
          <t>●</t>
        </is>
      </c>
      <c r="R182" s="67" t="inlineStr">
        <is>
          <t>●</t>
        </is>
      </c>
      <c r="S182" s="68" t="inlineStr">
        <is>
          <t>—</t>
        </is>
      </c>
      <c r="T182" s="68" t="inlineStr">
        <is>
          <t>—</t>
        </is>
      </c>
      <c r="U182" s="68" t="inlineStr">
        <is>
          <t>—</t>
        </is>
      </c>
      <c r="V182" s="68" t="inlineStr">
        <is>
          <t>Lue par l'IA pour adapter le conseil</t>
        </is>
      </c>
      <c r="W182" s="83" t="inlineStr">
        <is>
          <t>Nouveau : profils et condition proposés, à valider</t>
        </is>
      </c>
    </row>
    <row r="183" ht="35.05" customHeight="1" s="53">
      <c r="A183" s="92" t="inlineStr">
        <is>
          <t>ACQ-13.14</t>
        </is>
      </c>
      <c r="B183" s="67" t="inlineStr">
        <is>
          <t>ACQ-13</t>
        </is>
      </c>
      <c r="C183" s="95">
        <f>IFERROR(INDEX(Thèmes!$D$2:$D$190,MATCH(B183,Thèmes!$A$2:$A$190,0)),"")</f>
        <v/>
      </c>
      <c r="D183" s="68" t="inlineStr">
        <is>
          <t>A14 · Vos prix et remises</t>
        </is>
      </c>
      <c r="E183" s="68" t="inlineStr">
        <is>
          <t>Pour quelle raison principale vos clients vous choisissent-ils plutôt qu'un concurrent ?</t>
        </is>
      </c>
      <c r="F183" s="68" t="inlineStr">
        <is>
          <t>Choix</t>
        </is>
      </c>
      <c r="G183" s="67" t="inlineStr">
        <is>
          <t>Demandée</t>
        </is>
      </c>
      <c r="H183" s="67" t="inlineStr">
        <is>
          <t>Essentiel</t>
        </is>
      </c>
      <c r="I183" s="68" t="inlineStr">
        <is>
          <t>—</t>
        </is>
      </c>
      <c r="J183" s="68" t="inlineStr">
        <is>
          <t>—</t>
        </is>
      </c>
      <c r="K183" s="67" t="inlineStr">
        <is>
          <t>●</t>
        </is>
      </c>
      <c r="L183" s="67" t="inlineStr">
        <is>
          <t>●</t>
        </is>
      </c>
      <c r="M183" s="67" t="inlineStr">
        <is>
          <t>●</t>
        </is>
      </c>
      <c r="N183" s="67" t="inlineStr">
        <is>
          <t>●</t>
        </is>
      </c>
      <c r="O183" s="67" t="inlineStr">
        <is>
          <t>●</t>
        </is>
      </c>
      <c r="P183" s="67" t="inlineStr">
        <is>
          <t>●</t>
        </is>
      </c>
      <c r="Q183" s="67" t="inlineStr">
        <is>
          <t>●</t>
        </is>
      </c>
      <c r="R183" s="67" t="inlineStr">
        <is>
          <t>●</t>
        </is>
      </c>
      <c r="S183" s="68" t="inlineStr">
        <is>
          <t>—</t>
        </is>
      </c>
      <c r="T183" s="68" t="inlineStr">
        <is>
          <t>—</t>
        </is>
      </c>
      <c r="U183" s="68" t="inlineStr">
        <is>
          <t>—</t>
        </is>
      </c>
      <c r="V183" s="68" t="inlineStr">
        <is>
          <t>Lue par l'IA pour adapter le conseil</t>
        </is>
      </c>
      <c r="W183" s="83" t="inlineStr">
        <is>
          <t>Nouveau : profils et condition proposés, à valider</t>
        </is>
      </c>
    </row>
    <row r="184" ht="23.85" customHeight="1" s="53">
      <c r="A184" s="98" t="inlineStr">
        <is>
          <t>ACQ-14.01</t>
        </is>
      </c>
      <c r="B184" s="89" t="inlineStr">
        <is>
          <t>ACQ-14</t>
        </is>
      </c>
      <c r="C184" s="97">
        <f>IFERROR(INDEX(Thèmes!$D$2:$D$190,MATCH(B184,Thèmes!$A$2:$A$190,0)),"")</f>
        <v/>
      </c>
      <c r="D184" s="86" t="inlineStr">
        <is>
          <t>A14 · Vos prix et remises</t>
        </is>
      </c>
      <c r="E184" s="86" t="inlineStr">
        <is>
          <t>Part des ventes avec remise ou geste commercial — déclencheur D35</t>
        </is>
      </c>
      <c r="F184" s="86" t="inlineStr">
        <is>
          <t>%</t>
        </is>
      </c>
      <c r="G184" s="89" t="inlineStr">
        <is>
          <t>Demandée</t>
        </is>
      </c>
      <c r="H184" s="89" t="inlineStr">
        <is>
          <t>Essentiel</t>
        </is>
      </c>
      <c r="I184" s="86" t="inlineStr">
        <is>
          <t>—</t>
        </is>
      </c>
      <c r="J184" s="86" t="inlineStr">
        <is>
          <t>—</t>
        </is>
      </c>
      <c r="K184" s="89" t="inlineStr">
        <is>
          <t>●</t>
        </is>
      </c>
      <c r="L184" s="89" t="inlineStr">
        <is>
          <t>●</t>
        </is>
      </c>
      <c r="M184" s="89" t="inlineStr">
        <is>
          <t>●</t>
        </is>
      </c>
      <c r="N184" s="89" t="inlineStr">
        <is>
          <t>●</t>
        </is>
      </c>
      <c r="O184" s="89" t="inlineStr">
        <is>
          <t>●</t>
        </is>
      </c>
      <c r="P184" s="89" t="inlineStr">
        <is>
          <t>●</t>
        </is>
      </c>
      <c r="Q184" s="89" t="inlineStr">
        <is>
          <t>●</t>
        </is>
      </c>
      <c r="R184" s="89" t="inlineStr">
        <is>
          <t>●</t>
        </is>
      </c>
      <c r="S184" s="86" t="inlineStr">
        <is>
          <t>Perte</t>
        </is>
      </c>
      <c r="T184" s="86" t="inlineStr">
        <is>
          <t>—</t>
        </is>
      </c>
      <c r="U184" s="86" t="inlineStr">
        <is>
          <t>—</t>
        </is>
      </c>
      <c r="V184" s="86" t="inlineStr">
        <is>
          <t>ACQ-14.05</t>
        </is>
      </c>
      <c r="W184" s="91" t="inlineStr">
        <is>
          <t>Libellé (« Donnée »)</t>
        </is>
      </c>
    </row>
    <row r="185" ht="35.05" customHeight="1" s="53">
      <c r="A185" s="94" t="inlineStr">
        <is>
          <t>ACQ-14.02</t>
        </is>
      </c>
      <c r="B185" s="67" t="inlineStr">
        <is>
          <t>ACQ-14</t>
        </is>
      </c>
      <c r="C185" s="95">
        <f>IFERROR(INDEX(Thèmes!$D$2:$D$190,MATCH(B185,Thèmes!$A$2:$A$190,0)),"")</f>
        <v/>
      </c>
      <c r="D185" s="68" t="inlineStr">
        <is>
          <t>A14 · Vos prix et remises</t>
        </is>
      </c>
      <c r="E185" s="68" t="inlineStr">
        <is>
          <t>Remise moyenne accordée</t>
        </is>
      </c>
      <c r="F185" s="68" t="inlineStr">
        <is>
          <t>%</t>
        </is>
      </c>
      <c r="G185" s="67" t="inlineStr">
        <is>
          <t>Demandée</t>
        </is>
      </c>
      <c r="H185" s="67" t="inlineStr">
        <is>
          <t>Essentiel</t>
        </is>
      </c>
      <c r="I185" s="99" t="inlineStr">
        <is>
          <t>D35 · si vous accordez des remises</t>
        </is>
      </c>
      <c r="J185" s="68" t="inlineStr">
        <is>
          <t>—</t>
        </is>
      </c>
      <c r="K185" s="67" t="inlineStr">
        <is>
          <t>●</t>
        </is>
      </c>
      <c r="L185" s="67" t="inlineStr">
        <is>
          <t>●</t>
        </is>
      </c>
      <c r="M185" s="67" t="inlineStr">
        <is>
          <t>●</t>
        </is>
      </c>
      <c r="N185" s="67" t="inlineStr">
        <is>
          <t>●</t>
        </is>
      </c>
      <c r="O185" s="67" t="inlineStr">
        <is>
          <t>●</t>
        </is>
      </c>
      <c r="P185" s="67" t="inlineStr">
        <is>
          <t>●</t>
        </is>
      </c>
      <c r="Q185" s="67" t="inlineStr">
        <is>
          <t>●</t>
        </is>
      </c>
      <c r="R185" s="67" t="inlineStr">
        <is>
          <t>●</t>
        </is>
      </c>
      <c r="S185" s="68" t="inlineStr">
        <is>
          <t>Perte</t>
        </is>
      </c>
      <c r="T185" s="68" t="inlineStr">
        <is>
          <t>—</t>
        </is>
      </c>
      <c r="U185" s="68" t="inlineStr">
        <is>
          <t>—</t>
        </is>
      </c>
      <c r="V185" s="68" t="inlineStr">
        <is>
          <t>ACQ-14.05</t>
        </is>
      </c>
      <c r="W185" s="83" t="inlineStr">
        <is>
          <t>Condition d'affichage</t>
        </is>
      </c>
    </row>
    <row r="186" ht="35.05" customHeight="1" s="53">
      <c r="A186" s="81" t="inlineStr">
        <is>
          <t>ACQ-14.03</t>
        </is>
      </c>
      <c r="B186" s="67" t="inlineStr">
        <is>
          <t>ACQ-14</t>
        </is>
      </c>
      <c r="C186" s="95">
        <f>IFERROR(INDEX(Thèmes!$D$2:$D$190,MATCH(B186,Thèmes!$A$2:$A$190,0)),"")</f>
        <v/>
      </c>
      <c r="D186" s="68" t="inlineStr">
        <is>
          <t>A14 · Vos prix et remises</t>
        </is>
      </c>
      <c r="E186" s="68" t="inlineStr">
        <is>
          <t>Part du CA réalisée en promotion ou en soldes</t>
        </is>
      </c>
      <c r="F186" s="68" t="inlineStr">
        <is>
          <t>%</t>
        </is>
      </c>
      <c r="G186" s="67" t="inlineStr">
        <is>
          <t>Demandée</t>
        </is>
      </c>
      <c r="H186" s="67" t="inlineStr">
        <is>
          <t>Approfondi</t>
        </is>
      </c>
      <c r="I186" s="68" t="inlineStr">
        <is>
          <t>—</t>
        </is>
      </c>
      <c r="J186" s="68" t="inlineStr">
        <is>
          <t>—</t>
        </is>
      </c>
      <c r="K186" s="67" t="n"/>
      <c r="L186" s="67" t="inlineStr">
        <is>
          <t>●</t>
        </is>
      </c>
      <c r="M186" s="67" t="inlineStr">
        <is>
          <t>●</t>
        </is>
      </c>
      <c r="N186" s="67" t="n"/>
      <c r="O186" s="67" t="n"/>
      <c r="P186" s="67" t="n"/>
      <c r="Q186" s="67" t="n"/>
      <c r="R186" s="67" t="n"/>
      <c r="S186" s="68" t="inlineStr">
        <is>
          <t>Perte</t>
        </is>
      </c>
      <c r="T186" s="68" t="inlineStr">
        <is>
          <t>—</t>
        </is>
      </c>
      <c r="U186" s="68" t="inlineStr">
        <is>
          <t>—</t>
        </is>
      </c>
      <c r="V186" s="68" t="inlineStr">
        <is>
          <t>ACQ-14.05</t>
        </is>
      </c>
      <c r="W186" s="83" t="n"/>
    </row>
    <row r="187" ht="23.85" customHeight="1" s="53">
      <c r="A187" s="94" t="inlineStr">
        <is>
          <t>ACQ-14.04</t>
        </is>
      </c>
      <c r="B187" s="67" t="inlineStr">
        <is>
          <t>ACQ-14</t>
        </is>
      </c>
      <c r="C187" s="95">
        <f>IFERROR(INDEX(Thèmes!$D$2:$D$190,MATCH(B187,Thèmes!$A$2:$A$190,0)),"")</f>
        <v/>
      </c>
      <c r="D187" s="68" t="inlineStr">
        <is>
          <t>A14 · Vos prix et remises</t>
        </is>
      </c>
      <c r="E187" s="68" t="inlineStr">
        <is>
          <t>Contrepartie demandée en échange d'une remise : volume, paiement comptant, engagement</t>
        </is>
      </c>
      <c r="F187" s="68" t="inlineStr">
        <is>
          <t>Toujours / parfois / jamais</t>
        </is>
      </c>
      <c r="G187" s="67" t="inlineStr">
        <is>
          <t>Demandée</t>
        </is>
      </c>
      <c r="H187" s="67" t="inlineStr">
        <is>
          <t>Approfondi</t>
        </is>
      </c>
      <c r="I187" s="99" t="inlineStr">
        <is>
          <t>D35 · si vous accordez des remises</t>
        </is>
      </c>
      <c r="J187" s="68" t="inlineStr">
        <is>
          <t>—</t>
        </is>
      </c>
      <c r="K187" s="67" t="n"/>
      <c r="L187" s="67" t="n"/>
      <c r="M187" s="67" t="n"/>
      <c r="N187" s="67" t="n"/>
      <c r="O187" s="67" t="inlineStr">
        <is>
          <t>●</t>
        </is>
      </c>
      <c r="P187" s="67" t="inlineStr">
        <is>
          <t>●</t>
        </is>
      </c>
      <c r="Q187" s="67" t="inlineStr">
        <is>
          <t>●</t>
        </is>
      </c>
      <c r="R187" s="67" t="n"/>
      <c r="S187" s="68" t="inlineStr">
        <is>
          <t>Levier</t>
        </is>
      </c>
      <c r="T187" s="68" t="inlineStr">
        <is>
          <t>—</t>
        </is>
      </c>
      <c r="U187" s="68" t="inlineStr">
        <is>
          <t>—</t>
        </is>
      </c>
      <c r="V187" s="68" t="inlineStr">
        <is>
          <t>Notée directement (couleur du thème)</t>
        </is>
      </c>
      <c r="W187" s="83" t="inlineStr">
        <is>
          <t>Condition d'affichage</t>
        </is>
      </c>
    </row>
    <row r="188" ht="35.05" customHeight="1" s="53">
      <c r="A188" s="81" t="inlineStr">
        <is>
          <t>ACQ-14.05</t>
        </is>
      </c>
      <c r="B188" s="67" t="inlineStr">
        <is>
          <t>ACQ-14</t>
        </is>
      </c>
      <c r="C188" s="95">
        <f>IFERROR(INDEX(Thèmes!$D$2:$D$190,MATCH(B188,Thèmes!$A$2:$A$190,0)),"")</f>
        <v/>
      </c>
      <c r="D188" s="68" t="inlineStr">
        <is>
          <t>—</t>
        </is>
      </c>
      <c r="E188" s="68" t="inlineStr">
        <is>
          <t>Coût des remises sur 12 mois</t>
        </is>
      </c>
      <c r="F188" s="68" t="inlineStr">
        <is>
          <t>€</t>
        </is>
      </c>
      <c r="G188" s="96" t="inlineStr">
        <is>
          <t>Calculée</t>
        </is>
      </c>
      <c r="H188" s="67" t="inlineStr">
        <is>
          <t>—</t>
        </is>
      </c>
      <c r="I188" s="68" t="inlineStr">
        <is>
          <t>—</t>
        </is>
      </c>
      <c r="J188" s="68" t="inlineStr">
        <is>
          <t>—</t>
        </is>
      </c>
      <c r="K188" s="67" t="inlineStr">
        <is>
          <t>●</t>
        </is>
      </c>
      <c r="L188" s="67" t="inlineStr">
        <is>
          <t>●</t>
        </is>
      </c>
      <c r="M188" s="67" t="inlineStr">
        <is>
          <t>●</t>
        </is>
      </c>
      <c r="N188" s="67" t="inlineStr">
        <is>
          <t>●</t>
        </is>
      </c>
      <c r="O188" s="67" t="inlineStr">
        <is>
          <t>●</t>
        </is>
      </c>
      <c r="P188" s="67" t="inlineStr">
        <is>
          <t>●</t>
        </is>
      </c>
      <c r="Q188" s="67" t="inlineStr">
        <is>
          <t>●</t>
        </is>
      </c>
      <c r="R188" s="67" t="n"/>
      <c r="S188" s="68" t="inlineStr">
        <is>
          <t>Perte</t>
        </is>
      </c>
      <c r="T188" s="68" t="inlineStr">
        <is>
          <t>CA mensuel × 12 × part des ventes remisées × remise moyenne (commerce et e-commerce : + CA en promotion)</t>
        </is>
      </c>
      <c r="U188" s="68" t="inlineStr">
        <is>
          <t>Inscription · CA mensuel, ACQ-14.01, ACQ-14.02, ACQ-14.03</t>
        </is>
      </c>
      <c r="V188" s="68" t="inlineStr">
        <is>
          <t>XA20</t>
        </is>
      </c>
      <c r="W188" s="83" t="n"/>
    </row>
    <row r="189" ht="113.4" customHeight="1" s="53">
      <c r="A189" s="98" t="inlineStr">
        <is>
          <t>ACQ-15.01</t>
        </is>
      </c>
      <c r="B189" s="89" t="inlineStr">
        <is>
          <t>ACQ-15</t>
        </is>
      </c>
      <c r="C189" s="97">
        <f>IFERROR(INDEX(Thèmes!$D$2:$D$190,MATCH(B189,Thèmes!$A$2:$A$190,0)),"")</f>
        <v/>
      </c>
      <c r="D189" s="86" t="inlineStr">
        <is>
          <t>A15 · Votre panier</t>
        </is>
      </c>
      <c r="E189" s="86" t="inlineStr">
        <is>
          <t>Vente complémentaire proposée à chaque client — déclencheur D32</t>
        </is>
      </c>
      <c r="F189" s="86" t="inlineStr">
        <is>
          <t>Toujours / parfois / jamais</t>
        </is>
      </c>
      <c r="G189" s="89" t="inlineStr">
        <is>
          <t>Demandée</t>
        </is>
      </c>
      <c r="H189" s="89" t="inlineStr">
        <is>
          <t>Essentiel</t>
        </is>
      </c>
      <c r="I189" s="86" t="inlineStr">
        <is>
          <t>—</t>
        </is>
      </c>
      <c r="J189" s="86" t="inlineStr">
        <is>
          <t>—</t>
        </is>
      </c>
      <c r="K189" s="89" t="inlineStr">
        <is>
          <t>●</t>
        </is>
      </c>
      <c r="L189" s="89" t="inlineStr">
        <is>
          <t>●</t>
        </is>
      </c>
      <c r="M189" s="89" t="inlineStr">
        <is>
          <t>●</t>
        </is>
      </c>
      <c r="N189" s="89" t="inlineStr">
        <is>
          <t>●</t>
        </is>
      </c>
      <c r="O189" s="89" t="inlineStr">
        <is>
          <t>●</t>
        </is>
      </c>
      <c r="P189" s="89" t="inlineStr">
        <is>
          <t>●</t>
        </is>
      </c>
      <c r="Q189" s="89" t="inlineStr">
        <is>
          <t>●</t>
        </is>
      </c>
      <c r="R189" s="89" t="inlineStr">
        <is>
          <t>●</t>
        </is>
      </c>
      <c r="S189" s="86" t="inlineStr">
        <is>
          <t>Levier</t>
        </is>
      </c>
      <c r="T189" s="86" t="inlineStr">
        <is>
          <t>—</t>
        </is>
      </c>
      <c r="U189" s="86" t="inlineStr">
        <is>
          <t>—</t>
        </is>
      </c>
      <c r="V189" s="86" t="inlineStr">
        <is>
          <t>Notée directement (couleur du thème)</t>
        </is>
      </c>
      <c r="W189" s="91" t="inlineStr">
        <is>
          <t>Libellé (« Donnée »)</t>
        </is>
      </c>
    </row>
    <row r="190" ht="23.85" customHeight="1" s="53">
      <c r="A190" s="94" t="inlineStr">
        <is>
          <t>ACQ-15.02</t>
        </is>
      </c>
      <c r="B190" s="67" t="inlineStr">
        <is>
          <t>ACQ-15</t>
        </is>
      </c>
      <c r="C190" s="95">
        <f>IFERROR(INDEX(Thèmes!$D$2:$D$190,MATCH(B190,Thèmes!$A$2:$A$190,0)),"")</f>
        <v/>
      </c>
      <c r="D190" s="68" t="inlineStr">
        <is>
          <t>A15 · Votre panier</t>
        </is>
      </c>
      <c r="E190" s="68" t="inlineStr">
        <is>
          <t>Part des clients qui achètent un complément</t>
        </is>
      </c>
      <c r="F190" s="68" t="inlineStr">
        <is>
          <t>%</t>
        </is>
      </c>
      <c r="G190" s="67" t="inlineStr">
        <is>
          <t>Demandée</t>
        </is>
      </c>
      <c r="H190" s="67" t="inlineStr">
        <is>
          <t>Essentiel</t>
        </is>
      </c>
      <c r="I190" s="99" t="inlineStr">
        <is>
          <t>D32 · si vous proposez un produit ou un service en plus</t>
        </is>
      </c>
      <c r="J190" s="68" t="inlineStr">
        <is>
          <t>—</t>
        </is>
      </c>
      <c r="K190" s="67" t="inlineStr">
        <is>
          <t>●</t>
        </is>
      </c>
      <c r="L190" s="67" t="inlineStr">
        <is>
          <t>●</t>
        </is>
      </c>
      <c r="M190" s="67" t="inlineStr">
        <is>
          <t>●</t>
        </is>
      </c>
      <c r="N190" s="67" t="inlineStr">
        <is>
          <t>●</t>
        </is>
      </c>
      <c r="O190" s="67" t="inlineStr">
        <is>
          <t>●</t>
        </is>
      </c>
      <c r="P190" s="67" t="inlineStr">
        <is>
          <t>●</t>
        </is>
      </c>
      <c r="Q190" s="67" t="inlineStr">
        <is>
          <t>●</t>
        </is>
      </c>
      <c r="R190" s="67" t="inlineStr">
        <is>
          <t>●</t>
        </is>
      </c>
      <c r="S190" s="68" t="inlineStr">
        <is>
          <t>Levier</t>
        </is>
      </c>
      <c r="T190" s="68" t="inlineStr">
        <is>
          <t>—</t>
        </is>
      </c>
      <c r="U190" s="68" t="inlineStr">
        <is>
          <t>—</t>
        </is>
      </c>
      <c r="V190" s="68" t="inlineStr">
        <is>
          <t>ACQ-15.08</t>
        </is>
      </c>
      <c r="W190" s="83" t="inlineStr">
        <is>
          <t>Condition d'affichage</t>
        </is>
      </c>
    </row>
    <row r="191" ht="23.85" customHeight="1" s="53">
      <c r="A191" s="94" t="inlineStr">
        <is>
          <t>ACQ-15.03</t>
        </is>
      </c>
      <c r="B191" s="67" t="inlineStr">
        <is>
          <t>ACQ-15</t>
        </is>
      </c>
      <c r="C191" s="95">
        <f>IFERROR(INDEX(Thèmes!$D$2:$D$190,MATCH(B191,Thèmes!$A$2:$A$190,0)),"")</f>
        <v/>
      </c>
      <c r="D191" s="68" t="inlineStr">
        <is>
          <t>A15 · Votre panier</t>
        </is>
      </c>
      <c r="E191" s="68" t="inlineStr">
        <is>
          <t>Montant moyen du complément</t>
        </is>
      </c>
      <c r="F191" s="68" t="inlineStr">
        <is>
          <t>€</t>
        </is>
      </c>
      <c r="G191" s="67" t="inlineStr">
        <is>
          <t>Demandée</t>
        </is>
      </c>
      <c r="H191" s="67" t="inlineStr">
        <is>
          <t>Essentiel</t>
        </is>
      </c>
      <c r="I191" s="99" t="inlineStr">
        <is>
          <t>D32 · si vous proposez un produit ou un service en plus</t>
        </is>
      </c>
      <c r="J191" s="68" t="inlineStr">
        <is>
          <t>—</t>
        </is>
      </c>
      <c r="K191" s="67" t="inlineStr">
        <is>
          <t>●</t>
        </is>
      </c>
      <c r="L191" s="67" t="inlineStr">
        <is>
          <t>●</t>
        </is>
      </c>
      <c r="M191" s="67" t="inlineStr">
        <is>
          <t>●</t>
        </is>
      </c>
      <c r="N191" s="67" t="inlineStr">
        <is>
          <t>●</t>
        </is>
      </c>
      <c r="O191" s="67" t="inlineStr">
        <is>
          <t>●</t>
        </is>
      </c>
      <c r="P191" s="67" t="inlineStr">
        <is>
          <t>●</t>
        </is>
      </c>
      <c r="Q191" s="67" t="inlineStr">
        <is>
          <t>●</t>
        </is>
      </c>
      <c r="R191" s="67" t="inlineStr">
        <is>
          <t>●</t>
        </is>
      </c>
      <c r="S191" s="68" t="inlineStr">
        <is>
          <t>Potentiel CA</t>
        </is>
      </c>
      <c r="T191" s="68" t="inlineStr">
        <is>
          <t>—</t>
        </is>
      </c>
      <c r="U191" s="68" t="inlineStr">
        <is>
          <t>—</t>
        </is>
      </c>
      <c r="V191" s="68" t="inlineStr">
        <is>
          <t>ACQ-15.08</t>
        </is>
      </c>
      <c r="W191" s="83" t="inlineStr">
        <is>
          <t>Condition d'affichage</t>
        </is>
      </c>
    </row>
    <row r="192" ht="15" customHeight="1" s="53">
      <c r="A192" s="94" t="inlineStr">
        <is>
          <t>ACQ-15.04</t>
        </is>
      </c>
      <c r="B192" s="67" t="inlineStr">
        <is>
          <t>ACQ-15</t>
        </is>
      </c>
      <c r="C192" s="95">
        <f>IFERROR(INDEX(Thèmes!$D$2:$D$190,MATCH(B192,Thèmes!$A$2:$A$190,0)),"")</f>
        <v/>
      </c>
      <c r="D192" s="68" t="inlineStr">
        <is>
          <t>A15 · Votre panier</t>
        </is>
      </c>
      <c r="E192" s="68" t="inlineStr">
        <is>
          <t>Offre haut de gamme — déclencheur D34</t>
        </is>
      </c>
      <c r="F192" s="68" t="inlineStr">
        <is>
          <t>Oui / non + %</t>
        </is>
      </c>
      <c r="G192" s="67" t="inlineStr">
        <is>
          <t>Demandée</t>
        </is>
      </c>
      <c r="H192" s="67" t="inlineStr">
        <is>
          <t>Approfondi</t>
        </is>
      </c>
      <c r="I192" s="68" t="inlineStr">
        <is>
          <t>—</t>
        </is>
      </c>
      <c r="J192" s="68" t="inlineStr">
        <is>
          <t>—</t>
        </is>
      </c>
      <c r="K192" s="67" t="inlineStr">
        <is>
          <t>●</t>
        </is>
      </c>
      <c r="L192" s="67" t="inlineStr">
        <is>
          <t>●</t>
        </is>
      </c>
      <c r="M192" s="67" t="inlineStr">
        <is>
          <t>●</t>
        </is>
      </c>
      <c r="N192" s="67" t="inlineStr">
        <is>
          <t>●</t>
        </is>
      </c>
      <c r="O192" s="67" t="inlineStr">
        <is>
          <t>●</t>
        </is>
      </c>
      <c r="P192" s="67" t="inlineStr">
        <is>
          <t>●</t>
        </is>
      </c>
      <c r="Q192" s="67" t="inlineStr">
        <is>
          <t>●</t>
        </is>
      </c>
      <c r="R192" s="67" t="inlineStr">
        <is>
          <t>●</t>
        </is>
      </c>
      <c r="S192" s="68" t="inlineStr">
        <is>
          <t>Opportunité</t>
        </is>
      </c>
      <c r="T192" s="68" t="inlineStr">
        <is>
          <t>—</t>
        </is>
      </c>
      <c r="U192" s="68" t="inlineStr">
        <is>
          <t>—</t>
        </is>
      </c>
      <c r="V192" s="68" t="inlineStr">
        <is>
          <t>Lue par l'IA pour adapter le conseil</t>
        </is>
      </c>
      <c r="W192" s="83" t="inlineStr">
        <is>
          <t>Libellé (« Donnée »)</t>
        </is>
      </c>
    </row>
    <row r="193" ht="23.85" customHeight="1" s="53">
      <c r="A193" s="94" t="inlineStr">
        <is>
          <t>ACQ-15.05</t>
        </is>
      </c>
      <c r="B193" s="67" t="inlineStr">
        <is>
          <t>ACQ-15</t>
        </is>
      </c>
      <c r="C193" s="95">
        <f>IFERROR(INDEX(Thèmes!$D$2:$D$190,MATCH(B193,Thèmes!$A$2:$A$190,0)),"")</f>
        <v/>
      </c>
      <c r="D193" s="68" t="inlineStr">
        <is>
          <t>A15 · Votre panier</t>
        </is>
      </c>
      <c r="E193" s="68" t="inlineStr">
        <is>
          <t>Articles par ticket ou par commande</t>
        </is>
      </c>
      <c r="F193" s="68" t="inlineStr">
        <is>
          <t>Nombre</t>
        </is>
      </c>
      <c r="G193" s="67" t="inlineStr">
        <is>
          <t>Demandée</t>
        </is>
      </c>
      <c r="H193" s="67" t="inlineStr">
        <is>
          <t>Approfondi</t>
        </is>
      </c>
      <c r="I193" s="68" t="inlineStr">
        <is>
          <t>—</t>
        </is>
      </c>
      <c r="J193" s="68" t="inlineStr">
        <is>
          <t>—</t>
        </is>
      </c>
      <c r="K193" s="67" t="n"/>
      <c r="L193" s="67" t="inlineStr">
        <is>
          <t>●</t>
        </is>
      </c>
      <c r="M193" s="67" t="inlineStr">
        <is>
          <t>●</t>
        </is>
      </c>
      <c r="N193" s="67" t="n"/>
      <c r="O193" s="67" t="n"/>
      <c r="P193" s="67" t="n"/>
      <c r="Q193" s="67" t="n"/>
      <c r="R193" s="67" t="n"/>
      <c r="S193" s="68" t="inlineStr">
        <is>
          <t>Levier</t>
        </is>
      </c>
      <c r="T193" s="68" t="inlineStr">
        <is>
          <t>Saisie par le dirigeant tant qu'aucune connexion n'existe. Quand la connexion existera : Lu dans la caisse ou la boutique en ligne</t>
        </is>
      </c>
      <c r="U193" s="68" t="inlineStr">
        <is>
          <t>—</t>
        </is>
      </c>
      <c r="V193" s="68" t="inlineStr">
        <is>
          <t>Lue par l'IA pour adapter le conseil</t>
        </is>
      </c>
      <c r="W193" s="83" t="inlineStr">
        <is>
          <t>Mode : Importée → Demandée (le dirigeant la saisit)</t>
        </is>
      </c>
    </row>
    <row r="194" ht="23.85" customHeight="1" s="53">
      <c r="A194" s="81" t="inlineStr">
        <is>
          <t>ACQ-15.06</t>
        </is>
      </c>
      <c r="B194" s="67" t="inlineStr">
        <is>
          <t>ACQ-15</t>
        </is>
      </c>
      <c r="C194" s="95">
        <f>IFERROR(INDEX(Thèmes!$D$2:$D$190,MATCH(B194,Thèmes!$A$2:$A$190,0)),"")</f>
        <v/>
      </c>
      <c r="D194" s="68" t="inlineStr">
        <is>
          <t>—</t>
        </is>
      </c>
      <c r="E194" s="68" t="inlineStr">
        <is>
          <t>Panier moyen global</t>
        </is>
      </c>
      <c r="F194" s="68" t="inlineStr">
        <is>
          <t>€</t>
        </is>
      </c>
      <c r="G194" s="96" t="inlineStr">
        <is>
          <t>Calculée</t>
        </is>
      </c>
      <c r="H194" s="67" t="inlineStr">
        <is>
          <t>—</t>
        </is>
      </c>
      <c r="I194" s="68" t="inlineStr">
        <is>
          <t>—</t>
        </is>
      </c>
      <c r="J194" s="68" t="inlineStr">
        <is>
          <t>—</t>
        </is>
      </c>
      <c r="K194" s="67" t="inlineStr">
        <is>
          <t>●</t>
        </is>
      </c>
      <c r="L194" s="67" t="inlineStr">
        <is>
          <t>●</t>
        </is>
      </c>
      <c r="M194" s="67" t="inlineStr">
        <is>
          <t>●</t>
        </is>
      </c>
      <c r="N194" s="67" t="inlineStr">
        <is>
          <t>●</t>
        </is>
      </c>
      <c r="O194" s="67" t="inlineStr">
        <is>
          <t>●</t>
        </is>
      </c>
      <c r="P194" s="67" t="inlineStr">
        <is>
          <t>●</t>
        </is>
      </c>
      <c r="Q194" s="67" t="inlineStr">
        <is>
          <t>●</t>
        </is>
      </c>
      <c r="R194" s="67" t="n"/>
      <c r="S194" s="68" t="inlineStr">
        <is>
          <t>Mesure</t>
        </is>
      </c>
      <c r="T194" s="68" t="inlineStr">
        <is>
          <t>CA mensuel ÷ ventes du mois (dossiers, tickets, couverts ou commandes selon le métier ; abonnement : revenu moyen par abonné)</t>
        </is>
      </c>
      <c r="U194" s="68" t="inlineStr">
        <is>
          <t>Inscription · CA mensuel, ACQ-21.02, ACQ-11.06, ACQ-11.07, ACQ-11.14, ACQ-17.23</t>
        </is>
      </c>
      <c r="V194" s="68" t="inlineStr">
        <is>
          <t>ACQ-02.09, ACQ-11.30, ACQ-15.07, ACQ-17.18, ACQ-17.19, ACQ-17.20, ACQ-17.21, ACQ-21.14, ACQ-22.13, COM-13.07, COM-15.11, COM-21.07, COM-23.06, FIN-05.14, FIN-19.04, FIN-41.03, RH-07.06, XA03, XA08, XA09, XA11, XA38, XA39, XF48, XF50, XR10</t>
        </is>
      </c>
      <c r="W194" s="83" t="n"/>
    </row>
    <row r="195" ht="35.05" customHeight="1" s="53">
      <c r="A195" s="81" t="inlineStr">
        <is>
          <t>ACQ-15.07</t>
        </is>
      </c>
      <c r="B195" s="67" t="inlineStr">
        <is>
          <t>ACQ-15</t>
        </is>
      </c>
      <c r="C195" s="95">
        <f>IFERROR(INDEX(Thèmes!$D$2:$D$190,MATCH(B195,Thèmes!$A$2:$A$190,0)),"")</f>
        <v/>
      </c>
      <c r="D195" s="68" t="inlineStr">
        <is>
          <t>—</t>
        </is>
      </c>
      <c r="E195" s="68" t="inlineStr">
        <is>
          <t>Évolution du panier sur 12 mois</t>
        </is>
      </c>
      <c r="F195" s="68" t="inlineStr">
        <is>
          <t>%</t>
        </is>
      </c>
      <c r="G195" s="96" t="inlineStr">
        <is>
          <t>Calculée</t>
        </is>
      </c>
      <c r="H195" s="67" t="inlineStr">
        <is>
          <t>—</t>
        </is>
      </c>
      <c r="I195" s="68" t="inlineStr">
        <is>
          <t>—</t>
        </is>
      </c>
      <c r="J195" s="68" t="inlineStr">
        <is>
          <t>—</t>
        </is>
      </c>
      <c r="K195" s="67" t="inlineStr">
        <is>
          <t>●</t>
        </is>
      </c>
      <c r="L195" s="67" t="inlineStr">
        <is>
          <t>●</t>
        </is>
      </c>
      <c r="M195" s="67" t="inlineStr">
        <is>
          <t>●</t>
        </is>
      </c>
      <c r="N195" s="67" t="inlineStr">
        <is>
          <t>●</t>
        </is>
      </c>
      <c r="O195" s="67" t="inlineStr">
        <is>
          <t>●</t>
        </is>
      </c>
      <c r="P195" s="67" t="inlineStr">
        <is>
          <t>●</t>
        </is>
      </c>
      <c r="Q195" s="67" t="inlineStr">
        <is>
          <t>●</t>
        </is>
      </c>
      <c r="R195" s="67" t="n"/>
      <c r="S195" s="68" t="inlineStr">
        <is>
          <t>Problème</t>
        </is>
      </c>
      <c r="T195" s="68" t="inlineStr">
        <is>
          <t>(CA des 12 derniers mois ÷ ventes des 12 derniers mois) comparé à (CA des 12 mois précédents ÷ ventes des 12 mois précédents). Avant : panier actuel comparé à un seul mois, 11 mois plus tôt.</t>
        </is>
      </c>
      <c r="U195" s="68" t="inlineStr">
        <is>
          <t>ACQ-23.01, ACQ-23.04, ACQ-23.03, ACQ-23.12, ACQ-23.13</t>
        </is>
      </c>
      <c r="V195" s="68" t="inlineStr">
        <is>
          <t>XA30</t>
        </is>
      </c>
      <c r="W195" s="83" t="n"/>
    </row>
    <row r="196" ht="35.05" customHeight="1" s="53">
      <c r="A196" s="81" t="inlineStr">
        <is>
          <t>ACQ-15.08</t>
        </is>
      </c>
      <c r="B196" s="67" t="inlineStr">
        <is>
          <t>ACQ-15</t>
        </is>
      </c>
      <c r="C196" s="95">
        <f>IFERROR(INDEX(Thèmes!$D$2:$D$190,MATCH(B196,Thèmes!$A$2:$A$190,0)),"")</f>
        <v/>
      </c>
      <c r="D196" s="68" t="inlineStr">
        <is>
          <t>—</t>
        </is>
      </c>
      <c r="E196" s="68" t="inlineStr">
        <is>
          <t>Potentiel des ventes complémentaires</t>
        </is>
      </c>
      <c r="F196" s="68" t="inlineStr">
        <is>
          <t>€</t>
        </is>
      </c>
      <c r="G196" s="96" t="inlineStr">
        <is>
          <t>Calculée</t>
        </is>
      </c>
      <c r="H196" s="67" t="inlineStr">
        <is>
          <t>—</t>
        </is>
      </c>
      <c r="I196" s="68" t="inlineStr">
        <is>
          <t>—</t>
        </is>
      </c>
      <c r="J196" s="68" t="inlineStr">
        <is>
          <t>—</t>
        </is>
      </c>
      <c r="K196" s="67" t="inlineStr">
        <is>
          <t>●</t>
        </is>
      </c>
      <c r="L196" s="67" t="inlineStr">
        <is>
          <t>●</t>
        </is>
      </c>
      <c r="M196" s="67" t="inlineStr">
        <is>
          <t>●</t>
        </is>
      </c>
      <c r="N196" s="67" t="inlineStr">
        <is>
          <t>●</t>
        </is>
      </c>
      <c r="O196" s="67" t="inlineStr">
        <is>
          <t>●</t>
        </is>
      </c>
      <c r="P196" s="67" t="inlineStr">
        <is>
          <t>●</t>
        </is>
      </c>
      <c r="Q196" s="67" t="inlineStr">
        <is>
          <t>●</t>
        </is>
      </c>
      <c r="R196" s="67" t="n"/>
      <c r="S196" s="68" t="inlineStr">
        <is>
          <t>Potentiel CA</t>
        </is>
      </c>
      <c r="T196" s="68" t="inlineStr">
        <is>
          <t>Ventes sans complément × part d'acceptation prudente × montant du complément × 12</t>
        </is>
      </c>
      <c r="U196" s="68" t="inlineStr">
        <is>
          <t>ACQ-21.02, ACQ-15.02, ACQ-15.03</t>
        </is>
      </c>
      <c r="V196" s="68" t="inlineStr">
        <is>
          <t>XA19</t>
        </is>
      </c>
      <c r="W196" s="83" t="n"/>
    </row>
    <row r="197" ht="35.05" customHeight="1" s="53">
      <c r="A197" s="92" t="inlineStr">
        <is>
          <t>ACQ-15.09</t>
        </is>
      </c>
      <c r="B197" s="67" t="inlineStr">
        <is>
          <t>ACQ-15</t>
        </is>
      </c>
      <c r="C197" s="95">
        <f>IFERROR(INDEX(Thèmes!$D$2:$D$190,MATCH(B197,Thèmes!$A$2:$A$190,0)),"")</f>
        <v/>
      </c>
      <c r="D197" s="68" t="inlineStr">
        <is>
          <t>—</t>
        </is>
      </c>
      <c r="E197" s="68" t="inlineStr">
        <is>
          <t>Paiement en plusieurs fois proposé — déclencheur D33</t>
        </is>
      </c>
      <c r="F197" s="68" t="inlineStr">
        <is>
          <t>Oui / non</t>
        </is>
      </c>
      <c r="G197" s="67" t="inlineStr">
        <is>
          <t>Demandée</t>
        </is>
      </c>
      <c r="H197" s="67" t="inlineStr">
        <is>
          <t>Approfondi</t>
        </is>
      </c>
      <c r="I197" s="68" t="inlineStr">
        <is>
          <t>—</t>
        </is>
      </c>
      <c r="J197" s="68" t="inlineStr">
        <is>
          <t>—</t>
        </is>
      </c>
      <c r="K197" s="67" t="n"/>
      <c r="L197" s="67" t="inlineStr">
        <is>
          <t>●</t>
        </is>
      </c>
      <c r="M197" s="67" t="inlineStr">
        <is>
          <t>●</t>
        </is>
      </c>
      <c r="N197" s="67" t="n"/>
      <c r="O197" s="67" t="inlineStr">
        <is>
          <t>●</t>
        </is>
      </c>
      <c r="P197" s="67" t="inlineStr">
        <is>
          <t>●</t>
        </is>
      </c>
      <c r="Q197" s="67" t="n"/>
      <c r="R197" s="67" t="n"/>
      <c r="S197" s="68" t="inlineStr">
        <is>
          <t>—</t>
        </is>
      </c>
      <c r="T197" s="68" t="inlineStr">
        <is>
          <t>—</t>
        </is>
      </c>
      <c r="U197" s="68" t="inlineStr">
        <is>
          <t>—</t>
        </is>
      </c>
      <c r="V197" s="68" t="inlineStr">
        <is>
          <t>—</t>
        </is>
      </c>
      <c r="W197" s="83" t="inlineStr">
        <is>
          <t>Nouveau</t>
        </is>
      </c>
    </row>
    <row r="198" ht="35.05" customHeight="1" s="53">
      <c r="A198" s="92" t="inlineStr">
        <is>
          <t>ACQ-15.10</t>
        </is>
      </c>
      <c r="B198" s="67" t="inlineStr">
        <is>
          <t>ACQ-15</t>
        </is>
      </c>
      <c r="C198" s="95">
        <f>IFERROR(INDEX(Thèmes!$D$2:$D$190,MATCH(B198,Thèmes!$A$2:$A$190,0)),"")</f>
        <v/>
      </c>
      <c r="D198" s="68" t="inlineStr">
        <is>
          <t>—</t>
        </is>
      </c>
      <c r="E198" s="68" t="inlineStr">
        <is>
          <t>Qui gère le paiement en plusieurs fois (organisme ou échéancier direct)</t>
        </is>
      </c>
      <c r="F198" s="68" t="inlineStr">
        <is>
          <t>Choix</t>
        </is>
      </c>
      <c r="G198" s="67" t="inlineStr">
        <is>
          <t>Demandée</t>
        </is>
      </c>
      <c r="H198" s="67" t="inlineStr">
        <is>
          <t>Approfondi</t>
        </is>
      </c>
      <c r="I198" s="99" t="inlineStr">
        <is>
          <t>D33 · si paiement en plusieurs fois proposé</t>
        </is>
      </c>
      <c r="J198" s="68" t="inlineStr">
        <is>
          <t>—</t>
        </is>
      </c>
      <c r="K198" s="67" t="n"/>
      <c r="L198" s="67" t="inlineStr">
        <is>
          <t>●</t>
        </is>
      </c>
      <c r="M198" s="67" t="inlineStr">
        <is>
          <t>●</t>
        </is>
      </c>
      <c r="N198" s="67" t="n"/>
      <c r="O198" s="67" t="inlineStr">
        <is>
          <t>●</t>
        </is>
      </c>
      <c r="P198" s="67" t="inlineStr">
        <is>
          <t>●</t>
        </is>
      </c>
      <c r="Q198" s="67" t="n"/>
      <c r="R198" s="67" t="n"/>
      <c r="S198" s="68" t="inlineStr">
        <is>
          <t>—</t>
        </is>
      </c>
      <c r="T198" s="68" t="inlineStr">
        <is>
          <t>—</t>
        </is>
      </c>
      <c r="U198" s="68" t="inlineStr">
        <is>
          <t>—</t>
        </is>
      </c>
      <c r="V198" s="68" t="inlineStr">
        <is>
          <t>—</t>
        </is>
      </c>
      <c r="W198" s="83" t="inlineStr">
        <is>
          <t>Nouveau</t>
        </is>
      </c>
    </row>
    <row r="199" ht="23.85" customHeight="1" s="53">
      <c r="A199" s="92" t="inlineStr">
        <is>
          <t>ACQ-15.11</t>
        </is>
      </c>
      <c r="B199" s="67" t="inlineStr">
        <is>
          <t>ACQ-15</t>
        </is>
      </c>
      <c r="C199" s="95">
        <f>IFERROR(INDEX(Thèmes!$D$2:$D$190,MATCH(B199,Thèmes!$A$2:$A$190,0)),"")</f>
        <v/>
      </c>
      <c r="D199" s="68" t="inlineStr">
        <is>
          <t>—</t>
        </is>
      </c>
      <c r="E199" s="68" t="inlineStr">
        <is>
          <t>Montant d'achat à partir duquel le paiement en plusieurs fois est proposé</t>
        </is>
      </c>
      <c r="F199" s="68" t="inlineStr">
        <is>
          <t>€</t>
        </is>
      </c>
      <c r="G199" s="67" t="inlineStr">
        <is>
          <t>Demandée</t>
        </is>
      </c>
      <c r="H199" s="67" t="inlineStr">
        <is>
          <t>Approfondi</t>
        </is>
      </c>
      <c r="I199" s="99" t="inlineStr">
        <is>
          <t>D33 · si paiement en plusieurs fois proposé</t>
        </is>
      </c>
      <c r="J199" s="68" t="inlineStr">
        <is>
          <t>—</t>
        </is>
      </c>
      <c r="K199" s="67" t="n"/>
      <c r="L199" s="67" t="inlineStr">
        <is>
          <t>●</t>
        </is>
      </c>
      <c r="M199" s="67" t="inlineStr">
        <is>
          <t>●</t>
        </is>
      </c>
      <c r="N199" s="67" t="n"/>
      <c r="O199" s="67" t="inlineStr">
        <is>
          <t>●</t>
        </is>
      </c>
      <c r="P199" s="67" t="inlineStr">
        <is>
          <t>●</t>
        </is>
      </c>
      <c r="Q199" s="67" t="n"/>
      <c r="R199" s="67" t="n"/>
      <c r="S199" s="68" t="inlineStr">
        <is>
          <t>—</t>
        </is>
      </c>
      <c r="T199" s="68" t="inlineStr">
        <is>
          <t>—</t>
        </is>
      </c>
      <c r="U199" s="68" t="inlineStr">
        <is>
          <t>—</t>
        </is>
      </c>
      <c r="V199" s="68" t="inlineStr">
        <is>
          <t>—</t>
        </is>
      </c>
      <c r="W199" s="83" t="inlineStr">
        <is>
          <t>Nouveau</t>
        </is>
      </c>
    </row>
    <row r="200" ht="35.05" customHeight="1" s="53">
      <c r="A200" s="92" t="inlineStr">
        <is>
          <t>ACQ-15.12</t>
        </is>
      </c>
      <c r="B200" s="67" t="inlineStr">
        <is>
          <t>ACQ-15</t>
        </is>
      </c>
      <c r="C200" s="95">
        <f>IFERROR(INDEX(Thèmes!$D$2:$D$190,MATCH(B200,Thèmes!$A$2:$A$190,0)),"")</f>
        <v/>
      </c>
      <c r="D200" s="68" t="inlineStr">
        <is>
          <t>—</t>
        </is>
      </c>
      <c r="E200" s="68" t="inlineStr">
        <is>
          <t>Part des ventes payées en plusieurs fois</t>
        </is>
      </c>
      <c r="F200" s="68" t="inlineStr">
        <is>
          <t>%</t>
        </is>
      </c>
      <c r="G200" s="67" t="inlineStr">
        <is>
          <t>Demandée</t>
        </is>
      </c>
      <c r="H200" s="67" t="inlineStr">
        <is>
          <t>Approfondi</t>
        </is>
      </c>
      <c r="I200" s="99" t="inlineStr">
        <is>
          <t>D33 · si paiement en plusieurs fois proposé</t>
        </is>
      </c>
      <c r="J200" s="68" t="inlineStr">
        <is>
          <t>Période adaptée : depuis la création si moins de 3 mois</t>
        </is>
      </c>
      <c r="K200" s="67" t="n"/>
      <c r="L200" s="67" t="inlineStr">
        <is>
          <t>●</t>
        </is>
      </c>
      <c r="M200" s="67" t="inlineStr">
        <is>
          <t>●</t>
        </is>
      </c>
      <c r="N200" s="67" t="n"/>
      <c r="O200" s="67" t="inlineStr">
        <is>
          <t>●</t>
        </is>
      </c>
      <c r="P200" s="67" t="inlineStr">
        <is>
          <t>●</t>
        </is>
      </c>
      <c r="Q200" s="67" t="n"/>
      <c r="R200" s="67" t="n"/>
      <c r="S200" s="68" t="inlineStr">
        <is>
          <t>—</t>
        </is>
      </c>
      <c r="T200" s="68" t="inlineStr">
        <is>
          <t>—</t>
        </is>
      </c>
      <c r="U200" s="68" t="inlineStr">
        <is>
          <t>—</t>
        </is>
      </c>
      <c r="V200" s="68" t="inlineStr">
        <is>
          <t>—</t>
        </is>
      </c>
      <c r="W200" s="83" t="inlineStr">
        <is>
          <t>Nouveau</t>
        </is>
      </c>
    </row>
    <row r="201" ht="23.85" customHeight="1" s="53">
      <c r="A201" s="92" t="inlineStr">
        <is>
          <t>ACQ-15.13</t>
        </is>
      </c>
      <c r="B201" s="67" t="inlineStr">
        <is>
          <t>ACQ-15</t>
        </is>
      </c>
      <c r="C201" s="95">
        <f>IFERROR(INDEX(Thèmes!$D$2:$D$190,MATCH(B201,Thèmes!$A$2:$A$190,0)),"")</f>
        <v/>
      </c>
      <c r="D201" s="68" t="inlineStr">
        <is>
          <t>—</t>
        </is>
      </c>
      <c r="E201" s="68" t="inlineStr">
        <is>
          <t>Panier moyen d'un client qui paie en plusieurs fois (comparé au panier moyen : gain du paiement en plusieurs fois)</t>
        </is>
      </c>
      <c r="F201" s="68" t="inlineStr">
        <is>
          <t>€</t>
        </is>
      </c>
      <c r="G201" s="67" t="inlineStr">
        <is>
          <t>Demandée</t>
        </is>
      </c>
      <c r="H201" s="67" t="inlineStr">
        <is>
          <t>Approfondi</t>
        </is>
      </c>
      <c r="I201" s="99" t="inlineStr">
        <is>
          <t>D33 · si paiement en plusieurs fois proposé</t>
        </is>
      </c>
      <c r="J201" s="68" t="inlineStr">
        <is>
          <t>Période adaptée : depuis la création si moins de 3 mois</t>
        </is>
      </c>
      <c r="K201" s="67" t="n"/>
      <c r="L201" s="67" t="inlineStr">
        <is>
          <t>●</t>
        </is>
      </c>
      <c r="M201" s="67" t="inlineStr">
        <is>
          <t>●</t>
        </is>
      </c>
      <c r="N201" s="67" t="n"/>
      <c r="O201" s="67" t="inlineStr">
        <is>
          <t>●</t>
        </is>
      </c>
      <c r="P201" s="67" t="inlineStr">
        <is>
          <t>●</t>
        </is>
      </c>
      <c r="Q201" s="67" t="n"/>
      <c r="R201" s="67" t="n"/>
      <c r="S201" s="68" t="inlineStr">
        <is>
          <t>—</t>
        </is>
      </c>
      <c r="T201" s="68" t="inlineStr">
        <is>
          <t>—</t>
        </is>
      </c>
      <c r="U201" s="68" t="inlineStr">
        <is>
          <t>—</t>
        </is>
      </c>
      <c r="V201" s="68" t="inlineStr">
        <is>
          <t>—</t>
        </is>
      </c>
      <c r="W201" s="83" t="inlineStr">
        <is>
          <t>Nouveau</t>
        </is>
      </c>
    </row>
    <row r="202" ht="23.85" customHeight="1" s="53">
      <c r="A202" s="92" t="inlineStr">
        <is>
          <t>ACQ-15.14</t>
        </is>
      </c>
      <c r="B202" s="67" t="inlineStr">
        <is>
          <t>ACQ-15</t>
        </is>
      </c>
      <c r="C202" s="95">
        <f>IFERROR(INDEX(Thèmes!$D$2:$D$190,MATCH(B202,Thèmes!$A$2:$A$190,0)),"")</f>
        <v/>
      </c>
      <c r="D202" s="68" t="inlineStr">
        <is>
          <t>—</t>
        </is>
      </c>
      <c r="E202" s="68" t="inlineStr">
        <is>
          <t>Part des ventes faites avec l'offre haut de gamme</t>
        </is>
      </c>
      <c r="F202" s="68" t="inlineStr">
        <is>
          <t>%</t>
        </is>
      </c>
      <c r="G202" s="67" t="inlineStr">
        <is>
          <t>Demandée</t>
        </is>
      </c>
      <c r="H202" s="67" t="inlineStr">
        <is>
          <t>Approfondi</t>
        </is>
      </c>
      <c r="I202" s="99" t="inlineStr">
        <is>
          <t>D34 · si offre haut de gamme</t>
        </is>
      </c>
      <c r="J202" s="68" t="inlineStr">
        <is>
          <t>Période adaptée : depuis la création si moins de 3 mois</t>
        </is>
      </c>
      <c r="K202" s="67" t="inlineStr">
        <is>
          <t>●</t>
        </is>
      </c>
      <c r="L202" s="67" t="inlineStr">
        <is>
          <t>●</t>
        </is>
      </c>
      <c r="M202" s="67" t="inlineStr">
        <is>
          <t>●</t>
        </is>
      </c>
      <c r="N202" s="67" t="inlineStr">
        <is>
          <t>●</t>
        </is>
      </c>
      <c r="O202" s="67" t="inlineStr">
        <is>
          <t>●</t>
        </is>
      </c>
      <c r="P202" s="67" t="inlineStr">
        <is>
          <t>●</t>
        </is>
      </c>
      <c r="Q202" s="67" t="inlineStr">
        <is>
          <t>●</t>
        </is>
      </c>
      <c r="R202" s="67" t="inlineStr">
        <is>
          <t>●</t>
        </is>
      </c>
      <c r="S202" s="68" t="inlineStr">
        <is>
          <t>—</t>
        </is>
      </c>
      <c r="T202" s="68" t="inlineStr">
        <is>
          <t>—</t>
        </is>
      </c>
      <c r="U202" s="68" t="inlineStr">
        <is>
          <t>—</t>
        </is>
      </c>
      <c r="V202" s="68" t="inlineStr">
        <is>
          <t>—</t>
        </is>
      </c>
      <c r="W202" s="83" t="inlineStr">
        <is>
          <t>Nouveau</t>
        </is>
      </c>
    </row>
    <row r="203" ht="23.85" customHeight="1" s="53">
      <c r="A203" s="85" t="inlineStr">
        <is>
          <t>ACQ-16.01</t>
        </is>
      </c>
      <c r="B203" s="89" t="inlineStr">
        <is>
          <t>ACQ-16</t>
        </is>
      </c>
      <c r="C203" s="97">
        <f>IFERROR(INDEX(Thèmes!$D$2:$D$190,MATCH(B203,Thèmes!$A$2:$A$190,0)),"")</f>
        <v/>
      </c>
      <c r="D203" s="86" t="inlineStr">
        <is>
          <t>A16 · Vos plus gros clients (tableau)</t>
        </is>
      </c>
      <c r="E203" s="86" t="inlineStr">
        <is>
          <t>CA sur 12 mois de vos 5 plus gros clients (partagé avec l'agent Finance, FIN-29)</t>
        </is>
      </c>
      <c r="F203" s="86" t="inlineStr">
        <is>
          <t>€ (5 lignes)</t>
        </is>
      </c>
      <c r="G203" s="89" t="inlineStr">
        <is>
          <t>Demandée</t>
        </is>
      </c>
      <c r="H203" s="89" t="inlineStr">
        <is>
          <t>Essentiel</t>
        </is>
      </c>
      <c r="I203" s="100" t="inlineStr">
        <is>
          <t>D15 · si clients professionnels réguliers</t>
        </is>
      </c>
      <c r="J203" s="86" t="inlineStr">
        <is>
          <t>Période adaptée : depuis la création si moins de 12 mois</t>
        </is>
      </c>
      <c r="K203" s="89" t="n"/>
      <c r="L203" s="89" t="n"/>
      <c r="M203" s="89" t="n"/>
      <c r="N203" s="89" t="n"/>
      <c r="O203" s="89" t="inlineStr">
        <is>
          <t>●</t>
        </is>
      </c>
      <c r="P203" s="89" t="inlineStr">
        <is>
          <t>●</t>
        </is>
      </c>
      <c r="Q203" s="89" t="inlineStr">
        <is>
          <t>●</t>
        </is>
      </c>
      <c r="R203" s="89" t="n"/>
      <c r="S203" s="86" t="inlineStr">
        <is>
          <t>Risque</t>
        </is>
      </c>
      <c r="T203" s="86" t="inlineStr">
        <is>
          <t>—</t>
        </is>
      </c>
      <c r="U203" s="86" t="inlineStr">
        <is>
          <t>—</t>
        </is>
      </c>
      <c r="V203" s="86" t="inlineStr">
        <is>
          <t>ACQ-16.04, ACQ-16.05, ACQ-16.06, ACQ-16.07, FIN-02.02, FIN-17.08, FIN-31.01</t>
        </is>
      </c>
      <c r="W203" s="91" t="n"/>
    </row>
    <row r="204" ht="23.85" customHeight="1" s="53">
      <c r="A204" s="81" t="inlineStr">
        <is>
          <t>ACQ-16.02</t>
        </is>
      </c>
      <c r="B204" s="67" t="inlineStr">
        <is>
          <t>ACQ-16</t>
        </is>
      </c>
      <c r="C204" s="95">
        <f>IFERROR(INDEX(Thèmes!$D$2:$D$190,MATCH(B204,Thèmes!$A$2:$A$190,0)),"")</f>
        <v/>
      </c>
      <c r="D204" s="68" t="inlineStr">
        <is>
          <t>A16 · Vos plus gros clients (tableau)</t>
        </is>
      </c>
      <c r="E204" s="68" t="inlineStr">
        <is>
          <t>Engagement de chacun : contrat pluriannuel, contrat annuel, commandes ponctuelles</t>
        </is>
      </c>
      <c r="F204" s="68" t="inlineStr">
        <is>
          <t>Choix par ligne</t>
        </is>
      </c>
      <c r="G204" s="67" t="inlineStr">
        <is>
          <t>Demandée</t>
        </is>
      </c>
      <c r="H204" s="67" t="inlineStr">
        <is>
          <t>Approfondi</t>
        </is>
      </c>
      <c r="I204" s="99" t="inlineStr">
        <is>
          <t>D15 · si clients professionnels réguliers</t>
        </is>
      </c>
      <c r="J204" s="68" t="inlineStr">
        <is>
          <t>—</t>
        </is>
      </c>
      <c r="K204" s="67" t="n"/>
      <c r="L204" s="67" t="n"/>
      <c r="M204" s="67" t="n"/>
      <c r="N204" s="67" t="n"/>
      <c r="O204" s="67" t="inlineStr">
        <is>
          <t>●</t>
        </is>
      </c>
      <c r="P204" s="67" t="inlineStr">
        <is>
          <t>●</t>
        </is>
      </c>
      <c r="Q204" s="67" t="inlineStr">
        <is>
          <t>●</t>
        </is>
      </c>
      <c r="R204" s="67" t="n"/>
      <c r="S204" s="68" t="inlineStr">
        <is>
          <t>Risque</t>
        </is>
      </c>
      <c r="T204" s="68" t="inlineStr">
        <is>
          <t>—</t>
        </is>
      </c>
      <c r="U204" s="68" t="inlineStr">
        <is>
          <t>—</t>
        </is>
      </c>
      <c r="V204" s="68" t="inlineStr">
        <is>
          <t>ACQ-16.07</t>
        </is>
      </c>
      <c r="W204" s="83" t="n"/>
    </row>
    <row r="205" ht="35.05" customHeight="1" s="53">
      <c r="A205" s="94" t="inlineStr">
        <is>
          <t>ACQ-16.03</t>
        </is>
      </c>
      <c r="B205" s="67" t="inlineStr">
        <is>
          <t>ACQ-16</t>
        </is>
      </c>
      <c r="C205" s="95">
        <f>IFERROR(INDEX(Thèmes!$D$2:$D$190,MATCH(B205,Thèmes!$A$2:$A$190,0)),"")</f>
        <v/>
      </c>
      <c r="D205" s="68" t="inlineStr">
        <is>
          <t>A16 · Vos plus gros clients (tableau)</t>
        </is>
      </c>
      <c r="E205" s="68" t="inlineStr">
        <is>
          <t>CA des 5 plus gros clients sur les 12 mois précédents (évolution calculée avec ACQ-16.01, au lieu d'une tendance)</t>
        </is>
      </c>
      <c r="F205" s="68" t="inlineStr">
        <is>
          <t>Choix par ligne</t>
        </is>
      </c>
      <c r="G205" s="67" t="inlineStr">
        <is>
          <t>Demandée</t>
        </is>
      </c>
      <c r="H205" s="67" t="inlineStr">
        <is>
          <t>Approfondi</t>
        </is>
      </c>
      <c r="I205" s="99" t="inlineStr">
        <is>
          <t>D15 · si clients professionnels réguliers</t>
        </is>
      </c>
      <c r="J205" s="68" t="inlineStr">
        <is>
          <t>12 mois précédents (masquée avant 24 mois d'existence)</t>
        </is>
      </c>
      <c r="K205" s="67" t="n"/>
      <c r="L205" s="67" t="n"/>
      <c r="M205" s="67" t="n"/>
      <c r="N205" s="67" t="n"/>
      <c r="O205" s="67" t="inlineStr">
        <is>
          <t>●</t>
        </is>
      </c>
      <c r="P205" s="67" t="inlineStr">
        <is>
          <t>●</t>
        </is>
      </c>
      <c r="Q205" s="67" t="inlineStr">
        <is>
          <t>●</t>
        </is>
      </c>
      <c r="R205" s="67" t="n"/>
      <c r="S205" s="68" t="inlineStr">
        <is>
          <t>Risque</t>
        </is>
      </c>
      <c r="T205" s="68" t="inlineStr">
        <is>
          <t>—</t>
        </is>
      </c>
      <c r="U205" s="68" t="inlineStr">
        <is>
          <t>—</t>
        </is>
      </c>
      <c r="V205" s="68" t="inlineStr">
        <is>
          <t>ACQ-16.07</t>
        </is>
      </c>
      <c r="W205" s="83" t="inlineStr">
        <is>
          <t>Libellé (« Donnée »)</t>
        </is>
      </c>
    </row>
    <row r="206" ht="35.05" customHeight="1" s="53">
      <c r="A206" s="81" t="inlineStr">
        <is>
          <t>ACQ-16.04</t>
        </is>
      </c>
      <c r="B206" s="67" t="inlineStr">
        <is>
          <t>ACQ-16</t>
        </is>
      </c>
      <c r="C206" s="95">
        <f>IFERROR(INDEX(Thèmes!$D$2:$D$190,MATCH(B206,Thèmes!$A$2:$A$190,0)),"")</f>
        <v/>
      </c>
      <c r="D206" s="68" t="inlineStr">
        <is>
          <t>—</t>
        </is>
      </c>
      <c r="E206" s="68" t="inlineStr">
        <is>
          <t>Part du CA du 1er client</t>
        </is>
      </c>
      <c r="F206" s="68" t="inlineStr">
        <is>
          <t>%</t>
        </is>
      </c>
      <c r="G206" s="96" t="inlineStr">
        <is>
          <t>Calculée</t>
        </is>
      </c>
      <c r="H206" s="67" t="inlineStr">
        <is>
          <t>—</t>
        </is>
      </c>
      <c r="I206" s="68" t="inlineStr">
        <is>
          <t>—</t>
        </is>
      </c>
      <c r="J206" s="68" t="inlineStr">
        <is>
          <t>—</t>
        </is>
      </c>
      <c r="K206" s="67" t="n"/>
      <c r="L206" s="67" t="n"/>
      <c r="M206" s="67" t="n"/>
      <c r="N206" s="67" t="n"/>
      <c r="O206" s="67" t="inlineStr">
        <is>
          <t>●</t>
        </is>
      </c>
      <c r="P206" s="67" t="inlineStr">
        <is>
          <t>●</t>
        </is>
      </c>
      <c r="Q206" s="67" t="inlineStr">
        <is>
          <t>●</t>
        </is>
      </c>
      <c r="R206" s="67" t="n"/>
      <c r="S206" s="68" t="inlineStr">
        <is>
          <t>Risque</t>
        </is>
      </c>
      <c r="T206" s="68" t="inlineStr">
        <is>
          <t>CA du 1er client ÷ (CA mensuel × 12)</t>
        </is>
      </c>
      <c r="U206" s="68" t="inlineStr">
        <is>
          <t>ACQ-16.01, Inscription · CA mensuel</t>
        </is>
      </c>
      <c r="V206" s="68" t="inlineStr">
        <is>
          <t>XF31</t>
        </is>
      </c>
      <c r="W206" s="83" t="n"/>
    </row>
    <row r="207" ht="35.05" customHeight="1" s="53">
      <c r="A207" s="81" t="inlineStr">
        <is>
          <t>ACQ-16.05</t>
        </is>
      </c>
      <c r="B207" s="67" t="inlineStr">
        <is>
          <t>ACQ-16</t>
        </is>
      </c>
      <c r="C207" s="95">
        <f>IFERROR(INDEX(Thèmes!$D$2:$D$190,MATCH(B207,Thèmes!$A$2:$A$190,0)),"")</f>
        <v/>
      </c>
      <c r="D207" s="68" t="inlineStr">
        <is>
          <t>—</t>
        </is>
      </c>
      <c r="E207" s="68" t="inlineStr">
        <is>
          <t>Part cumulée des 3 plus gros clients</t>
        </is>
      </c>
      <c r="F207" s="68" t="inlineStr">
        <is>
          <t>%</t>
        </is>
      </c>
      <c r="G207" s="96" t="inlineStr">
        <is>
          <t>Calculée</t>
        </is>
      </c>
      <c r="H207" s="67" t="inlineStr">
        <is>
          <t>—</t>
        </is>
      </c>
      <c r="I207" s="68" t="inlineStr">
        <is>
          <t>—</t>
        </is>
      </c>
      <c r="J207" s="68" t="inlineStr">
        <is>
          <t>—</t>
        </is>
      </c>
      <c r="K207" s="67" t="n"/>
      <c r="L207" s="67" t="n"/>
      <c r="M207" s="67" t="n"/>
      <c r="N207" s="67" t="n"/>
      <c r="O207" s="67" t="inlineStr">
        <is>
          <t>●</t>
        </is>
      </c>
      <c r="P207" s="67" t="inlineStr">
        <is>
          <t>●</t>
        </is>
      </c>
      <c r="Q207" s="67" t="inlineStr">
        <is>
          <t>●</t>
        </is>
      </c>
      <c r="R207" s="67" t="n"/>
      <c r="S207" s="68" t="inlineStr">
        <is>
          <t>Risque</t>
        </is>
      </c>
      <c r="T207" s="68" t="inlineStr">
        <is>
          <t>CA des 3 premiers ÷ (CA mensuel × 12)</t>
        </is>
      </c>
      <c r="U207" s="68" t="inlineStr">
        <is>
          <t>ACQ-16.01, Inscription · CA mensuel</t>
        </is>
      </c>
      <c r="V207" s="68" t="inlineStr">
        <is>
          <t>XA14</t>
        </is>
      </c>
      <c r="W207" s="83" t="n"/>
    </row>
    <row r="208" ht="23.85" customHeight="1" s="53">
      <c r="A208" s="81" t="inlineStr">
        <is>
          <t>ACQ-16.06</t>
        </is>
      </c>
      <c r="B208" s="67" t="inlineStr">
        <is>
          <t>ACQ-16</t>
        </is>
      </c>
      <c r="C208" s="95">
        <f>IFERROR(INDEX(Thèmes!$D$2:$D$190,MATCH(B208,Thèmes!$A$2:$A$190,0)),"")</f>
        <v/>
      </c>
      <c r="D208" s="68" t="inlineStr">
        <is>
          <t>—</t>
        </is>
      </c>
      <c r="E208" s="68" t="inlineStr">
        <is>
          <t>Part cumulée des 5 plus gros clients</t>
        </is>
      </c>
      <c r="F208" s="68" t="inlineStr">
        <is>
          <t>%</t>
        </is>
      </c>
      <c r="G208" s="96" t="inlineStr">
        <is>
          <t>Calculée</t>
        </is>
      </c>
      <c r="H208" s="67" t="inlineStr">
        <is>
          <t>—</t>
        </is>
      </c>
      <c r="I208" s="68" t="inlineStr">
        <is>
          <t>—</t>
        </is>
      </c>
      <c r="J208" s="68" t="inlineStr">
        <is>
          <t>—</t>
        </is>
      </c>
      <c r="K208" s="67" t="n"/>
      <c r="L208" s="67" t="n"/>
      <c r="M208" s="67" t="n"/>
      <c r="N208" s="67" t="n"/>
      <c r="O208" s="67" t="inlineStr">
        <is>
          <t>●</t>
        </is>
      </c>
      <c r="P208" s="67" t="inlineStr">
        <is>
          <t>●</t>
        </is>
      </c>
      <c r="Q208" s="67" t="inlineStr">
        <is>
          <t>●</t>
        </is>
      </c>
      <c r="R208" s="67" t="n"/>
      <c r="S208" s="68" t="inlineStr">
        <is>
          <t>Risque</t>
        </is>
      </c>
      <c r="T208" s="68" t="inlineStr">
        <is>
          <t>CA des 5 premiers ÷ (CA mensuel × 12)</t>
        </is>
      </c>
      <c r="U208" s="68" t="inlineStr">
        <is>
          <t>ACQ-16.01, Inscription · CA mensuel</t>
        </is>
      </c>
      <c r="V208" s="68" t="inlineStr">
        <is>
          <t>XA14</t>
        </is>
      </c>
      <c r="W208" s="83" t="n"/>
    </row>
    <row r="209" ht="23.85" customHeight="1" s="53">
      <c r="A209" s="81" t="inlineStr">
        <is>
          <t>ACQ-16.07</t>
        </is>
      </c>
      <c r="B209" s="67" t="inlineStr">
        <is>
          <t>ACQ-16</t>
        </is>
      </c>
      <c r="C209" s="95">
        <f>IFERROR(INDEX(Thèmes!$D$2:$D$190,MATCH(B209,Thèmes!$A$2:$A$190,0)),"")</f>
        <v/>
      </c>
      <c r="D209" s="68" t="inlineStr">
        <is>
          <t>—</t>
        </is>
      </c>
      <c r="E209" s="68" t="inlineStr">
        <is>
          <t>CA exposé chez les gros clients</t>
        </is>
      </c>
      <c r="F209" s="68" t="inlineStr">
        <is>
          <t>€</t>
        </is>
      </c>
      <c r="G209" s="96" t="inlineStr">
        <is>
          <t>Calculée</t>
        </is>
      </c>
      <c r="H209" s="67" t="inlineStr">
        <is>
          <t>—</t>
        </is>
      </c>
      <c r="I209" s="68" t="inlineStr">
        <is>
          <t>—</t>
        </is>
      </c>
      <c r="J209" s="68" t="inlineStr">
        <is>
          <t>—</t>
        </is>
      </c>
      <c r="K209" s="67" t="n"/>
      <c r="L209" s="67" t="n"/>
      <c r="M209" s="67" t="n"/>
      <c r="N209" s="67" t="n"/>
      <c r="O209" s="67" t="inlineStr">
        <is>
          <t>●</t>
        </is>
      </c>
      <c r="P209" s="67" t="inlineStr">
        <is>
          <t>●</t>
        </is>
      </c>
      <c r="Q209" s="67" t="inlineStr">
        <is>
          <t>●</t>
        </is>
      </c>
      <c r="R209" s="67" t="n"/>
      <c r="S209" s="68" t="inlineStr">
        <is>
          <t>Risque</t>
        </is>
      </c>
      <c r="T209" s="68" t="inlineStr">
        <is>
          <t>CA des gros clients en commandes ponctuelles ou en baisse</t>
        </is>
      </c>
      <c r="U209" s="68" t="inlineStr">
        <is>
          <t>ACQ-16.01, ACQ-16.02, ACQ-16.03</t>
        </is>
      </c>
      <c r="V209" s="68" t="inlineStr">
        <is>
          <t>XA14</t>
        </is>
      </c>
      <c r="W209" s="83" t="n"/>
    </row>
    <row r="210" ht="15" customHeight="1" s="53">
      <c r="A210" s="98" t="inlineStr">
        <is>
          <t>ACQ-17.01</t>
        </is>
      </c>
      <c r="B210" s="89" t="inlineStr">
        <is>
          <t>ACQ-17</t>
        </is>
      </c>
      <c r="C210" s="97">
        <f>IFERROR(INDEX(Thèmes!$D$2:$D$190,MATCH(B210,Thèmes!$A$2:$A$190,0)),"")</f>
        <v/>
      </c>
      <c r="D210" s="86" t="inlineStr">
        <is>
          <t>A17 · Vos clients fidèles</t>
        </is>
      </c>
      <c r="E210" s="86" t="inlineStr">
        <is>
          <t>Clients différents sur les 12 derniers mois (clients actifs)</t>
        </is>
      </c>
      <c r="F210" s="86" t="inlineStr">
        <is>
          <t>Nombre ou estimation</t>
        </is>
      </c>
      <c r="G210" s="102" t="inlineStr">
        <is>
          <t>Calculée</t>
        </is>
      </c>
      <c r="H210" s="89" t="inlineStr">
        <is>
          <t>—</t>
        </is>
      </c>
      <c r="I210" s="86" t="inlineStr">
        <is>
          <t>—</t>
        </is>
      </c>
      <c r="J210" s="86" t="inlineStr">
        <is>
          <t>Période adaptée : depuis la création si moins de 12 mois</t>
        </is>
      </c>
      <c r="K210" s="89" t="inlineStr">
        <is>
          <t>●</t>
        </is>
      </c>
      <c r="L210" s="89" t="inlineStr">
        <is>
          <t>●</t>
        </is>
      </c>
      <c r="M210" s="89" t="inlineStr">
        <is>
          <t>●</t>
        </is>
      </c>
      <c r="N210" s="89" t="n"/>
      <c r="O210" s="89" t="inlineStr">
        <is>
          <t>●</t>
        </is>
      </c>
      <c r="P210" s="89" t="inlineStr">
        <is>
          <t>●</t>
        </is>
      </c>
      <c r="Q210" s="89" t="n"/>
      <c r="R210" s="89" t="n"/>
      <c r="S210" s="86" t="inlineStr">
        <is>
          <t>Mesure</t>
        </is>
      </c>
      <c r="T210" s="86" t="inlineStr">
        <is>
          <t>Somme de ACQ-01.03 (clients différents par catégorie, sur les 12 derniers mois)</t>
        </is>
      </c>
      <c r="U210" s="86" t="inlineStr">
        <is>
          <t>ACQ-01.03</t>
        </is>
      </c>
      <c r="V210" s="86" t="inlineStr">
        <is>
          <t>ACQ-17.16, ACQ-17.19, ACQ-17.20, COM-09.06</t>
        </is>
      </c>
      <c r="W210" s="91" t="inlineStr">
        <is>
          <t>Mode : Calculée (plus de question : la banque la lit dans une autre réponse)</t>
        </is>
      </c>
    </row>
    <row r="211" ht="23.85" customHeight="1" s="53">
      <c r="A211" s="81" t="inlineStr">
        <is>
          <t>ACQ-17.02</t>
        </is>
      </c>
      <c r="B211" s="67" t="inlineStr">
        <is>
          <t>ACQ-17</t>
        </is>
      </c>
      <c r="C211" s="95">
        <f>IFERROR(INDEX(Thèmes!$D$2:$D$190,MATCH(B211,Thèmes!$A$2:$A$190,0)),"")</f>
        <v/>
      </c>
      <c r="D211" s="68" t="inlineStr">
        <is>
          <t>A17 · Vos clients fidèles</t>
        </is>
      </c>
      <c r="E211" s="68" t="inlineStr">
        <is>
          <t>Parmi les clients de l'an dernier, part revenue cette année (restaurant : part d'habitués)</t>
        </is>
      </c>
      <c r="F211" s="68" t="inlineStr">
        <is>
          <t>%</t>
        </is>
      </c>
      <c r="G211" s="67" t="inlineStr">
        <is>
          <t>Demandée</t>
        </is>
      </c>
      <c r="H211" s="67" t="inlineStr">
        <is>
          <t>Essentiel</t>
        </is>
      </c>
      <c r="I211" s="68" t="inlineStr">
        <is>
          <t>—</t>
        </is>
      </c>
      <c r="J211" s="68" t="inlineStr">
        <is>
          <t>Si plus de 12 mois d'existence (sinon masquée)</t>
        </is>
      </c>
      <c r="K211" s="67" t="inlineStr">
        <is>
          <t>●</t>
        </is>
      </c>
      <c r="L211" s="67" t="inlineStr">
        <is>
          <t>●</t>
        </is>
      </c>
      <c r="M211" s="67" t="inlineStr">
        <is>
          <t>●</t>
        </is>
      </c>
      <c r="N211" s="67" t="inlineStr">
        <is>
          <t>●</t>
        </is>
      </c>
      <c r="O211" s="67" t="inlineStr">
        <is>
          <t>●</t>
        </is>
      </c>
      <c r="P211" s="67" t="inlineStr">
        <is>
          <t>●</t>
        </is>
      </c>
      <c r="Q211" s="67" t="n"/>
      <c r="R211" s="67" t="inlineStr">
        <is>
          <t>●</t>
        </is>
      </c>
      <c r="S211" s="68" t="inlineStr">
        <is>
          <t>Problème</t>
        </is>
      </c>
      <c r="T211" s="68" t="inlineStr">
        <is>
          <t>—</t>
        </is>
      </c>
      <c r="U211" s="68" t="inlineStr">
        <is>
          <t>—</t>
        </is>
      </c>
      <c r="V211" s="68" t="inlineStr">
        <is>
          <t>ACQ-17.17, XA16</t>
        </is>
      </c>
      <c r="W211" s="83" t="n"/>
    </row>
    <row r="212" ht="15" customHeight="1" s="53">
      <c r="A212" s="94" t="inlineStr">
        <is>
          <t>ACQ-17.03</t>
        </is>
      </c>
      <c r="B212" s="67" t="inlineStr">
        <is>
          <t>ACQ-17</t>
        </is>
      </c>
      <c r="C212" s="95">
        <f>IFERROR(INDEX(Thèmes!$D$2:$D$190,MATCH(B212,Thèmes!$A$2:$A$190,0)),"")</f>
        <v/>
      </c>
      <c r="D212" s="68" t="inlineStr">
        <is>
          <t>A17 · Vos clients fidèles</t>
        </is>
      </c>
      <c r="E212" s="68" t="inlineStr">
        <is>
          <t>Achats par client et par an</t>
        </is>
      </c>
      <c r="F212" s="68" t="inlineStr">
        <is>
          <t>Nombre</t>
        </is>
      </c>
      <c r="G212" s="96" t="inlineStr">
        <is>
          <t>Calculée</t>
        </is>
      </c>
      <c r="H212" s="67" t="inlineStr">
        <is>
          <t>—</t>
        </is>
      </c>
      <c r="I212" s="68" t="inlineStr">
        <is>
          <t>—</t>
        </is>
      </c>
      <c r="J212" s="68" t="inlineStr">
        <is>
          <t>Période adaptée : depuis la création si moins de 12 mois</t>
        </is>
      </c>
      <c r="K212" s="67" t="inlineStr">
        <is>
          <t>●</t>
        </is>
      </c>
      <c r="L212" s="67" t="inlineStr">
        <is>
          <t>●</t>
        </is>
      </c>
      <c r="M212" s="67" t="inlineStr">
        <is>
          <t>●</t>
        </is>
      </c>
      <c r="N212" s="67" t="n"/>
      <c r="O212" s="67" t="inlineStr">
        <is>
          <t>●</t>
        </is>
      </c>
      <c r="P212" s="67" t="inlineStr">
        <is>
          <t>●</t>
        </is>
      </c>
      <c r="Q212" s="67" t="n"/>
      <c r="R212" s="67" t="n"/>
      <c r="S212" s="68" t="inlineStr">
        <is>
          <t>Potentiel CA</t>
        </is>
      </c>
      <c r="T212" s="68" t="inlineStr">
        <is>
          <t>Ventes sur 12 mois (somme de ACQ-23.04) ÷ clients différents (ACQ-17.01)</t>
        </is>
      </c>
      <c r="U212" s="68" t="inlineStr">
        <is>
          <t>ACQ-23.04, ACQ-17.01</t>
        </is>
      </c>
      <c r="V212" s="68" t="inlineStr">
        <is>
          <t>ACQ-17.18, ACQ-17.19, ACQ-17.20</t>
        </is>
      </c>
      <c r="W212" s="83" t="inlineStr">
        <is>
          <t>Mode : Calculée (plus de question : la banque la lit dans une autre réponse)</t>
        </is>
      </c>
    </row>
    <row r="213" ht="15" customHeight="1" s="53">
      <c r="A213" s="81" t="inlineStr">
        <is>
          <t>ACQ-17.04</t>
        </is>
      </c>
      <c r="B213" s="67" t="inlineStr">
        <is>
          <t>ACQ-17</t>
        </is>
      </c>
      <c r="C213" s="95">
        <f>IFERROR(INDEX(Thèmes!$D$2:$D$190,MATCH(B213,Thèmes!$A$2:$A$190,0)),"")</f>
        <v/>
      </c>
      <c r="D213" s="68" t="inlineStr">
        <is>
          <t>A17 · Vos clients fidèles</t>
        </is>
      </c>
      <c r="E213" s="68" t="inlineStr">
        <is>
          <t>Part du CA faite par les clients existants (et non par les nouveaux)</t>
        </is>
      </c>
      <c r="F213" s="68" t="inlineStr">
        <is>
          <t>%</t>
        </is>
      </c>
      <c r="G213" s="67" t="inlineStr">
        <is>
          <t>Demandée</t>
        </is>
      </c>
      <c r="H213" s="67" t="inlineStr">
        <is>
          <t>Essentiel</t>
        </is>
      </c>
      <c r="I213" s="68" t="inlineStr">
        <is>
          <t>—</t>
        </is>
      </c>
      <c r="J213" s="68" t="inlineStr">
        <is>
          <t>—</t>
        </is>
      </c>
      <c r="K213" s="67" t="inlineStr">
        <is>
          <t>●</t>
        </is>
      </c>
      <c r="L213" s="67" t="inlineStr">
        <is>
          <t>●</t>
        </is>
      </c>
      <c r="M213" s="67" t="inlineStr">
        <is>
          <t>●</t>
        </is>
      </c>
      <c r="N213" s="67" t="inlineStr">
        <is>
          <t>●</t>
        </is>
      </c>
      <c r="O213" s="67" t="inlineStr">
        <is>
          <t>●</t>
        </is>
      </c>
      <c r="P213" s="67" t="inlineStr">
        <is>
          <t>●</t>
        </is>
      </c>
      <c r="Q213" s="67" t="inlineStr">
        <is>
          <t>●</t>
        </is>
      </c>
      <c r="R213" s="67" t="inlineStr">
        <is>
          <t>●</t>
        </is>
      </c>
      <c r="S213" s="68" t="inlineStr">
        <is>
          <t>Risque</t>
        </is>
      </c>
      <c r="T213" s="68" t="inlineStr">
        <is>
          <t>—</t>
        </is>
      </c>
      <c r="U213" s="68" t="inlineStr">
        <is>
          <t>—</t>
        </is>
      </c>
      <c r="V213" s="68" t="inlineStr">
        <is>
          <t>XA16</t>
        </is>
      </c>
      <c r="W213" s="83" t="n"/>
    </row>
    <row r="214" ht="46.25" customHeight="1" s="53">
      <c r="A214" s="81" t="inlineStr">
        <is>
          <t>ACQ-17.05</t>
        </is>
      </c>
      <c r="B214" s="67" t="inlineStr">
        <is>
          <t>ACQ-17</t>
        </is>
      </c>
      <c r="C214" s="95">
        <f>IFERROR(INDEX(Thèmes!$D$2:$D$190,MATCH(B214,Thèmes!$A$2:$A$190,0)),"")</f>
        <v/>
      </c>
      <c r="D214" s="68" t="inlineStr">
        <is>
          <t>A17 · Vos clients fidèles</t>
        </is>
      </c>
      <c r="E214" s="68" t="inlineStr">
        <is>
          <t>Relance des anciens clients (email, SMS, appel, courrier)</t>
        </is>
      </c>
      <c r="F214" s="68" t="inlineStr">
        <is>
          <t>Régulièrement / parfois / jamais</t>
        </is>
      </c>
      <c r="G214" s="67" t="inlineStr">
        <is>
          <t>Demandée</t>
        </is>
      </c>
      <c r="H214" s="67" t="inlineStr">
        <is>
          <t>Essentiel</t>
        </is>
      </c>
      <c r="I214" s="68" t="inlineStr">
        <is>
          <t>—</t>
        </is>
      </c>
      <c r="J214" s="68" t="inlineStr">
        <is>
          <t>—</t>
        </is>
      </c>
      <c r="K214" s="67" t="inlineStr">
        <is>
          <t>●</t>
        </is>
      </c>
      <c r="L214" s="67" t="inlineStr">
        <is>
          <t>●</t>
        </is>
      </c>
      <c r="M214" s="67" t="inlineStr">
        <is>
          <t>●</t>
        </is>
      </c>
      <c r="N214" s="67" t="inlineStr">
        <is>
          <t>●</t>
        </is>
      </c>
      <c r="O214" s="67" t="inlineStr">
        <is>
          <t>●</t>
        </is>
      </c>
      <c r="P214" s="67" t="inlineStr">
        <is>
          <t>●</t>
        </is>
      </c>
      <c r="Q214" s="67" t="inlineStr">
        <is>
          <t>●</t>
        </is>
      </c>
      <c r="R214" s="67" t="inlineStr">
        <is>
          <t>●</t>
        </is>
      </c>
      <c r="S214" s="68" t="inlineStr">
        <is>
          <t>Levier</t>
        </is>
      </c>
      <c r="T214" s="68" t="inlineStr">
        <is>
          <t>—</t>
        </is>
      </c>
      <c r="U214" s="68" t="inlineStr">
        <is>
          <t>—</t>
        </is>
      </c>
      <c r="V214" s="68" t="inlineStr">
        <is>
          <t>Notée directement (couleur du thème)</t>
        </is>
      </c>
      <c r="W214" s="83" t="n"/>
    </row>
    <row r="215" ht="23.85" customHeight="1" s="53">
      <c r="A215" s="81" t="inlineStr">
        <is>
          <t>ACQ-17.06</t>
        </is>
      </c>
      <c r="B215" s="67" t="inlineStr">
        <is>
          <t>ACQ-17</t>
        </is>
      </c>
      <c r="C215" s="95">
        <f>IFERROR(INDEX(Thèmes!$D$2:$D$190,MATCH(B215,Thèmes!$A$2:$A$190,0)),"")</f>
        <v/>
      </c>
      <c r="D215" s="68" t="inlineStr">
        <is>
          <t>A17 · Vos clients fidèles</t>
        </is>
      </c>
      <c r="E215" s="68" t="inlineStr">
        <is>
          <t>Clients dans votre fichier, toutes années confondues</t>
        </is>
      </c>
      <c r="F215" s="68" t="inlineStr">
        <is>
          <t>Nombre</t>
        </is>
      </c>
      <c r="G215" s="67" t="inlineStr">
        <is>
          <t>Demandée</t>
        </is>
      </c>
      <c r="H215" s="67" t="inlineStr">
        <is>
          <t>Approfondi</t>
        </is>
      </c>
      <c r="I215" s="68" t="inlineStr">
        <is>
          <t>—</t>
        </is>
      </c>
      <c r="J215" s="68" t="inlineStr">
        <is>
          <t>—</t>
        </is>
      </c>
      <c r="K215" s="67" t="inlineStr">
        <is>
          <t>●</t>
        </is>
      </c>
      <c r="L215" s="67" t="inlineStr">
        <is>
          <t>●</t>
        </is>
      </c>
      <c r="M215" s="67" t="inlineStr">
        <is>
          <t>●</t>
        </is>
      </c>
      <c r="N215" s="67" t="n"/>
      <c r="O215" s="67" t="inlineStr">
        <is>
          <t>●</t>
        </is>
      </c>
      <c r="P215" s="67" t="inlineStr">
        <is>
          <t>●</t>
        </is>
      </c>
      <c r="Q215" s="67" t="n"/>
      <c r="R215" s="67" t="n"/>
      <c r="S215" s="68" t="inlineStr">
        <is>
          <t>Opportunité</t>
        </is>
      </c>
      <c r="T215" s="68" t="inlineStr">
        <is>
          <t>—</t>
        </is>
      </c>
      <c r="U215" s="68" t="inlineStr">
        <is>
          <t>—</t>
        </is>
      </c>
      <c r="V215" s="68" t="inlineStr">
        <is>
          <t>ACQ-17.16</t>
        </is>
      </c>
      <c r="W215" s="83" t="n"/>
    </row>
    <row r="216" ht="46.25" customHeight="1" s="53">
      <c r="A216" s="81" t="inlineStr">
        <is>
          <t>ACQ-17.07</t>
        </is>
      </c>
      <c r="B216" s="67" t="inlineStr">
        <is>
          <t>ACQ-17</t>
        </is>
      </c>
      <c r="C216" s="95">
        <f>IFERROR(INDEX(Thèmes!$D$2:$D$190,MATCH(B216,Thèmes!$A$2:$A$190,0)),"")</f>
        <v/>
      </c>
      <c r="D216" s="68" t="inlineStr">
        <is>
          <t>A17 · Vos clients fidèles</t>
        </is>
      </c>
      <c r="E216" s="68" t="inlineStr">
        <is>
          <t>Délai moyen entre deux achats d'un même client</t>
        </is>
      </c>
      <c r="F216" s="68" t="inlineStr">
        <is>
          <t>Jours ou mois</t>
        </is>
      </c>
      <c r="G216" s="67" t="inlineStr">
        <is>
          <t>Demandée</t>
        </is>
      </c>
      <c r="H216" s="67" t="inlineStr">
        <is>
          <t>Approfondi</t>
        </is>
      </c>
      <c r="I216" s="68" t="inlineStr">
        <is>
          <t>—</t>
        </is>
      </c>
      <c r="J216" s="68" t="inlineStr">
        <is>
          <t>—</t>
        </is>
      </c>
      <c r="K216" s="67" t="inlineStr">
        <is>
          <t>●</t>
        </is>
      </c>
      <c r="L216" s="67" t="inlineStr">
        <is>
          <t>●</t>
        </is>
      </c>
      <c r="M216" s="67" t="inlineStr">
        <is>
          <t>●</t>
        </is>
      </c>
      <c r="N216" s="67" t="n"/>
      <c r="O216" s="67" t="inlineStr">
        <is>
          <t>●</t>
        </is>
      </c>
      <c r="P216" s="67" t="inlineStr">
        <is>
          <t>●</t>
        </is>
      </c>
      <c r="Q216" s="67" t="n"/>
      <c r="R216" s="67" t="n"/>
      <c r="S216" s="68" t="inlineStr">
        <is>
          <t>Levier</t>
        </is>
      </c>
      <c r="T216" s="68" t="inlineStr">
        <is>
          <t>—</t>
        </is>
      </c>
      <c r="U216" s="68" t="inlineStr">
        <is>
          <t>—</t>
        </is>
      </c>
      <c r="V216" s="68" t="inlineStr">
        <is>
          <t>Lue par l'IA pour adapter le conseil</t>
        </is>
      </c>
      <c r="W216" s="83" t="n"/>
    </row>
    <row r="217" ht="15" customHeight="1" s="53">
      <c r="A217" s="81" t="inlineStr">
        <is>
          <t>ACQ-17.08</t>
        </is>
      </c>
      <c r="B217" s="67" t="inlineStr">
        <is>
          <t>ACQ-17</t>
        </is>
      </c>
      <c r="C217" s="95">
        <f>IFERROR(INDEX(Thèmes!$D$2:$D$190,MATCH(B217,Thèmes!$A$2:$A$190,0)),"")</f>
        <v/>
      </c>
      <c r="D217" s="68" t="inlineStr">
        <is>
          <t>A17 · Vos clients fidèles</t>
        </is>
      </c>
      <c r="E217" s="68" t="inlineStr">
        <is>
          <t>Panier moyen d'un client qui revient</t>
        </is>
      </c>
      <c r="F217" s="68" t="inlineStr">
        <is>
          <t>€</t>
        </is>
      </c>
      <c r="G217" s="67" t="inlineStr">
        <is>
          <t>Demandée</t>
        </is>
      </c>
      <c r="H217" s="67" t="inlineStr">
        <is>
          <t>Approfondi</t>
        </is>
      </c>
      <c r="I217" s="68" t="inlineStr">
        <is>
          <t>—</t>
        </is>
      </c>
      <c r="J217" s="68" t="inlineStr">
        <is>
          <t>—</t>
        </is>
      </c>
      <c r="K217" s="67" t="inlineStr">
        <is>
          <t>●</t>
        </is>
      </c>
      <c r="L217" s="67" t="inlineStr">
        <is>
          <t>●</t>
        </is>
      </c>
      <c r="M217" s="67" t="inlineStr">
        <is>
          <t>●</t>
        </is>
      </c>
      <c r="N217" s="67" t="n"/>
      <c r="O217" s="67" t="inlineStr">
        <is>
          <t>●</t>
        </is>
      </c>
      <c r="P217" s="67" t="inlineStr">
        <is>
          <t>●</t>
        </is>
      </c>
      <c r="Q217" s="67" t="n"/>
      <c r="R217" s="67" t="n"/>
      <c r="S217" s="68" t="inlineStr">
        <is>
          <t>Levier</t>
        </is>
      </c>
      <c r="T217" s="68" t="inlineStr">
        <is>
          <t>—</t>
        </is>
      </c>
      <c r="U217" s="68" t="inlineStr">
        <is>
          <t>—</t>
        </is>
      </c>
      <c r="V217" s="68" t="inlineStr">
        <is>
          <t>XA16</t>
        </is>
      </c>
      <c r="W217" s="83" t="n"/>
    </row>
    <row r="218" ht="23.85" customHeight="1" s="53">
      <c r="A218" s="81" t="inlineStr">
        <is>
          <t>ACQ-17.09</t>
        </is>
      </c>
      <c r="B218" s="67" t="inlineStr">
        <is>
          <t>ACQ-17</t>
        </is>
      </c>
      <c r="C218" s="95">
        <f>IFERROR(INDEX(Thèmes!$D$2:$D$190,MATCH(B218,Thèmes!$A$2:$A$190,0)),"")</f>
        <v/>
      </c>
      <c r="D218" s="68" t="inlineStr">
        <is>
          <t>A17 · Vos clients fidèles</t>
        </is>
      </c>
      <c r="E218" s="68" t="inlineStr">
        <is>
          <t>Durée moyenne de la relation avec un client</t>
        </is>
      </c>
      <c r="F218" s="68" t="inlineStr">
        <is>
          <t>Années</t>
        </is>
      </c>
      <c r="G218" s="67" t="inlineStr">
        <is>
          <t>Demandée</t>
        </is>
      </c>
      <c r="H218" s="67" t="inlineStr">
        <is>
          <t>Approfondi</t>
        </is>
      </c>
      <c r="I218" s="68" t="inlineStr">
        <is>
          <t>—</t>
        </is>
      </c>
      <c r="J218" s="68" t="inlineStr">
        <is>
          <t>—</t>
        </is>
      </c>
      <c r="K218" s="67" t="n"/>
      <c r="L218" s="67" t="n"/>
      <c r="M218" s="67" t="n"/>
      <c r="N218" s="67" t="n"/>
      <c r="O218" s="67" t="inlineStr">
        <is>
          <t>●</t>
        </is>
      </c>
      <c r="P218" s="67" t="inlineStr">
        <is>
          <t>●</t>
        </is>
      </c>
      <c r="Q218" s="67" t="n"/>
      <c r="R218" s="67" t="n"/>
      <c r="S218" s="68" t="inlineStr">
        <is>
          <t>Potentiel CA</t>
        </is>
      </c>
      <c r="T218" s="68" t="inlineStr">
        <is>
          <t>—</t>
        </is>
      </c>
      <c r="U218" s="68" t="inlineStr">
        <is>
          <t>—</t>
        </is>
      </c>
      <c r="V218" s="68" t="inlineStr">
        <is>
          <t>ACQ-17.18</t>
        </is>
      </c>
      <c r="W218" s="83" t="n"/>
    </row>
    <row r="219" ht="23.85" customHeight="1" s="53">
      <c r="A219" s="94" t="inlineStr">
        <is>
          <t>ACQ-17.10</t>
        </is>
      </c>
      <c r="B219" s="67" t="inlineStr">
        <is>
          <t>ACQ-17</t>
        </is>
      </c>
      <c r="C219" s="95">
        <f>IFERROR(INDEX(Thèmes!$D$2:$D$190,MATCH(B219,Thèmes!$A$2:$A$190,0)),"")</f>
        <v/>
      </c>
      <c r="D219" s="68" t="inlineStr">
        <is>
          <t>A17 · Vos clients fidèles</t>
        </is>
      </c>
      <c r="E219" s="68" t="inlineStr">
        <is>
          <t>Clients sous contrat ou abonnés et revenu mensuel total — partagée avec FIN-05.07 : posée une seule fois</t>
        </is>
      </c>
      <c r="F219" s="68" t="inlineStr">
        <is>
          <t>Plusieurs champs : Clients sous contrat ou abonnés · Total payé par mois</t>
        </is>
      </c>
      <c r="G219" s="67" t="inlineStr">
        <is>
          <t>Demandée</t>
        </is>
      </c>
      <c r="H219" s="67" t="inlineStr">
        <is>
          <t>Essentiel</t>
        </is>
      </c>
      <c r="I219" s="68" t="inlineStr">
        <is>
          <t>—</t>
        </is>
      </c>
      <c r="J219" s="68" t="inlineStr">
        <is>
          <t>Aujourd'hui</t>
        </is>
      </c>
      <c r="K219" s="67" t="n"/>
      <c r="L219" s="67" t="n"/>
      <c r="M219" s="67" t="n"/>
      <c r="N219" s="67" t="n"/>
      <c r="O219" s="67" t="n"/>
      <c r="P219" s="67" t="n"/>
      <c r="Q219" s="67" t="inlineStr">
        <is>
          <t>●</t>
        </is>
      </c>
      <c r="R219" s="67" t="n"/>
      <c r="S219" s="68" t="inlineStr">
        <is>
          <t>Mesure</t>
        </is>
      </c>
      <c r="T219" s="68" t="inlineStr">
        <is>
          <t>—</t>
        </is>
      </c>
      <c r="U219" s="68" t="inlineStr">
        <is>
          <t>—</t>
        </is>
      </c>
      <c r="V219" s="68" t="inlineStr">
        <is>
          <t>ACQ-17.22, ACQ-17.23, XA37</t>
        </is>
      </c>
      <c r="W219" s="83" t="inlineStr">
        <is>
          <t>Format de réponse (la banque l'emporte) · Libellé (« Donnée »)</t>
        </is>
      </c>
    </row>
    <row r="220" ht="23.85" customHeight="1" s="53">
      <c r="A220" s="94" t="inlineStr">
        <is>
          <t>ACQ-17.11</t>
        </is>
      </c>
      <c r="B220" s="67" t="inlineStr">
        <is>
          <t>ACQ-17</t>
        </is>
      </c>
      <c r="C220" s="95">
        <f>IFERROR(INDEX(Thèmes!$D$2:$D$190,MATCH(B220,Thèmes!$A$2:$A$190,0)),"")</f>
        <v/>
      </c>
      <c r="D220" s="68" t="inlineStr">
        <is>
          <t>A17 · Vos clients fidèles</t>
        </is>
      </c>
      <c r="E220" s="68" t="inlineStr">
        <is>
          <t>Revenu récurrent mensuel (somme des abonnements)</t>
        </is>
      </c>
      <c r="F220" s="68" t="inlineStr">
        <is>
          <t>€</t>
        </is>
      </c>
      <c r="G220" s="96" t="inlineStr">
        <is>
          <t>Calculée</t>
        </is>
      </c>
      <c r="H220" s="67" t="inlineStr">
        <is>
          <t>—</t>
        </is>
      </c>
      <c r="I220" s="68" t="inlineStr">
        <is>
          <t>—</t>
        </is>
      </c>
      <c r="J220" s="68" t="inlineStr">
        <is>
          <t>—</t>
        </is>
      </c>
      <c r="K220" s="67" t="n"/>
      <c r="L220" s="67" t="n"/>
      <c r="M220" s="67" t="n"/>
      <c r="N220" s="67" t="n"/>
      <c r="O220" s="67" t="n"/>
      <c r="P220" s="67" t="n"/>
      <c r="Q220" s="67" t="inlineStr">
        <is>
          <t>●</t>
        </is>
      </c>
      <c r="R220" s="67" t="n"/>
      <c r="S220" s="68" t="inlineStr">
        <is>
          <t>Mesure</t>
        </is>
      </c>
      <c r="T220" s="68" t="inlineStr">
        <is>
          <t>Lue dans la réponse à ACQ-17.10 (champ « Total payé par mois ») : questions fusionnées</t>
        </is>
      </c>
      <c r="U220" s="68" t="inlineStr">
        <is>
          <t>ACQ-17.10</t>
        </is>
      </c>
      <c r="V220" s="68" t="inlineStr">
        <is>
          <t>ACQ-17.23, ACQ-17.27, XF47</t>
        </is>
      </c>
      <c r="W220" s="83" t="inlineStr">
        <is>
          <t>Mode : Calculée (plus de question : la banque la lit dans une autre réponse)</t>
        </is>
      </c>
    </row>
    <row r="221" ht="15" customHeight="1" s="53">
      <c r="A221" s="81" t="inlineStr">
        <is>
          <t>ACQ-17.12</t>
        </is>
      </c>
      <c r="B221" s="67" t="inlineStr">
        <is>
          <t>ACQ-17</t>
        </is>
      </c>
      <c r="C221" s="95">
        <f>IFERROR(INDEX(Thèmes!$D$2:$D$190,MATCH(B221,Thèmes!$A$2:$A$190,0)),"")</f>
        <v/>
      </c>
      <c r="D221" s="68" t="inlineStr">
        <is>
          <t>A17 · Vos clients fidèles</t>
        </is>
      </c>
      <c r="E221" s="68" t="inlineStr">
        <is>
          <t>Même chiffre il y a 6 mois et il y a 12 mois</t>
        </is>
      </c>
      <c r="F221" s="68" t="inlineStr">
        <is>
          <t>€ (2 colonnes)</t>
        </is>
      </c>
      <c r="G221" s="67" t="inlineStr">
        <is>
          <t>Demandée</t>
        </is>
      </c>
      <c r="H221" s="67" t="inlineStr">
        <is>
          <t>Essentiel</t>
        </is>
      </c>
      <c r="I221" s="68" t="inlineStr">
        <is>
          <t>—</t>
        </is>
      </c>
      <c r="J221" s="68" t="inlineStr">
        <is>
          <t>Colonne 6 mois si plus de 6 mois d'existence ; colonne 12 mois si plus de 12 mois</t>
        </is>
      </c>
      <c r="K221" s="67" t="n"/>
      <c r="L221" s="67" t="n"/>
      <c r="M221" s="67" t="n"/>
      <c r="N221" s="67" t="n"/>
      <c r="O221" s="67" t="n"/>
      <c r="P221" s="67" t="n"/>
      <c r="Q221" s="67" t="inlineStr">
        <is>
          <t>●</t>
        </is>
      </c>
      <c r="R221" s="67" t="n"/>
      <c r="S221" s="68" t="inlineStr">
        <is>
          <t>Problème</t>
        </is>
      </c>
      <c r="T221" s="68" t="inlineStr">
        <is>
          <t>—</t>
        </is>
      </c>
      <c r="U221" s="68" t="inlineStr">
        <is>
          <t>—</t>
        </is>
      </c>
      <c r="V221" s="68" t="inlineStr">
        <is>
          <t>ACQ-17.27</t>
        </is>
      </c>
      <c r="W221" s="83" t="n"/>
    </row>
    <row r="222" ht="35.05" customHeight="1" s="53">
      <c r="A222" s="94" t="inlineStr">
        <is>
          <t>ACQ-17.13</t>
        </is>
      </c>
      <c r="B222" s="67" t="inlineStr">
        <is>
          <t>ACQ-17</t>
        </is>
      </c>
      <c r="C222" s="95">
        <f>IFERROR(INDEX(Thèmes!$D$2:$D$190,MATCH(B222,Thèmes!$A$2:$A$190,0)),"")</f>
        <v/>
      </c>
      <c r="D222" s="68" t="inlineStr">
        <is>
          <t>A17 · Vos clients fidèles</t>
        </is>
      </c>
      <c r="E222" s="68" t="inlineStr">
        <is>
          <t>Résiliations par mois — déclencheur D38</t>
        </is>
      </c>
      <c r="F222" s="68" t="inlineStr">
        <is>
          <t>Nombre</t>
        </is>
      </c>
      <c r="G222" s="67" t="inlineStr">
        <is>
          <t>Demandée</t>
        </is>
      </c>
      <c r="H222" s="67" t="inlineStr">
        <is>
          <t>Essentiel</t>
        </is>
      </c>
      <c r="I222" s="68" t="inlineStr">
        <is>
          <t>—</t>
        </is>
      </c>
      <c r="J222" s="68" t="inlineStr">
        <is>
          <t>—</t>
        </is>
      </c>
      <c r="K222" s="67" t="n"/>
      <c r="L222" s="67" t="n"/>
      <c r="M222" s="67" t="n"/>
      <c r="N222" s="67" t="n"/>
      <c r="O222" s="67" t="n"/>
      <c r="P222" s="67" t="n"/>
      <c r="Q222" s="67" t="inlineStr">
        <is>
          <t>●</t>
        </is>
      </c>
      <c r="R222" s="67" t="n"/>
      <c r="S222" s="68" t="inlineStr">
        <is>
          <t>Perte</t>
        </is>
      </c>
      <c r="T222" s="68" t="inlineStr">
        <is>
          <t>—</t>
        </is>
      </c>
      <c r="U222" s="68" t="inlineStr">
        <is>
          <t>—</t>
        </is>
      </c>
      <c r="V222" s="68" t="inlineStr">
        <is>
          <t>ACQ-17.22, ACQ-17.26</t>
        </is>
      </c>
      <c r="W222" s="83" t="inlineStr">
        <is>
          <t>Libellé (« Donnée »)</t>
        </is>
      </c>
    </row>
    <row r="223" ht="23.85" customHeight="1" s="53">
      <c r="A223" s="94" t="inlineStr">
        <is>
          <t>ACQ-17.14</t>
        </is>
      </c>
      <c r="B223" s="67" t="inlineStr">
        <is>
          <t>ACQ-17</t>
        </is>
      </c>
      <c r="C223" s="95">
        <f>IFERROR(INDEX(Thèmes!$D$2:$D$190,MATCH(B223,Thèmes!$A$2:$A$190,0)),"")</f>
        <v/>
      </c>
      <c r="D223" s="68" t="inlineStr">
        <is>
          <t>A17 · Vos clients fidèles</t>
        </is>
      </c>
      <c r="E223" s="68" t="inlineStr">
        <is>
          <t>Motif principal des résiliations : prix, usage insuffisant, concurrent, fin du besoin, insatisfaction</t>
        </is>
      </c>
      <c r="F223" s="68" t="inlineStr">
        <is>
          <t>Choix</t>
        </is>
      </c>
      <c r="G223" s="67" t="inlineStr">
        <is>
          <t>Demandée</t>
        </is>
      </c>
      <c r="H223" s="67" t="inlineStr">
        <is>
          <t>Essentiel</t>
        </is>
      </c>
      <c r="I223" s="99" t="inlineStr">
        <is>
          <t>D38 · si des clients résilient</t>
        </is>
      </c>
      <c r="J223" s="68" t="inlineStr">
        <is>
          <t>—</t>
        </is>
      </c>
      <c r="K223" s="67" t="n"/>
      <c r="L223" s="67" t="n"/>
      <c r="M223" s="67" t="n"/>
      <c r="N223" s="67" t="n"/>
      <c r="O223" s="67" t="n"/>
      <c r="P223" s="67" t="n"/>
      <c r="Q223" s="67" t="inlineStr">
        <is>
          <t>●</t>
        </is>
      </c>
      <c r="R223" s="67" t="n"/>
      <c r="S223" s="68" t="inlineStr">
        <is>
          <t>Levier</t>
        </is>
      </c>
      <c r="T223" s="68" t="inlineStr">
        <is>
          <t>—</t>
        </is>
      </c>
      <c r="U223" s="68" t="inlineStr">
        <is>
          <t>—</t>
        </is>
      </c>
      <c r="V223" s="68" t="inlineStr">
        <is>
          <t>Lue par l'IA pour adapter le conseil</t>
        </is>
      </c>
      <c r="W223" s="83" t="inlineStr">
        <is>
          <t>Condition d'affichage</t>
        </is>
      </c>
    </row>
    <row r="224" ht="23.85" customHeight="1" s="53">
      <c r="A224" s="81" t="inlineStr">
        <is>
          <t>ACQ-17.15</t>
        </is>
      </c>
      <c r="B224" s="67" t="inlineStr">
        <is>
          <t>ACQ-17</t>
        </is>
      </c>
      <c r="C224" s="95">
        <f>IFERROR(INDEX(Thèmes!$D$2:$D$190,MATCH(B224,Thèmes!$A$2:$A$190,0)),"")</f>
        <v/>
      </c>
      <c r="D224" s="68" t="inlineStr">
        <is>
          <t>A17 · Vos clients fidèles</t>
        </is>
      </c>
      <c r="E224" s="68" t="inlineStr">
        <is>
          <t>Abonnés passés à une formule supérieure, par mois</t>
        </is>
      </c>
      <c r="F224" s="68" t="inlineStr">
        <is>
          <t>Nombre</t>
        </is>
      </c>
      <c r="G224" s="67" t="inlineStr">
        <is>
          <t>Demandée</t>
        </is>
      </c>
      <c r="H224" s="67" t="inlineStr">
        <is>
          <t>Approfondi</t>
        </is>
      </c>
      <c r="I224" s="68" t="inlineStr">
        <is>
          <t>—</t>
        </is>
      </c>
      <c r="J224" s="68" t="inlineStr">
        <is>
          <t>—</t>
        </is>
      </c>
      <c r="K224" s="67" t="n"/>
      <c r="L224" s="67" t="n"/>
      <c r="M224" s="67" t="n"/>
      <c r="N224" s="67" t="n"/>
      <c r="O224" s="67" t="n"/>
      <c r="P224" s="67" t="n"/>
      <c r="Q224" s="67" t="inlineStr">
        <is>
          <t>●</t>
        </is>
      </c>
      <c r="R224" s="67" t="n"/>
      <c r="S224" s="68" t="inlineStr">
        <is>
          <t>Opportunité</t>
        </is>
      </c>
      <c r="T224" s="68" t="inlineStr">
        <is>
          <t>—</t>
        </is>
      </c>
      <c r="U224" s="68" t="inlineStr">
        <is>
          <t>—</t>
        </is>
      </c>
      <c r="V224" s="68" t="inlineStr">
        <is>
          <t>Lue par l'IA pour adapter le conseil</t>
        </is>
      </c>
      <c r="W224" s="83" t="n"/>
    </row>
    <row r="225" ht="23.85" customHeight="1" s="53">
      <c r="A225" s="81" t="inlineStr">
        <is>
          <t>ACQ-17.16</t>
        </is>
      </c>
      <c r="B225" s="67" t="inlineStr">
        <is>
          <t>ACQ-17</t>
        </is>
      </c>
      <c r="C225" s="95">
        <f>IFERROR(INDEX(Thèmes!$D$2:$D$190,MATCH(B225,Thèmes!$A$2:$A$190,0)),"")</f>
        <v/>
      </c>
      <c r="D225" s="68" t="inlineStr">
        <is>
          <t>—</t>
        </is>
      </c>
      <c r="E225" s="68" t="inlineStr">
        <is>
          <t>Clients inactifs (dans le fichier, sans achat depuis 12 mois)</t>
        </is>
      </c>
      <c r="F225" s="68" t="inlineStr">
        <is>
          <t>Nombre</t>
        </is>
      </c>
      <c r="G225" s="96" t="inlineStr">
        <is>
          <t>Calculée</t>
        </is>
      </c>
      <c r="H225" s="67" t="inlineStr">
        <is>
          <t>—</t>
        </is>
      </c>
      <c r="I225" s="68" t="inlineStr">
        <is>
          <t>—</t>
        </is>
      </c>
      <c r="J225" s="68" t="inlineStr">
        <is>
          <t>—</t>
        </is>
      </c>
      <c r="K225" s="67" t="inlineStr">
        <is>
          <t>●</t>
        </is>
      </c>
      <c r="L225" s="67" t="inlineStr">
        <is>
          <t>●</t>
        </is>
      </c>
      <c r="M225" s="67" t="inlineStr">
        <is>
          <t>●</t>
        </is>
      </c>
      <c r="N225" s="67" t="n"/>
      <c r="O225" s="67" t="inlineStr">
        <is>
          <t>●</t>
        </is>
      </c>
      <c r="P225" s="67" t="inlineStr">
        <is>
          <t>●</t>
        </is>
      </c>
      <c r="Q225" s="67" t="n"/>
      <c r="R225" s="67" t="n"/>
      <c r="S225" s="68" t="inlineStr">
        <is>
          <t>Opportunité</t>
        </is>
      </c>
      <c r="T225" s="68" t="inlineStr">
        <is>
          <t>Clients du fichier − clients actifs</t>
        </is>
      </c>
      <c r="U225" s="68" t="inlineStr">
        <is>
          <t>ACQ-17.06, ACQ-17.01</t>
        </is>
      </c>
      <c r="V225" s="68" t="inlineStr">
        <is>
          <t>ACQ-17.21, XA17</t>
        </is>
      </c>
      <c r="W225" s="83" t="n"/>
    </row>
    <row r="226" ht="15" customHeight="1" s="53">
      <c r="A226" s="81" t="inlineStr">
        <is>
          <t>ACQ-17.17</t>
        </is>
      </c>
      <c r="B226" s="67" t="inlineStr">
        <is>
          <t>ACQ-17</t>
        </is>
      </c>
      <c r="C226" s="95">
        <f>IFERROR(INDEX(Thèmes!$D$2:$D$190,MATCH(B226,Thèmes!$A$2:$A$190,0)),"")</f>
        <v/>
      </c>
      <c r="D226" s="68" t="inlineStr">
        <is>
          <t>—</t>
        </is>
      </c>
      <c r="E226" s="68" t="inlineStr">
        <is>
          <t>Taux de clients perdus dans l'année</t>
        </is>
      </c>
      <c r="F226" s="68" t="inlineStr">
        <is>
          <t>%</t>
        </is>
      </c>
      <c r="G226" s="96" t="inlineStr">
        <is>
          <t>Calculée</t>
        </is>
      </c>
      <c r="H226" s="67" t="inlineStr">
        <is>
          <t>—</t>
        </is>
      </c>
      <c r="I226" s="68" t="inlineStr">
        <is>
          <t>—</t>
        </is>
      </c>
      <c r="J226" s="68" t="inlineStr">
        <is>
          <t>—</t>
        </is>
      </c>
      <c r="K226" s="67" t="inlineStr">
        <is>
          <t>●</t>
        </is>
      </c>
      <c r="L226" s="67" t="inlineStr">
        <is>
          <t>●</t>
        </is>
      </c>
      <c r="M226" s="67" t="inlineStr">
        <is>
          <t>●</t>
        </is>
      </c>
      <c r="N226" s="67" t="n"/>
      <c r="O226" s="67" t="inlineStr">
        <is>
          <t>●</t>
        </is>
      </c>
      <c r="P226" s="67" t="inlineStr">
        <is>
          <t>●</t>
        </is>
      </c>
      <c r="Q226" s="67" t="n"/>
      <c r="R226" s="67" t="n"/>
      <c r="S226" s="68" t="inlineStr">
        <is>
          <t>Problème</t>
        </is>
      </c>
      <c r="T226" s="68" t="inlineStr">
        <is>
          <t>100 % − part des clients revenus</t>
        </is>
      </c>
      <c r="U226" s="68" t="inlineStr">
        <is>
          <t>ACQ-17.02</t>
        </is>
      </c>
      <c r="V226" s="68" t="inlineStr">
        <is>
          <t>ACQ-17.18</t>
        </is>
      </c>
      <c r="W226" s="83" t="n"/>
    </row>
    <row r="227" ht="23.85" customHeight="1" s="53">
      <c r="A227" s="81" t="inlineStr">
        <is>
          <t>ACQ-17.18</t>
        </is>
      </c>
      <c r="B227" s="67" t="inlineStr">
        <is>
          <t>ACQ-17</t>
        </is>
      </c>
      <c r="C227" s="95">
        <f>IFERROR(INDEX(Thèmes!$D$2:$D$190,MATCH(B227,Thèmes!$A$2:$A$190,0)),"")</f>
        <v/>
      </c>
      <c r="D227" s="68" t="inlineStr">
        <is>
          <t>—</t>
        </is>
      </c>
      <c r="E227" s="68" t="inlineStr">
        <is>
          <t>Valeur d'un client sur toute la relation</t>
        </is>
      </c>
      <c r="F227" s="68" t="inlineStr">
        <is>
          <t>€</t>
        </is>
      </c>
      <c r="G227" s="96" t="inlineStr">
        <is>
          <t>Calculée</t>
        </is>
      </c>
      <c r="H227" s="67" t="inlineStr">
        <is>
          <t>—</t>
        </is>
      </c>
      <c r="I227" s="68" t="inlineStr">
        <is>
          <t>—</t>
        </is>
      </c>
      <c r="J227" s="68" t="inlineStr">
        <is>
          <t>—</t>
        </is>
      </c>
      <c r="K227" s="67" t="inlineStr">
        <is>
          <t>●</t>
        </is>
      </c>
      <c r="L227" s="67" t="inlineStr">
        <is>
          <t>●</t>
        </is>
      </c>
      <c r="M227" s="67" t="inlineStr">
        <is>
          <t>●</t>
        </is>
      </c>
      <c r="N227" s="67" t="n"/>
      <c r="O227" s="67" t="inlineStr">
        <is>
          <t>●</t>
        </is>
      </c>
      <c r="P227" s="67" t="inlineStr">
        <is>
          <t>●</t>
        </is>
      </c>
      <c r="Q227" s="67" t="n"/>
      <c r="R227" s="67" t="n"/>
      <c r="S227" s="68" t="inlineStr">
        <is>
          <t>Potentiel CA</t>
        </is>
      </c>
      <c r="T227" s="68" t="inlineStr">
        <is>
          <t>Panier moyen × achats par an × durée de relation (déclarée, ou estimée à partir du taux de clients perdus)</t>
        </is>
      </c>
      <c r="U227" s="68" t="inlineStr">
        <is>
          <t>ACQ-15.06, ACQ-17.03, ACQ-17.09, ACQ-17.17</t>
        </is>
      </c>
      <c r="V227" s="68" t="inlineStr">
        <is>
          <t>XA18</t>
        </is>
      </c>
      <c r="W227" s="83" t="n"/>
    </row>
    <row r="228" ht="15" customHeight="1" s="53">
      <c r="A228" s="81" t="inlineStr">
        <is>
          <t>ACQ-17.19</t>
        </is>
      </c>
      <c r="B228" s="67" t="inlineStr">
        <is>
          <t>ACQ-17</t>
        </is>
      </c>
      <c r="C228" s="95">
        <f>IFERROR(INDEX(Thèmes!$D$2:$D$190,MATCH(B228,Thèmes!$A$2:$A$190,0)),"")</f>
        <v/>
      </c>
      <c r="D228" s="68" t="inlineStr">
        <is>
          <t>—</t>
        </is>
      </c>
      <c r="E228" s="68" t="inlineStr">
        <is>
          <t>CA récurrent annuel des clients actifs</t>
        </is>
      </c>
      <c r="F228" s="68" t="inlineStr">
        <is>
          <t>€</t>
        </is>
      </c>
      <c r="G228" s="96" t="inlineStr">
        <is>
          <t>Calculée</t>
        </is>
      </c>
      <c r="H228" s="67" t="inlineStr">
        <is>
          <t>—</t>
        </is>
      </c>
      <c r="I228" s="68" t="inlineStr">
        <is>
          <t>—</t>
        </is>
      </c>
      <c r="J228" s="68" t="inlineStr">
        <is>
          <t>—</t>
        </is>
      </c>
      <c r="K228" s="67" t="inlineStr">
        <is>
          <t>●</t>
        </is>
      </c>
      <c r="L228" s="67" t="inlineStr">
        <is>
          <t>●</t>
        </is>
      </c>
      <c r="M228" s="67" t="inlineStr">
        <is>
          <t>●</t>
        </is>
      </c>
      <c r="N228" s="67" t="n"/>
      <c r="O228" s="67" t="inlineStr">
        <is>
          <t>●</t>
        </is>
      </c>
      <c r="P228" s="67" t="inlineStr">
        <is>
          <t>●</t>
        </is>
      </c>
      <c r="Q228" s="67" t="n"/>
      <c r="R228" s="67" t="n"/>
      <c r="S228" s="68" t="inlineStr">
        <is>
          <t>Potentiel CA</t>
        </is>
      </c>
      <c r="T228" s="68" t="inlineStr">
        <is>
          <t>Clients actifs × achats par an × panier moyen</t>
        </is>
      </c>
      <c r="U228" s="68" t="inlineStr">
        <is>
          <t>ACQ-17.01, ACQ-17.03, ACQ-15.06</t>
        </is>
      </c>
      <c r="V228" s="68" t="inlineStr">
        <is>
          <t>XA16</t>
        </is>
      </c>
      <c r="W228" s="83" t="n"/>
    </row>
    <row r="229" ht="15" customHeight="1" s="53">
      <c r="A229" s="81" t="inlineStr">
        <is>
          <t>ACQ-17.20</t>
        </is>
      </c>
      <c r="B229" s="67" t="inlineStr">
        <is>
          <t>ACQ-17</t>
        </is>
      </c>
      <c r="C229" s="95">
        <f>IFERROR(INDEX(Thèmes!$D$2:$D$190,MATCH(B229,Thèmes!$A$2:$A$190,0)),"")</f>
        <v/>
      </c>
      <c r="D229" s="68" t="inlineStr">
        <is>
          <t>—</t>
        </is>
      </c>
      <c r="E229" s="68" t="inlineStr">
        <is>
          <t>Gain si 10 % de clients en plus reviennent</t>
        </is>
      </c>
      <c r="F229" s="68" t="inlineStr">
        <is>
          <t>€</t>
        </is>
      </c>
      <c r="G229" s="96" t="inlineStr">
        <is>
          <t>Calculée</t>
        </is>
      </c>
      <c r="H229" s="67" t="inlineStr">
        <is>
          <t>—</t>
        </is>
      </c>
      <c r="I229" s="68" t="inlineStr">
        <is>
          <t>—</t>
        </is>
      </c>
      <c r="J229" s="68" t="inlineStr">
        <is>
          <t>—</t>
        </is>
      </c>
      <c r="K229" s="67" t="inlineStr">
        <is>
          <t>●</t>
        </is>
      </c>
      <c r="L229" s="67" t="inlineStr">
        <is>
          <t>●</t>
        </is>
      </c>
      <c r="M229" s="67" t="inlineStr">
        <is>
          <t>●</t>
        </is>
      </c>
      <c r="N229" s="67" t="n"/>
      <c r="O229" s="67" t="inlineStr">
        <is>
          <t>●</t>
        </is>
      </c>
      <c r="P229" s="67" t="inlineStr">
        <is>
          <t>●</t>
        </is>
      </c>
      <c r="Q229" s="67" t="n"/>
      <c r="R229" s="67" t="n"/>
      <c r="S229" s="68" t="inlineStr">
        <is>
          <t>Potentiel CA</t>
        </is>
      </c>
      <c r="T229" s="68" t="inlineStr">
        <is>
          <t>Clients actifs × 10 % × achats par an × panier moyen</t>
        </is>
      </c>
      <c r="U229" s="68" t="inlineStr">
        <is>
          <t>ACQ-17.01, ACQ-17.03, ACQ-15.06</t>
        </is>
      </c>
      <c r="V229" s="68" t="inlineStr">
        <is>
          <t>XA16</t>
        </is>
      </c>
      <c r="W229" s="83" t="n"/>
    </row>
    <row r="230" ht="23.85" customHeight="1" s="53">
      <c r="A230" s="81" t="inlineStr">
        <is>
          <t>ACQ-17.21</t>
        </is>
      </c>
      <c r="B230" s="67" t="inlineStr">
        <is>
          <t>ACQ-17</t>
        </is>
      </c>
      <c r="C230" s="95">
        <f>IFERROR(INDEX(Thèmes!$D$2:$D$190,MATCH(B230,Thèmes!$A$2:$A$190,0)),"")</f>
        <v/>
      </c>
      <c r="D230" s="68" t="inlineStr">
        <is>
          <t>—</t>
        </is>
      </c>
      <c r="E230" s="68" t="inlineStr">
        <is>
          <t>Potentiel de reconquête des clients inactifs</t>
        </is>
      </c>
      <c r="F230" s="68" t="inlineStr">
        <is>
          <t>€</t>
        </is>
      </c>
      <c r="G230" s="96" t="inlineStr">
        <is>
          <t>Calculée</t>
        </is>
      </c>
      <c r="H230" s="67" t="inlineStr">
        <is>
          <t>—</t>
        </is>
      </c>
      <c r="I230" s="68" t="inlineStr">
        <is>
          <t>—</t>
        </is>
      </c>
      <c r="J230" s="68" t="inlineStr">
        <is>
          <t>—</t>
        </is>
      </c>
      <c r="K230" s="67" t="inlineStr">
        <is>
          <t>●</t>
        </is>
      </c>
      <c r="L230" s="67" t="inlineStr">
        <is>
          <t>●</t>
        </is>
      </c>
      <c r="M230" s="67" t="inlineStr">
        <is>
          <t>●</t>
        </is>
      </c>
      <c r="N230" s="67" t="n"/>
      <c r="O230" s="67" t="inlineStr">
        <is>
          <t>●</t>
        </is>
      </c>
      <c r="P230" s="67" t="inlineStr">
        <is>
          <t>●</t>
        </is>
      </c>
      <c r="Q230" s="67" t="n"/>
      <c r="R230" s="67" t="n"/>
      <c r="S230" s="68" t="inlineStr">
        <is>
          <t>Potentiel CA</t>
        </is>
      </c>
      <c r="T230" s="68" t="inlineStr">
        <is>
          <t>Clients inactifs × part de retour prudente × panier moyen</t>
        </is>
      </c>
      <c r="U230" s="68" t="inlineStr">
        <is>
          <t>ACQ-17.16, ACQ-15.06</t>
        </is>
      </c>
      <c r="V230" s="68" t="inlineStr">
        <is>
          <t>XA17</t>
        </is>
      </c>
      <c r="W230" s="83" t="n"/>
    </row>
    <row r="231" ht="15" customHeight="1" s="53">
      <c r="A231" s="81" t="inlineStr">
        <is>
          <t>ACQ-17.22</t>
        </is>
      </c>
      <c r="B231" s="67" t="inlineStr">
        <is>
          <t>ACQ-17</t>
        </is>
      </c>
      <c r="C231" s="95">
        <f>IFERROR(INDEX(Thèmes!$D$2:$D$190,MATCH(B231,Thèmes!$A$2:$A$190,0)),"")</f>
        <v/>
      </c>
      <c r="D231" s="68" t="inlineStr">
        <is>
          <t>—</t>
        </is>
      </c>
      <c r="E231" s="68" t="inlineStr">
        <is>
          <t>Taux de résiliation mensuel</t>
        </is>
      </c>
      <c r="F231" s="68" t="inlineStr">
        <is>
          <t>%</t>
        </is>
      </c>
      <c r="G231" s="96" t="inlineStr">
        <is>
          <t>Calculée</t>
        </is>
      </c>
      <c r="H231" s="67" t="inlineStr">
        <is>
          <t>—</t>
        </is>
      </c>
      <c r="I231" s="68" t="inlineStr">
        <is>
          <t>—</t>
        </is>
      </c>
      <c r="J231" s="68" t="inlineStr">
        <is>
          <t>—</t>
        </is>
      </c>
      <c r="K231" s="67" t="n"/>
      <c r="L231" s="67" t="n"/>
      <c r="M231" s="67" t="n"/>
      <c r="N231" s="67" t="n"/>
      <c r="O231" s="67" t="n"/>
      <c r="P231" s="67" t="n"/>
      <c r="Q231" s="67" t="inlineStr">
        <is>
          <t>●</t>
        </is>
      </c>
      <c r="R231" s="67" t="n"/>
      <c r="S231" s="68" t="inlineStr">
        <is>
          <t>Problème</t>
        </is>
      </c>
      <c r="T231" s="68" t="inlineStr">
        <is>
          <t>Résiliations ÷ abonnés actifs</t>
        </is>
      </c>
      <c r="U231" s="68" t="inlineStr">
        <is>
          <t>ACQ-17.13, ACQ-17.10</t>
        </is>
      </c>
      <c r="V231" s="68" t="inlineStr">
        <is>
          <t>ACQ-17.24</t>
        </is>
      </c>
      <c r="W231" s="83" t="n"/>
    </row>
    <row r="232" ht="15" customHeight="1" s="53">
      <c r="A232" s="81" t="inlineStr">
        <is>
          <t>ACQ-17.23</t>
        </is>
      </c>
      <c r="B232" s="67" t="inlineStr">
        <is>
          <t>ACQ-17</t>
        </is>
      </c>
      <c r="C232" s="95">
        <f>IFERROR(INDEX(Thèmes!$D$2:$D$190,MATCH(B232,Thèmes!$A$2:$A$190,0)),"")</f>
        <v/>
      </c>
      <c r="D232" s="68" t="inlineStr">
        <is>
          <t>—</t>
        </is>
      </c>
      <c r="E232" s="68" t="inlineStr">
        <is>
          <t>Revenu moyen par abonné</t>
        </is>
      </c>
      <c r="F232" s="68" t="inlineStr">
        <is>
          <t>€</t>
        </is>
      </c>
      <c r="G232" s="96" t="inlineStr">
        <is>
          <t>Calculée</t>
        </is>
      </c>
      <c r="H232" s="67" t="inlineStr">
        <is>
          <t>—</t>
        </is>
      </c>
      <c r="I232" s="68" t="inlineStr">
        <is>
          <t>—</t>
        </is>
      </c>
      <c r="J232" s="68" t="inlineStr">
        <is>
          <t>—</t>
        </is>
      </c>
      <c r="K232" s="67" t="n"/>
      <c r="L232" s="67" t="n"/>
      <c r="M232" s="67" t="n"/>
      <c r="N232" s="67" t="n"/>
      <c r="O232" s="67" t="n"/>
      <c r="P232" s="67" t="n"/>
      <c r="Q232" s="67" t="inlineStr">
        <is>
          <t>●</t>
        </is>
      </c>
      <c r="R232" s="67" t="n"/>
      <c r="S232" s="68" t="inlineStr">
        <is>
          <t>Levier</t>
        </is>
      </c>
      <c r="T232" s="68" t="inlineStr">
        <is>
          <t>Revenu récurrent mensuel ÷ abonnés actifs</t>
        </is>
      </c>
      <c r="U232" s="68" t="inlineStr">
        <is>
          <t>ACQ-17.11, ACQ-17.10</t>
        </is>
      </c>
      <c r="V232" s="68" t="inlineStr">
        <is>
          <t>ACQ-15.06, ACQ-17.25, ACQ-17.26, XA37</t>
        </is>
      </c>
      <c r="W232" s="83" t="n"/>
    </row>
    <row r="233" ht="15" customHeight="1" s="53">
      <c r="A233" s="81" t="inlineStr">
        <is>
          <t>ACQ-17.24</t>
        </is>
      </c>
      <c r="B233" s="67" t="inlineStr">
        <is>
          <t>ACQ-17</t>
        </is>
      </c>
      <c r="C233" s="95">
        <f>IFERROR(INDEX(Thèmes!$D$2:$D$190,MATCH(B233,Thèmes!$A$2:$A$190,0)),"")</f>
        <v/>
      </c>
      <c r="D233" s="68" t="inlineStr">
        <is>
          <t>—</t>
        </is>
      </c>
      <c r="E233" s="68" t="inlineStr">
        <is>
          <t>Durée moyenne d'un abonnement</t>
        </is>
      </c>
      <c r="F233" s="68" t="inlineStr">
        <is>
          <t>Mois</t>
        </is>
      </c>
      <c r="G233" s="96" t="inlineStr">
        <is>
          <t>Calculée</t>
        </is>
      </c>
      <c r="H233" s="67" t="inlineStr">
        <is>
          <t>—</t>
        </is>
      </c>
      <c r="I233" s="68" t="inlineStr">
        <is>
          <t>—</t>
        </is>
      </c>
      <c r="J233" s="68" t="inlineStr">
        <is>
          <t>—</t>
        </is>
      </c>
      <c r="K233" s="67" t="n"/>
      <c r="L233" s="67" t="n"/>
      <c r="M233" s="67" t="n"/>
      <c r="N233" s="67" t="n"/>
      <c r="O233" s="67" t="n"/>
      <c r="P233" s="67" t="n"/>
      <c r="Q233" s="67" t="inlineStr">
        <is>
          <t>●</t>
        </is>
      </c>
      <c r="R233" s="67" t="n"/>
      <c r="S233" s="68" t="inlineStr">
        <is>
          <t>Potentiel CA</t>
        </is>
      </c>
      <c r="T233" s="68" t="inlineStr">
        <is>
          <t>1 ÷ taux de résiliation mensuel</t>
        </is>
      </c>
      <c r="U233" s="68" t="inlineStr">
        <is>
          <t>ACQ-17.22</t>
        </is>
      </c>
      <c r="V233" s="68" t="inlineStr">
        <is>
          <t>ACQ-17.25</t>
        </is>
      </c>
      <c r="W233" s="83" t="n"/>
    </row>
    <row r="234" ht="23.85" customHeight="1" s="53">
      <c r="A234" s="81" t="inlineStr">
        <is>
          <t>ACQ-17.25</t>
        </is>
      </c>
      <c r="B234" s="67" t="inlineStr">
        <is>
          <t>ACQ-17</t>
        </is>
      </c>
      <c r="C234" s="95">
        <f>IFERROR(INDEX(Thèmes!$D$2:$D$190,MATCH(B234,Thèmes!$A$2:$A$190,0)),"")</f>
        <v/>
      </c>
      <c r="D234" s="68" t="inlineStr">
        <is>
          <t>—</t>
        </is>
      </c>
      <c r="E234" s="68" t="inlineStr">
        <is>
          <t>Valeur d'un abonné sur toute sa durée</t>
        </is>
      </c>
      <c r="F234" s="68" t="inlineStr">
        <is>
          <t>€</t>
        </is>
      </c>
      <c r="G234" s="96" t="inlineStr">
        <is>
          <t>Calculée</t>
        </is>
      </c>
      <c r="H234" s="67" t="inlineStr">
        <is>
          <t>—</t>
        </is>
      </c>
      <c r="I234" s="68" t="inlineStr">
        <is>
          <t>—</t>
        </is>
      </c>
      <c r="J234" s="68" t="inlineStr">
        <is>
          <t>—</t>
        </is>
      </c>
      <c r="K234" s="67" t="n"/>
      <c r="L234" s="67" t="n"/>
      <c r="M234" s="67" t="n"/>
      <c r="N234" s="67" t="n"/>
      <c r="O234" s="67" t="n"/>
      <c r="P234" s="67" t="n"/>
      <c r="Q234" s="67" t="inlineStr">
        <is>
          <t>●</t>
        </is>
      </c>
      <c r="R234" s="67" t="n"/>
      <c r="S234" s="68" t="inlineStr">
        <is>
          <t>Potentiel CA</t>
        </is>
      </c>
      <c r="T234" s="68" t="inlineStr">
        <is>
          <t>Revenu moyen par abonné × durée moyenne</t>
        </is>
      </c>
      <c r="U234" s="68" t="inlineStr">
        <is>
          <t>ACQ-17.23, ACQ-17.24</t>
        </is>
      </c>
      <c r="V234" s="68" t="inlineStr">
        <is>
          <t>XA18</t>
        </is>
      </c>
      <c r="W234" s="83" t="n"/>
    </row>
    <row r="235" ht="23.85" customHeight="1" s="53">
      <c r="A235" s="81" t="inlineStr">
        <is>
          <t>ACQ-17.26</t>
        </is>
      </c>
      <c r="B235" s="67" t="inlineStr">
        <is>
          <t>ACQ-17</t>
        </is>
      </c>
      <c r="C235" s="95">
        <f>IFERROR(INDEX(Thèmes!$D$2:$D$190,MATCH(B235,Thèmes!$A$2:$A$190,0)),"")</f>
        <v/>
      </c>
      <c r="D235" s="68" t="inlineStr">
        <is>
          <t>—</t>
        </is>
      </c>
      <c r="E235" s="68" t="inlineStr">
        <is>
          <t>Revenu perdu sur un an à cause des résiliations</t>
        </is>
      </c>
      <c r="F235" s="68" t="inlineStr">
        <is>
          <t>€</t>
        </is>
      </c>
      <c r="G235" s="96" t="inlineStr">
        <is>
          <t>Calculée</t>
        </is>
      </c>
      <c r="H235" s="67" t="inlineStr">
        <is>
          <t>—</t>
        </is>
      </c>
      <c r="I235" s="68" t="inlineStr">
        <is>
          <t>—</t>
        </is>
      </c>
      <c r="J235" s="68" t="inlineStr">
        <is>
          <t>—</t>
        </is>
      </c>
      <c r="K235" s="67" t="n"/>
      <c r="L235" s="67" t="n"/>
      <c r="M235" s="67" t="n"/>
      <c r="N235" s="67" t="n"/>
      <c r="O235" s="67" t="n"/>
      <c r="P235" s="67" t="n"/>
      <c r="Q235" s="67" t="inlineStr">
        <is>
          <t>●</t>
        </is>
      </c>
      <c r="R235" s="67" t="n"/>
      <c r="S235" s="68" t="inlineStr">
        <is>
          <t>Perte</t>
        </is>
      </c>
      <c r="T235" s="68" t="inlineStr">
        <is>
          <t>Résiliations par mois × revenu moyen par abonné × 12</t>
        </is>
      </c>
      <c r="U235" s="68" t="inlineStr">
        <is>
          <t>ACQ-17.13, ACQ-17.23</t>
        </is>
      </c>
      <c r="V235" s="68" t="inlineStr">
        <is>
          <t>XA36</t>
        </is>
      </c>
      <c r="W235" s="83" t="n"/>
    </row>
    <row r="236" ht="15" customHeight="1" s="53">
      <c r="A236" s="81" t="inlineStr">
        <is>
          <t>ACQ-17.27</t>
        </is>
      </c>
      <c r="B236" s="67" t="inlineStr">
        <is>
          <t>ACQ-17</t>
        </is>
      </c>
      <c r="C236" s="95">
        <f>IFERROR(INDEX(Thèmes!$D$2:$D$190,MATCH(B236,Thèmes!$A$2:$A$190,0)),"")</f>
        <v/>
      </c>
      <c r="D236" s="68" t="inlineStr">
        <is>
          <t>—</t>
        </is>
      </c>
      <c r="E236" s="68" t="inlineStr">
        <is>
          <t>Évolution du revenu récurrent sur 6 et 12 mois</t>
        </is>
      </c>
      <c r="F236" s="68" t="inlineStr">
        <is>
          <t>%</t>
        </is>
      </c>
      <c r="G236" s="96" t="inlineStr">
        <is>
          <t>Calculée</t>
        </is>
      </c>
      <c r="H236" s="67" t="inlineStr">
        <is>
          <t>—</t>
        </is>
      </c>
      <c r="I236" s="68" t="inlineStr">
        <is>
          <t>—</t>
        </is>
      </c>
      <c r="J236" s="68" t="inlineStr">
        <is>
          <t>—</t>
        </is>
      </c>
      <c r="K236" s="67" t="n"/>
      <c r="L236" s="67" t="n"/>
      <c r="M236" s="67" t="n"/>
      <c r="N236" s="67" t="n"/>
      <c r="O236" s="67" t="n"/>
      <c r="P236" s="67" t="n"/>
      <c r="Q236" s="67" t="inlineStr">
        <is>
          <t>●</t>
        </is>
      </c>
      <c r="R236" s="67" t="n"/>
      <c r="S236" s="68" t="inlineStr">
        <is>
          <t>Problème</t>
        </is>
      </c>
      <c r="T236" s="68" t="inlineStr">
        <is>
          <t>(Actuel − passé) ÷ passé</t>
        </is>
      </c>
      <c r="U236" s="68" t="inlineStr">
        <is>
          <t>ACQ-17.11, ACQ-17.12</t>
        </is>
      </c>
      <c r="V236" s="68" t="inlineStr">
        <is>
          <t>Affichée dans le rapport</t>
        </is>
      </c>
      <c r="W236" s="83" t="n"/>
    </row>
    <row r="237" ht="35.05" customHeight="1" s="53">
      <c r="A237" s="92" t="inlineStr">
        <is>
          <t>ACQ-17.28</t>
        </is>
      </c>
      <c r="B237" s="67" t="inlineStr">
        <is>
          <t>ACQ-17</t>
        </is>
      </c>
      <c r="C237" s="95">
        <f>IFERROR(INDEX(Thèmes!$D$2:$D$190,MATCH(B237,Thèmes!$A$2:$A$190,0)),"")</f>
        <v/>
      </c>
      <c r="D237" s="68" t="inlineStr">
        <is>
          <t>—</t>
        </is>
      </c>
      <c r="E237" s="68" t="inlineStr">
        <is>
          <t>Programme de fidélité</t>
        </is>
      </c>
      <c r="F237" s="68" t="inlineStr">
        <is>
          <t>Oui / non</t>
        </is>
      </c>
      <c r="G237" s="67" t="inlineStr">
        <is>
          <t>Demandée</t>
        </is>
      </c>
      <c r="H237" s="67" t="inlineStr">
        <is>
          <t>Approfondi</t>
        </is>
      </c>
      <c r="I237" s="68" t="inlineStr">
        <is>
          <t>—</t>
        </is>
      </c>
      <c r="J237" s="68" t="inlineStr">
        <is>
          <t>—</t>
        </is>
      </c>
      <c r="K237" s="67" t="inlineStr">
        <is>
          <t>●</t>
        </is>
      </c>
      <c r="L237" s="67" t="inlineStr">
        <is>
          <t>●</t>
        </is>
      </c>
      <c r="M237" s="67" t="inlineStr">
        <is>
          <t>●</t>
        </is>
      </c>
      <c r="N237" s="67" t="inlineStr">
        <is>
          <t>●</t>
        </is>
      </c>
      <c r="O237" s="67" t="n"/>
      <c r="P237" s="67" t="n"/>
      <c r="Q237" s="67" t="n"/>
      <c r="R237" s="67" t="inlineStr">
        <is>
          <t>●</t>
        </is>
      </c>
      <c r="S237" s="68" t="inlineStr">
        <is>
          <t>—</t>
        </is>
      </c>
      <c r="T237" s="68" t="inlineStr">
        <is>
          <t>—</t>
        </is>
      </c>
      <c r="U237" s="68" t="inlineStr">
        <is>
          <t>—</t>
        </is>
      </c>
      <c r="V237" s="68" t="inlineStr">
        <is>
          <t>—</t>
        </is>
      </c>
      <c r="W237" s="83" t="inlineStr">
        <is>
          <t>Nouveau</t>
        </is>
      </c>
    </row>
    <row r="238" ht="23.85" customHeight="1" s="53">
      <c r="A238" s="92" t="inlineStr">
        <is>
          <t>ACQ-17.29</t>
        </is>
      </c>
      <c r="B238" s="67" t="inlineStr">
        <is>
          <t>ACQ-17</t>
        </is>
      </c>
      <c r="C238" s="95">
        <f>IFERROR(INDEX(Thèmes!$D$2:$D$190,MATCH(B238,Thèmes!$A$2:$A$190,0)),"")</f>
        <v/>
      </c>
      <c r="D238" s="68" t="inlineStr">
        <is>
          <t>—</t>
        </is>
      </c>
      <c r="E238" s="68" t="inlineStr">
        <is>
          <t>Contrat d'entretien proposé — déclencheur D39</t>
        </is>
      </c>
      <c r="F238" s="68" t="inlineStr">
        <is>
          <t>Oui / non</t>
        </is>
      </c>
      <c r="G238" s="67" t="inlineStr">
        <is>
          <t>Demandée</t>
        </is>
      </c>
      <c r="H238" s="67" t="inlineStr">
        <is>
          <t>Approfondi</t>
        </is>
      </c>
      <c r="I238" s="68" t="inlineStr">
        <is>
          <t>—</t>
        </is>
      </c>
      <c r="J238" s="68" t="inlineStr">
        <is>
          <t>—</t>
        </is>
      </c>
      <c r="K238" s="67" t="n"/>
      <c r="L238" s="67" t="n"/>
      <c r="M238" s="67" t="n"/>
      <c r="N238" s="67" t="n"/>
      <c r="O238" s="67" t="inlineStr">
        <is>
          <t>●</t>
        </is>
      </c>
      <c r="P238" s="67" t="n"/>
      <c r="Q238" s="67" t="n"/>
      <c r="R238" s="67" t="n"/>
      <c r="S238" s="68" t="inlineStr">
        <is>
          <t>—</t>
        </is>
      </c>
      <c r="T238" s="68" t="inlineStr">
        <is>
          <t>—</t>
        </is>
      </c>
      <c r="U238" s="68" t="inlineStr">
        <is>
          <t>—</t>
        </is>
      </c>
      <c r="V238" s="68" t="inlineStr">
        <is>
          <t>—</t>
        </is>
      </c>
      <c r="W238" s="83" t="inlineStr">
        <is>
          <t>Nouveau</t>
        </is>
      </c>
    </row>
    <row r="239" ht="23.85" customHeight="1" s="53">
      <c r="A239" s="92" t="inlineStr">
        <is>
          <t>ACQ-17.30</t>
        </is>
      </c>
      <c r="B239" s="67" t="inlineStr">
        <is>
          <t>ACQ-17</t>
        </is>
      </c>
      <c r="C239" s="95">
        <f>IFERROR(INDEX(Thèmes!$D$2:$D$190,MATCH(B239,Thèmes!$A$2:$A$190,0)),"")</f>
        <v/>
      </c>
      <c r="D239" s="68" t="inlineStr">
        <is>
          <t>—</t>
        </is>
      </c>
      <c r="E239" s="68" t="inlineStr">
        <is>
          <t>Clients sous contrat d'entretien aujourd'hui</t>
        </is>
      </c>
      <c r="F239" s="68" t="inlineStr">
        <is>
          <t>Nombre</t>
        </is>
      </c>
      <c r="G239" s="67" t="inlineStr">
        <is>
          <t>Demandée</t>
        </is>
      </c>
      <c r="H239" s="67" t="inlineStr">
        <is>
          <t>Approfondi</t>
        </is>
      </c>
      <c r="I239" s="99" t="inlineStr">
        <is>
          <t>D39 · si contrat d'entretien proposé</t>
        </is>
      </c>
      <c r="J239" s="68" t="inlineStr">
        <is>
          <t>—</t>
        </is>
      </c>
      <c r="K239" s="67" t="n"/>
      <c r="L239" s="67" t="n"/>
      <c r="M239" s="67" t="n"/>
      <c r="N239" s="67" t="n"/>
      <c r="O239" s="67" t="inlineStr">
        <is>
          <t>●</t>
        </is>
      </c>
      <c r="P239" s="67" t="n"/>
      <c r="Q239" s="67" t="n"/>
      <c r="R239" s="67" t="n"/>
      <c r="S239" s="68" t="inlineStr">
        <is>
          <t>—</t>
        </is>
      </c>
      <c r="T239" s="68" t="inlineStr">
        <is>
          <t>—</t>
        </is>
      </c>
      <c r="U239" s="68" t="inlineStr">
        <is>
          <t>—</t>
        </is>
      </c>
      <c r="V239" s="68" t="inlineStr">
        <is>
          <t>—</t>
        </is>
      </c>
      <c r="W239" s="83" t="inlineStr">
        <is>
          <t>Nouveau</t>
        </is>
      </c>
    </row>
    <row r="240" ht="15" customHeight="1" s="53">
      <c r="A240" s="85" t="inlineStr">
        <is>
          <t>ACQ-18.01</t>
        </is>
      </c>
      <c r="B240" s="89" t="inlineStr">
        <is>
          <t>ACQ-18</t>
        </is>
      </c>
      <c r="C240" s="97">
        <f>IFERROR(INDEX(Thèmes!$D$2:$D$190,MATCH(B240,Thèmes!$A$2:$A$190,0)),"")</f>
        <v/>
      </c>
      <c r="D240" s="86" t="inlineStr">
        <is>
          <t>A17 · Vos clients fidèles</t>
        </is>
      </c>
      <c r="E240" s="86" t="inlineStr">
        <is>
          <t>Moment où vous demandez une recommandation : jamais, à la fin de la prestation, après un retour positif</t>
        </is>
      </c>
      <c r="F240" s="86" t="inlineStr">
        <is>
          <t>Choix</t>
        </is>
      </c>
      <c r="G240" s="89" t="inlineStr">
        <is>
          <t>Demandée</t>
        </is>
      </c>
      <c r="H240" s="89" t="inlineStr">
        <is>
          <t>Essentiel</t>
        </is>
      </c>
      <c r="I240" s="86" t="inlineStr">
        <is>
          <t>—</t>
        </is>
      </c>
      <c r="J240" s="86" t="inlineStr">
        <is>
          <t>—</t>
        </is>
      </c>
      <c r="K240" s="89" t="inlineStr">
        <is>
          <t>●</t>
        </is>
      </c>
      <c r="L240" s="89" t="inlineStr">
        <is>
          <t>●</t>
        </is>
      </c>
      <c r="M240" s="89" t="inlineStr">
        <is>
          <t>●</t>
        </is>
      </c>
      <c r="N240" s="89" t="inlineStr">
        <is>
          <t>●</t>
        </is>
      </c>
      <c r="O240" s="89" t="inlineStr">
        <is>
          <t>●</t>
        </is>
      </c>
      <c r="P240" s="89" t="inlineStr">
        <is>
          <t>●</t>
        </is>
      </c>
      <c r="Q240" s="89" t="inlineStr">
        <is>
          <t>●</t>
        </is>
      </c>
      <c r="R240" s="89" t="inlineStr">
        <is>
          <t>●</t>
        </is>
      </c>
      <c r="S240" s="86" t="inlineStr">
        <is>
          <t>Levier</t>
        </is>
      </c>
      <c r="T240" s="86" t="inlineStr">
        <is>
          <t>—</t>
        </is>
      </c>
      <c r="U240" s="86" t="inlineStr">
        <is>
          <t>—</t>
        </is>
      </c>
      <c r="V240" s="86" t="inlineStr">
        <is>
          <t>Notée directement (couleur du thème)</t>
        </is>
      </c>
      <c r="W240" s="91" t="n"/>
    </row>
    <row r="241" ht="23.85" customHeight="1" s="53">
      <c r="A241" s="94" t="inlineStr">
        <is>
          <t>ACQ-18.02</t>
        </is>
      </c>
      <c r="B241" s="67" t="inlineStr">
        <is>
          <t>ACQ-18</t>
        </is>
      </c>
      <c r="C241" s="95">
        <f>IFERROR(INDEX(Thèmes!$D$2:$D$190,MATCH(B241,Thèmes!$A$2:$A$190,0)),"")</f>
        <v/>
      </c>
      <c r="D241" s="68" t="inlineStr">
        <is>
          <t>A17 · Vos clients fidèles</t>
        </is>
      </c>
      <c r="E241" s="68" t="inlineStr">
        <is>
          <t>Programme de parrainage — déclencheur D17</t>
        </is>
      </c>
      <c r="F241" s="68" t="inlineStr">
        <is>
          <t>Oui / non + €</t>
        </is>
      </c>
      <c r="G241" s="67" t="inlineStr">
        <is>
          <t>Demandée</t>
        </is>
      </c>
      <c r="H241" s="67" t="inlineStr">
        <is>
          <t>Approfondi</t>
        </is>
      </c>
      <c r="I241" s="68" t="inlineStr">
        <is>
          <t>—</t>
        </is>
      </c>
      <c r="J241" s="68" t="inlineStr">
        <is>
          <t>—</t>
        </is>
      </c>
      <c r="K241" s="67" t="inlineStr">
        <is>
          <t>●</t>
        </is>
      </c>
      <c r="L241" s="67" t="inlineStr">
        <is>
          <t>●</t>
        </is>
      </c>
      <c r="M241" s="67" t="inlineStr">
        <is>
          <t>●</t>
        </is>
      </c>
      <c r="N241" s="67" t="inlineStr">
        <is>
          <t>●</t>
        </is>
      </c>
      <c r="O241" s="67" t="inlineStr">
        <is>
          <t>●</t>
        </is>
      </c>
      <c r="P241" s="67" t="inlineStr">
        <is>
          <t>●</t>
        </is>
      </c>
      <c r="Q241" s="67" t="inlineStr">
        <is>
          <t>●</t>
        </is>
      </c>
      <c r="R241" s="67" t="inlineStr">
        <is>
          <t>●</t>
        </is>
      </c>
      <c r="S241" s="68" t="inlineStr">
        <is>
          <t>Levier</t>
        </is>
      </c>
      <c r="T241" s="68" t="inlineStr">
        <is>
          <t>—</t>
        </is>
      </c>
      <c r="U241" s="68" t="inlineStr">
        <is>
          <t>—</t>
        </is>
      </c>
      <c r="V241" s="68" t="inlineStr">
        <is>
          <t>ACQ-18.05</t>
        </is>
      </c>
      <c r="W241" s="83" t="inlineStr">
        <is>
          <t>Libellé (« Donnée »)</t>
        </is>
      </c>
    </row>
    <row r="242" ht="23.85" customHeight="1" s="53">
      <c r="A242" s="81" t="inlineStr">
        <is>
          <t>ACQ-18.03</t>
        </is>
      </c>
      <c r="B242" s="67" t="inlineStr">
        <is>
          <t>ACQ-18</t>
        </is>
      </c>
      <c r="C242" s="95">
        <f>IFERROR(INDEX(Thèmes!$D$2:$D$190,MATCH(B242,Thèmes!$A$2:$A$190,0)),"")</f>
        <v/>
      </c>
      <c r="D242" s="68" t="inlineStr">
        <is>
          <t>A17 · Vos clients fidèles</t>
        </is>
      </c>
      <c r="E242" s="68" t="inlineStr">
        <is>
          <t>Clients venus par parrainage sur 12 mois</t>
        </is>
      </c>
      <c r="F242" s="68" t="inlineStr">
        <is>
          <t>Nombre</t>
        </is>
      </c>
      <c r="G242" s="67" t="inlineStr">
        <is>
          <t>Demandée</t>
        </is>
      </c>
      <c r="H242" s="67" t="inlineStr">
        <is>
          <t>Approfondi</t>
        </is>
      </c>
      <c r="I242" s="99" t="inlineStr">
        <is>
          <t>D17 · si programme de parrainage</t>
        </is>
      </c>
      <c r="J242" s="68" t="inlineStr">
        <is>
          <t>Période adaptée : depuis la création si moins de 12 mois</t>
        </is>
      </c>
      <c r="K242" s="67" t="inlineStr">
        <is>
          <t>●</t>
        </is>
      </c>
      <c r="L242" s="67" t="inlineStr">
        <is>
          <t>●</t>
        </is>
      </c>
      <c r="M242" s="67" t="inlineStr">
        <is>
          <t>●</t>
        </is>
      </c>
      <c r="N242" s="67" t="inlineStr">
        <is>
          <t>●</t>
        </is>
      </c>
      <c r="O242" s="67" t="inlineStr">
        <is>
          <t>●</t>
        </is>
      </c>
      <c r="P242" s="67" t="inlineStr">
        <is>
          <t>●</t>
        </is>
      </c>
      <c r="Q242" s="67" t="inlineStr">
        <is>
          <t>●</t>
        </is>
      </c>
      <c r="R242" s="67" t="inlineStr">
        <is>
          <t>●</t>
        </is>
      </c>
      <c r="S242" s="68" t="inlineStr">
        <is>
          <t>Mesure</t>
        </is>
      </c>
      <c r="T242" s="68" t="inlineStr">
        <is>
          <t>—</t>
        </is>
      </c>
      <c r="U242" s="68" t="inlineStr">
        <is>
          <t>—</t>
        </is>
      </c>
      <c r="V242" s="68" t="inlineStr">
        <is>
          <t>ACQ-18.05</t>
        </is>
      </c>
      <c r="W242" s="83" t="n"/>
    </row>
    <row r="243" ht="23.85" customHeight="1" s="53">
      <c r="A243" s="81" t="inlineStr">
        <is>
          <t>ACQ-18.04</t>
        </is>
      </c>
      <c r="B243" s="67" t="inlineStr">
        <is>
          <t>ACQ-18</t>
        </is>
      </c>
      <c r="C243" s="95">
        <f>IFERROR(INDEX(Thèmes!$D$2:$D$190,MATCH(B243,Thèmes!$A$2:$A$190,0)),"")</f>
        <v/>
      </c>
      <c r="D243" s="68" t="inlineStr">
        <is>
          <t>—</t>
        </is>
      </c>
      <c r="E243" s="68" t="inlineStr">
        <is>
          <t>Part des nouveaux clients venus par recommandation</t>
        </is>
      </c>
      <c r="F243" s="68" t="inlineStr">
        <is>
          <t>%</t>
        </is>
      </c>
      <c r="G243" s="96" t="inlineStr">
        <is>
          <t>Calculée</t>
        </is>
      </c>
      <c r="H243" s="67" t="inlineStr">
        <is>
          <t>—</t>
        </is>
      </c>
      <c r="I243" s="68" t="inlineStr">
        <is>
          <t>—</t>
        </is>
      </c>
      <c r="J243" s="68" t="inlineStr">
        <is>
          <t>—</t>
        </is>
      </c>
      <c r="K243" s="67" t="inlineStr">
        <is>
          <t>●</t>
        </is>
      </c>
      <c r="L243" s="67" t="inlineStr">
        <is>
          <t>●</t>
        </is>
      </c>
      <c r="M243" s="67" t="inlineStr">
        <is>
          <t>●</t>
        </is>
      </c>
      <c r="N243" s="67" t="inlineStr">
        <is>
          <t>●</t>
        </is>
      </c>
      <c r="O243" s="67" t="inlineStr">
        <is>
          <t>●</t>
        </is>
      </c>
      <c r="P243" s="67" t="inlineStr">
        <is>
          <t>●</t>
        </is>
      </c>
      <c r="Q243" s="67" t="inlineStr">
        <is>
          <t>●</t>
        </is>
      </c>
      <c r="R243" s="67" t="inlineStr">
        <is>
          <t>●</t>
        </is>
      </c>
      <c r="S243" s="68" t="inlineStr">
        <is>
          <t>Parcours</t>
        </is>
      </c>
      <c r="T243" s="68" t="inlineStr">
        <is>
          <t>Ligne « bouche-à-oreille » du tableau des canaux ÷ total des nouveaux clients</t>
        </is>
      </c>
      <c r="U243" s="68" t="inlineStr">
        <is>
          <t>ACQ-03.03</t>
        </is>
      </c>
      <c r="V243" s="68" t="inlineStr">
        <is>
          <t>Affichée dans le rapport</t>
        </is>
      </c>
      <c r="W243" s="83" t="n"/>
    </row>
    <row r="244" ht="23.85" customHeight="1" s="53">
      <c r="A244" s="81" t="inlineStr">
        <is>
          <t>ACQ-18.05</t>
        </is>
      </c>
      <c r="B244" s="67" t="inlineStr">
        <is>
          <t>ACQ-18</t>
        </is>
      </c>
      <c r="C244" s="95">
        <f>IFERROR(INDEX(Thèmes!$D$2:$D$190,MATCH(B244,Thèmes!$A$2:$A$190,0)),"")</f>
        <v/>
      </c>
      <c r="D244" s="68" t="inlineStr">
        <is>
          <t>—</t>
        </is>
      </c>
      <c r="E244" s="68" t="inlineStr">
        <is>
          <t>Coût d'un client recommandé comparé à celui d'un client payant</t>
        </is>
      </c>
      <c r="F244" s="68" t="inlineStr">
        <is>
          <t>€</t>
        </is>
      </c>
      <c r="G244" s="96" t="inlineStr">
        <is>
          <t>Calculée</t>
        </is>
      </c>
      <c r="H244" s="67" t="inlineStr">
        <is>
          <t>—</t>
        </is>
      </c>
      <c r="I244" s="68" t="inlineStr">
        <is>
          <t>—</t>
        </is>
      </c>
      <c r="J244" s="68" t="inlineStr">
        <is>
          <t>—</t>
        </is>
      </c>
      <c r="K244" s="67" t="inlineStr">
        <is>
          <t>●</t>
        </is>
      </c>
      <c r="L244" s="67" t="n"/>
      <c r="M244" s="67" t="inlineStr">
        <is>
          <t>●</t>
        </is>
      </c>
      <c r="N244" s="67" t="n"/>
      <c r="O244" s="67" t="inlineStr">
        <is>
          <t>●</t>
        </is>
      </c>
      <c r="P244" s="67" t="inlineStr">
        <is>
          <t>●</t>
        </is>
      </c>
      <c r="Q244" s="67" t="inlineStr">
        <is>
          <t>●</t>
        </is>
      </c>
      <c r="R244" s="67" t="n"/>
      <c r="S244" s="68" t="inlineStr">
        <is>
          <t>Levier</t>
        </is>
      </c>
      <c r="T244" s="68" t="inlineStr">
        <is>
          <t>Récompense de parrainage face au coût d'acquisition global</t>
        </is>
      </c>
      <c r="U244" s="68" t="inlineStr">
        <is>
          <t>ACQ-18.02, ACQ-18.03, ACQ-07.11</t>
        </is>
      </c>
      <c r="V244" s="68" t="inlineStr">
        <is>
          <t>Affichée dans le rapport</t>
        </is>
      </c>
      <c r="W244" s="83" t="n"/>
    </row>
    <row r="245" ht="23.85" customHeight="1" s="53">
      <c r="A245" s="92" t="inlineStr">
        <is>
          <t>ACQ-18.06</t>
        </is>
      </c>
      <c r="B245" s="67" t="inlineStr">
        <is>
          <t>ACQ-18</t>
        </is>
      </c>
      <c r="C245" s="95">
        <f>IFERROR(INDEX(Thèmes!$D$2:$D$190,MATCH(B245,Thèmes!$A$2:$A$190,0)),"")</f>
        <v/>
      </c>
      <c r="D245" s="68" t="inlineStr">
        <is>
          <t>—</t>
        </is>
      </c>
      <c r="E245" s="68" t="inlineStr">
        <is>
          <t>Mesure de la satisfaction des clients</t>
        </is>
      </c>
      <c r="F245" s="68" t="inlineStr">
        <is>
          <t>Choix</t>
        </is>
      </c>
      <c r="G245" s="67" t="inlineStr">
        <is>
          <t>Demandée</t>
        </is>
      </c>
      <c r="H245" s="67" t="inlineStr">
        <is>
          <t>Approfondi</t>
        </is>
      </c>
      <c r="I245" s="68" t="inlineStr">
        <is>
          <t>—</t>
        </is>
      </c>
      <c r="J245" s="68" t="inlineStr">
        <is>
          <t>—</t>
        </is>
      </c>
      <c r="K245" s="67" t="inlineStr">
        <is>
          <t>●</t>
        </is>
      </c>
      <c r="L245" s="67" t="inlineStr">
        <is>
          <t>●</t>
        </is>
      </c>
      <c r="M245" s="67" t="inlineStr">
        <is>
          <t>●</t>
        </is>
      </c>
      <c r="N245" s="67" t="inlineStr">
        <is>
          <t>●</t>
        </is>
      </c>
      <c r="O245" s="67" t="inlineStr">
        <is>
          <t>●</t>
        </is>
      </c>
      <c r="P245" s="67" t="inlineStr">
        <is>
          <t>●</t>
        </is>
      </c>
      <c r="Q245" s="67" t="inlineStr">
        <is>
          <t>●</t>
        </is>
      </c>
      <c r="R245" s="67" t="inlineStr">
        <is>
          <t>●</t>
        </is>
      </c>
      <c r="S245" s="68" t="inlineStr">
        <is>
          <t>—</t>
        </is>
      </c>
      <c r="T245" s="68" t="inlineStr">
        <is>
          <t>—</t>
        </is>
      </c>
      <c r="U245" s="68" t="inlineStr">
        <is>
          <t>—</t>
        </is>
      </c>
      <c r="V245" s="68" t="inlineStr">
        <is>
          <t>—</t>
        </is>
      </c>
      <c r="W245" s="83" t="inlineStr">
        <is>
          <t>Nouveau</t>
        </is>
      </c>
    </row>
    <row r="246" ht="23.85" customHeight="1" s="53">
      <c r="A246" s="92" t="inlineStr">
        <is>
          <t>ACQ-18.07</t>
        </is>
      </c>
      <c r="B246" s="67" t="inlineStr">
        <is>
          <t>ACQ-18</t>
        </is>
      </c>
      <c r="C246" s="95">
        <f>IFERROR(INDEX(Thèmes!$D$2:$D$190,MATCH(B246,Thèmes!$A$2:$A$190,0)),"")</f>
        <v/>
      </c>
      <c r="D246" s="68" t="inlineStr">
        <is>
          <t>—</t>
        </is>
      </c>
      <c r="E246" s="68" t="inlineStr">
        <is>
          <t>Valeur de la récompense de parrainage par client apporté</t>
        </is>
      </c>
      <c r="F246" s="68" t="inlineStr">
        <is>
          <t>€</t>
        </is>
      </c>
      <c r="G246" s="67" t="inlineStr">
        <is>
          <t>Demandée</t>
        </is>
      </c>
      <c r="H246" s="67" t="inlineStr">
        <is>
          <t>Approfondi</t>
        </is>
      </c>
      <c r="I246" s="99" t="inlineStr">
        <is>
          <t>D17 · si programme de parrainage</t>
        </is>
      </c>
      <c r="J246" s="68" t="inlineStr">
        <is>
          <t>—</t>
        </is>
      </c>
      <c r="K246" s="67" t="inlineStr">
        <is>
          <t>●</t>
        </is>
      </c>
      <c r="L246" s="67" t="inlineStr">
        <is>
          <t>●</t>
        </is>
      </c>
      <c r="M246" s="67" t="inlineStr">
        <is>
          <t>●</t>
        </is>
      </c>
      <c r="N246" s="67" t="inlineStr">
        <is>
          <t>●</t>
        </is>
      </c>
      <c r="O246" s="67" t="inlineStr">
        <is>
          <t>●</t>
        </is>
      </c>
      <c r="P246" s="67" t="inlineStr">
        <is>
          <t>●</t>
        </is>
      </c>
      <c r="Q246" s="67" t="inlineStr">
        <is>
          <t>●</t>
        </is>
      </c>
      <c r="R246" s="67" t="inlineStr">
        <is>
          <t>●</t>
        </is>
      </c>
      <c r="S246" s="68" t="inlineStr">
        <is>
          <t>—</t>
        </is>
      </c>
      <c r="T246" s="68" t="inlineStr">
        <is>
          <t>—</t>
        </is>
      </c>
      <c r="U246" s="68" t="inlineStr">
        <is>
          <t>—</t>
        </is>
      </c>
      <c r="V246" s="68" t="inlineStr">
        <is>
          <t>—</t>
        </is>
      </c>
      <c r="W246" s="83" t="inlineStr">
        <is>
          <t>Nouveau</t>
        </is>
      </c>
    </row>
    <row r="247" ht="23.85" customHeight="1" s="53">
      <c r="A247" s="85" t="inlineStr">
        <is>
          <t>ACQ-19.01</t>
        </is>
      </c>
      <c r="B247" s="89" t="inlineStr">
        <is>
          <t>ACQ-19</t>
        </is>
      </c>
      <c r="C247" s="97">
        <f>IFERROR(INDEX(Thèmes!$D$2:$D$190,MATCH(B247,Thèmes!$A$2:$A$190,0)),"")</f>
        <v/>
      </c>
      <c r="D247" s="86" t="inlineStr">
        <is>
          <t>A18 · Votre planning à venir</t>
        </is>
      </c>
      <c r="E247" s="86" t="inlineStr">
        <is>
          <t>Semaines de travail déjà remplies (planning complet jusqu'au…)</t>
        </is>
      </c>
      <c r="F247" s="86" t="inlineStr">
        <is>
          <t>Semaines</t>
        </is>
      </c>
      <c r="G247" s="89" t="inlineStr">
        <is>
          <t>Demandée</t>
        </is>
      </c>
      <c r="H247" s="89" t="inlineStr">
        <is>
          <t>Essentiel</t>
        </is>
      </c>
      <c r="I247" s="100" t="inlineStr">
        <is>
          <t>D19 · si travail planifié à l'avance</t>
        </is>
      </c>
      <c r="J247" s="86" t="inlineStr">
        <is>
          <t>—</t>
        </is>
      </c>
      <c r="K247" s="89" t="inlineStr">
        <is>
          <t>●</t>
        </is>
      </c>
      <c r="L247" s="89" t="n"/>
      <c r="M247" s="89" t="n"/>
      <c r="N247" s="89" t="n"/>
      <c r="O247" s="89" t="inlineStr">
        <is>
          <t>●</t>
        </is>
      </c>
      <c r="P247" s="89" t="inlineStr">
        <is>
          <t>●</t>
        </is>
      </c>
      <c r="Q247" s="89" t="n"/>
      <c r="R247" s="89" t="n"/>
      <c r="S247" s="86" t="inlineStr">
        <is>
          <t>Capacité</t>
        </is>
      </c>
      <c r="T247" s="86" t="inlineStr">
        <is>
          <t>—</t>
        </is>
      </c>
      <c r="U247" s="86" t="inlineStr">
        <is>
          <t>—</t>
        </is>
      </c>
      <c r="V247" s="86" t="inlineStr">
        <is>
          <t>ACQ-13.10, ACQ-19.05, ACQ-19.06, XA21</t>
        </is>
      </c>
      <c r="W247" s="91" t="n"/>
    </row>
    <row r="248" ht="23.85" customHeight="1" s="53">
      <c r="A248" s="81" t="inlineStr">
        <is>
          <t>ACQ-19.02</t>
        </is>
      </c>
      <c r="B248" s="67" t="inlineStr">
        <is>
          <t>ACQ-19</t>
        </is>
      </c>
      <c r="C248" s="95">
        <f>IFERROR(INDEX(Thèmes!$D$2:$D$190,MATCH(B248,Thèmes!$A$2:$A$190,0)),"")</f>
        <v/>
      </c>
      <c r="D248" s="68" t="inlineStr">
        <is>
          <t>A18 · Votre planning à venir</t>
        </is>
      </c>
      <c r="E248" s="68" t="inlineStr">
        <is>
          <t>Montant signé pas encore réalisé (devis acceptés, commandes en attente)</t>
        </is>
      </c>
      <c r="F248" s="68" t="inlineStr">
        <is>
          <t>€</t>
        </is>
      </c>
      <c r="G248" s="67" t="inlineStr">
        <is>
          <t>Demandée</t>
        </is>
      </c>
      <c r="H248" s="67" t="inlineStr">
        <is>
          <t>Essentiel</t>
        </is>
      </c>
      <c r="I248" s="99" t="inlineStr">
        <is>
          <t>D19 · si travail planifié à l'avance</t>
        </is>
      </c>
      <c r="J248" s="68" t="inlineStr">
        <is>
          <t>—</t>
        </is>
      </c>
      <c r="K248" s="67" t="n"/>
      <c r="L248" s="67" t="n"/>
      <c r="M248" s="67" t="n"/>
      <c r="N248" s="67" t="n"/>
      <c r="O248" s="67" t="inlineStr">
        <is>
          <t>●</t>
        </is>
      </c>
      <c r="P248" s="67" t="inlineStr">
        <is>
          <t>●</t>
        </is>
      </c>
      <c r="Q248" s="67" t="n"/>
      <c r="R248" s="67" t="n"/>
      <c r="S248" s="68" t="inlineStr">
        <is>
          <t>Potentiel CA</t>
        </is>
      </c>
      <c r="T248" s="68" t="inlineStr">
        <is>
          <t>—</t>
        </is>
      </c>
      <c r="U248" s="68" t="inlineStr">
        <is>
          <t>—</t>
        </is>
      </c>
      <c r="V248" s="68" t="inlineStr">
        <is>
          <t>ACQ-19.09</t>
        </is>
      </c>
      <c r="W248" s="83" t="n"/>
    </row>
    <row r="249" ht="23.85" customHeight="1" s="53">
      <c r="A249" s="81" t="inlineStr">
        <is>
          <t>ACQ-19.03</t>
        </is>
      </c>
      <c r="B249" s="67" t="inlineStr">
        <is>
          <t>ACQ-19</t>
        </is>
      </c>
      <c r="C249" s="95">
        <f>IFERROR(INDEX(Thèmes!$D$2:$D$190,MATCH(B249,Thèmes!$A$2:$A$190,0)),"")</f>
        <v/>
      </c>
      <c r="D249" s="68" t="inlineStr">
        <is>
          <t>A18 · Votre planning à venir</t>
        </is>
      </c>
      <c r="E249" s="68" t="inlineStr">
        <is>
          <t>Délai moyen entre la signature et le démarrage</t>
        </is>
      </c>
      <c r="F249" s="68" t="inlineStr">
        <is>
          <t>Semaines</t>
        </is>
      </c>
      <c r="G249" s="67" t="inlineStr">
        <is>
          <t>Demandée</t>
        </is>
      </c>
      <c r="H249" s="67" t="inlineStr">
        <is>
          <t>Essentiel</t>
        </is>
      </c>
      <c r="I249" s="99" t="inlineStr">
        <is>
          <t>D19 · si travail planifié à l'avance</t>
        </is>
      </c>
      <c r="J249" s="68" t="inlineStr">
        <is>
          <t>—</t>
        </is>
      </c>
      <c r="K249" s="67" t="n"/>
      <c r="L249" s="67" t="n"/>
      <c r="M249" s="67" t="n"/>
      <c r="N249" s="67" t="n"/>
      <c r="O249" s="67" t="inlineStr">
        <is>
          <t>●</t>
        </is>
      </c>
      <c r="P249" s="67" t="inlineStr">
        <is>
          <t>●</t>
        </is>
      </c>
      <c r="Q249" s="67" t="n"/>
      <c r="R249" s="67" t="n"/>
      <c r="S249" s="68" t="inlineStr">
        <is>
          <t>Problème</t>
        </is>
      </c>
      <c r="T249" s="68" t="inlineStr">
        <is>
          <t>—</t>
        </is>
      </c>
      <c r="U249" s="68" t="inlineStr">
        <is>
          <t>—</t>
        </is>
      </c>
      <c r="V249" s="68" t="inlineStr">
        <is>
          <t>Notée directement (couleur du thème)</t>
        </is>
      </c>
      <c r="W249" s="83" t="n"/>
    </row>
    <row r="250" ht="23.85" customHeight="1" s="53">
      <c r="A250" s="81" t="inlineStr">
        <is>
          <t>ACQ-19.04</t>
        </is>
      </c>
      <c r="B250" s="67" t="inlineStr">
        <is>
          <t>ACQ-19</t>
        </is>
      </c>
      <c r="C250" s="95">
        <f>IFERROR(INDEX(Thèmes!$D$2:$D$190,MATCH(B250,Thèmes!$A$2:$A$190,0)),"")</f>
        <v/>
      </c>
      <c r="D250" s="68" t="inlineStr">
        <is>
          <t>A18 · Votre planning à venir</t>
        </is>
      </c>
      <c r="E250" s="68" t="inlineStr">
        <is>
          <t>Projets signés en attente de démarrage</t>
        </is>
      </c>
      <c r="F250" s="68" t="inlineStr">
        <is>
          <t>Nombre</t>
        </is>
      </c>
      <c r="G250" s="67" t="inlineStr">
        <is>
          <t>Demandée</t>
        </is>
      </c>
      <c r="H250" s="67" t="inlineStr">
        <is>
          <t>Approfondi</t>
        </is>
      </c>
      <c r="I250" s="99" t="inlineStr">
        <is>
          <t>D19 · si travail planifié à l'avance</t>
        </is>
      </c>
      <c r="J250" s="68" t="inlineStr">
        <is>
          <t>—</t>
        </is>
      </c>
      <c r="K250" s="67" t="n"/>
      <c r="L250" s="67" t="n"/>
      <c r="M250" s="67" t="n"/>
      <c r="N250" s="67" t="n"/>
      <c r="O250" s="67" t="inlineStr">
        <is>
          <t>●</t>
        </is>
      </c>
      <c r="P250" s="67" t="inlineStr">
        <is>
          <t>●</t>
        </is>
      </c>
      <c r="Q250" s="67" t="n"/>
      <c r="R250" s="67" t="n"/>
      <c r="S250" s="68" t="inlineStr">
        <is>
          <t>Capacité</t>
        </is>
      </c>
      <c r="T250" s="68" t="inlineStr">
        <is>
          <t>—</t>
        </is>
      </c>
      <c r="U250" s="68" t="inlineStr">
        <is>
          <t>—</t>
        </is>
      </c>
      <c r="V250" s="68" t="inlineStr">
        <is>
          <t>Lue par l'IA pour adapter le conseil</t>
        </is>
      </c>
      <c r="W250" s="83" t="n"/>
    </row>
    <row r="251" ht="23.85" customHeight="1" s="53">
      <c r="A251" s="81" t="inlineStr">
        <is>
          <t>ACQ-19.05</t>
        </is>
      </c>
      <c r="B251" s="67" t="inlineStr">
        <is>
          <t>ACQ-19</t>
        </is>
      </c>
      <c r="C251" s="95">
        <f>IFERROR(INDEX(Thèmes!$D$2:$D$190,MATCH(B251,Thèmes!$A$2:$A$190,0)),"")</f>
        <v/>
      </c>
      <c r="D251" s="68" t="inlineStr">
        <is>
          <t>—</t>
        </is>
      </c>
      <c r="E251" s="68" t="inlineStr">
        <is>
          <t>Taux de remplissage du planning sur les 3 prochains mois</t>
        </is>
      </c>
      <c r="F251" s="68" t="inlineStr">
        <is>
          <t>%</t>
        </is>
      </c>
      <c r="G251" s="96" t="inlineStr">
        <is>
          <t>Calculée</t>
        </is>
      </c>
      <c r="H251" s="67" t="inlineStr">
        <is>
          <t>—</t>
        </is>
      </c>
      <c r="I251" s="68" t="inlineStr">
        <is>
          <t>—</t>
        </is>
      </c>
      <c r="J251" s="68" t="inlineStr">
        <is>
          <t>—</t>
        </is>
      </c>
      <c r="K251" s="67" t="inlineStr">
        <is>
          <t>●</t>
        </is>
      </c>
      <c r="L251" s="67" t="n"/>
      <c r="M251" s="67" t="n"/>
      <c r="N251" s="67" t="n"/>
      <c r="O251" s="67" t="inlineStr">
        <is>
          <t>●</t>
        </is>
      </c>
      <c r="P251" s="67" t="inlineStr">
        <is>
          <t>●</t>
        </is>
      </c>
      <c r="Q251" s="67" t="n"/>
      <c r="R251" s="67" t="n"/>
      <c r="S251" s="68" t="inlineStr">
        <is>
          <t>Capacité</t>
        </is>
      </c>
      <c r="T251" s="68" t="inlineStr">
        <is>
          <t>Semaines remplies ÷ 13, plafonné à 100 %</t>
        </is>
      </c>
      <c r="U251" s="68" t="inlineStr">
        <is>
          <t>ACQ-19.01</t>
        </is>
      </c>
      <c r="V251" s="68" t="inlineStr">
        <is>
          <t>Affichée dans le rapport</t>
        </is>
      </c>
      <c r="W251" s="83" t="n"/>
    </row>
    <row r="252" ht="46.25" customHeight="1" s="53">
      <c r="A252" s="81" t="inlineStr">
        <is>
          <t>ACQ-19.06</t>
        </is>
      </c>
      <c r="B252" s="67" t="inlineStr">
        <is>
          <t>ACQ-19</t>
        </is>
      </c>
      <c r="C252" s="95">
        <f>IFERROR(INDEX(Thèmes!$D$2:$D$190,MATCH(B252,Thèmes!$A$2:$A$190,0)),"")</f>
        <v/>
      </c>
      <c r="D252" s="68" t="inlineStr">
        <is>
          <t>—</t>
        </is>
      </c>
      <c r="E252" s="68" t="inlineStr">
        <is>
          <t>Semaines disponibles sur les 3 prochains mois</t>
        </is>
      </c>
      <c r="F252" s="68" t="inlineStr">
        <is>
          <t>Semaines</t>
        </is>
      </c>
      <c r="G252" s="96" t="inlineStr">
        <is>
          <t>Calculée</t>
        </is>
      </c>
      <c r="H252" s="67" t="inlineStr">
        <is>
          <t>—</t>
        </is>
      </c>
      <c r="I252" s="68" t="inlineStr">
        <is>
          <t>—</t>
        </is>
      </c>
      <c r="J252" s="68" t="inlineStr">
        <is>
          <t>—</t>
        </is>
      </c>
      <c r="K252" s="67" t="inlineStr">
        <is>
          <t>●</t>
        </is>
      </c>
      <c r="L252" s="67" t="n"/>
      <c r="M252" s="67" t="n"/>
      <c r="N252" s="67" t="n"/>
      <c r="O252" s="67" t="inlineStr">
        <is>
          <t>●</t>
        </is>
      </c>
      <c r="P252" s="67" t="inlineStr">
        <is>
          <t>●</t>
        </is>
      </c>
      <c r="Q252" s="67" t="n"/>
      <c r="R252" s="67" t="n"/>
      <c r="S252" s="68" t="inlineStr">
        <is>
          <t>Capacité</t>
        </is>
      </c>
      <c r="T252" s="68" t="inlineStr">
        <is>
          <t>13 − semaines remplies</t>
        </is>
      </c>
      <c r="U252" s="68" t="inlineStr">
        <is>
          <t>ACQ-19.01</t>
        </is>
      </c>
      <c r="V252" s="68" t="inlineStr">
        <is>
          <t>ACQ-19.08, XR11</t>
        </is>
      </c>
      <c r="W252" s="83" t="n"/>
    </row>
    <row r="253" ht="23.85" customHeight="1" s="53">
      <c r="A253" s="81" t="inlineStr">
        <is>
          <t>ACQ-19.07</t>
        </is>
      </c>
      <c r="B253" s="67" t="inlineStr">
        <is>
          <t>ACQ-19</t>
        </is>
      </c>
      <c r="C253" s="95">
        <f>IFERROR(INDEX(Thèmes!$D$2:$D$190,MATCH(B253,Thèmes!$A$2:$A$190,0)),"")</f>
        <v/>
      </c>
      <c r="D253" s="68" t="inlineStr">
        <is>
          <t>—</t>
        </is>
      </c>
      <c r="E253" s="68" t="inlineStr">
        <is>
          <t>CA réalisé par semaine de travail</t>
        </is>
      </c>
      <c r="F253" s="68" t="inlineStr">
        <is>
          <t>€</t>
        </is>
      </c>
      <c r="G253" s="96" t="inlineStr">
        <is>
          <t>Calculée</t>
        </is>
      </c>
      <c r="H253" s="67" t="inlineStr">
        <is>
          <t>—</t>
        </is>
      </c>
      <c r="I253" s="68" t="inlineStr">
        <is>
          <t>—</t>
        </is>
      </c>
      <c r="J253" s="68" t="inlineStr">
        <is>
          <t>—</t>
        </is>
      </c>
      <c r="K253" s="67" t="inlineStr">
        <is>
          <t>●</t>
        </is>
      </c>
      <c r="L253" s="67" t="n"/>
      <c r="M253" s="67" t="n"/>
      <c r="N253" s="67" t="n"/>
      <c r="O253" s="67" t="inlineStr">
        <is>
          <t>●</t>
        </is>
      </c>
      <c r="P253" s="67" t="inlineStr">
        <is>
          <t>●</t>
        </is>
      </c>
      <c r="Q253" s="67" t="n"/>
      <c r="R253" s="67" t="n"/>
      <c r="S253" s="68" t="inlineStr">
        <is>
          <t>Mesure</t>
        </is>
      </c>
      <c r="T253" s="68" t="inlineStr">
        <is>
          <t>CA mensuel ÷ 4,33</t>
        </is>
      </c>
      <c r="U253" s="68" t="inlineStr">
        <is>
          <t>Inscription · CA mensuel</t>
        </is>
      </c>
      <c r="V253" s="68" t="inlineStr">
        <is>
          <t>ACQ-19.08</t>
        </is>
      </c>
      <c r="W253" s="83" t="n"/>
    </row>
    <row r="254" ht="23.85" customHeight="1" s="53">
      <c r="A254" s="81" t="inlineStr">
        <is>
          <t>ACQ-19.08</t>
        </is>
      </c>
      <c r="B254" s="67" t="inlineStr">
        <is>
          <t>ACQ-19</t>
        </is>
      </c>
      <c r="C254" s="95">
        <f>IFERROR(INDEX(Thèmes!$D$2:$D$190,MATCH(B254,Thèmes!$A$2:$A$190,0)),"")</f>
        <v/>
      </c>
      <c r="D254" s="68" t="inlineStr">
        <is>
          <t>—</t>
        </is>
      </c>
      <c r="E254" s="68" t="inlineStr">
        <is>
          <t>CA supplémentaire absorbable avec l'équipe actuelle</t>
        </is>
      </c>
      <c r="F254" s="68" t="inlineStr">
        <is>
          <t>€</t>
        </is>
      </c>
      <c r="G254" s="96" t="inlineStr">
        <is>
          <t>Calculée</t>
        </is>
      </c>
      <c r="H254" s="67" t="inlineStr">
        <is>
          <t>—</t>
        </is>
      </c>
      <c r="I254" s="68" t="inlineStr">
        <is>
          <t>—</t>
        </is>
      </c>
      <c r="J254" s="68" t="inlineStr">
        <is>
          <t>—</t>
        </is>
      </c>
      <c r="K254" s="67" t="inlineStr">
        <is>
          <t>●</t>
        </is>
      </c>
      <c r="L254" s="67" t="n"/>
      <c r="M254" s="67" t="n"/>
      <c r="N254" s="67" t="n"/>
      <c r="O254" s="67" t="inlineStr">
        <is>
          <t>●</t>
        </is>
      </c>
      <c r="P254" s="67" t="inlineStr">
        <is>
          <t>●</t>
        </is>
      </c>
      <c r="Q254" s="67" t="n"/>
      <c r="R254" s="67" t="n"/>
      <c r="S254" s="68" t="inlineStr">
        <is>
          <t>Potentiel CA</t>
        </is>
      </c>
      <c r="T254" s="68" t="inlineStr">
        <is>
          <t>Semaines disponibles × CA par semaine</t>
        </is>
      </c>
      <c r="U254" s="68" t="inlineStr">
        <is>
          <t>ACQ-19.06, ACQ-19.07</t>
        </is>
      </c>
      <c r="V254" s="68" t="inlineStr">
        <is>
          <t>XA26</t>
        </is>
      </c>
      <c r="W254" s="83" t="n"/>
    </row>
    <row r="255" ht="15" customHeight="1" s="53">
      <c r="A255" s="81" t="inlineStr">
        <is>
          <t>ACQ-19.09</t>
        </is>
      </c>
      <c r="B255" s="67" t="inlineStr">
        <is>
          <t>ACQ-19</t>
        </is>
      </c>
      <c r="C255" s="95">
        <f>IFERROR(INDEX(Thèmes!$D$2:$D$190,MATCH(B255,Thèmes!$A$2:$A$190,0)),"")</f>
        <v/>
      </c>
      <c r="D255" s="68" t="inlineStr">
        <is>
          <t>—</t>
        </is>
      </c>
      <c r="E255" s="68" t="inlineStr">
        <is>
          <t>Mois de travail déjà sécurisés</t>
        </is>
      </c>
      <c r="F255" s="68" t="inlineStr">
        <is>
          <t>Mois</t>
        </is>
      </c>
      <c r="G255" s="96" t="inlineStr">
        <is>
          <t>Calculée</t>
        </is>
      </c>
      <c r="H255" s="67" t="inlineStr">
        <is>
          <t>—</t>
        </is>
      </c>
      <c r="I255" s="68" t="inlineStr">
        <is>
          <t>—</t>
        </is>
      </c>
      <c r="J255" s="68" t="inlineStr">
        <is>
          <t>—</t>
        </is>
      </c>
      <c r="K255" s="67" t="n"/>
      <c r="L255" s="67" t="n"/>
      <c r="M255" s="67" t="n"/>
      <c r="N255" s="67" t="n"/>
      <c r="O255" s="67" t="inlineStr">
        <is>
          <t>●</t>
        </is>
      </c>
      <c r="P255" s="67" t="inlineStr">
        <is>
          <t>●</t>
        </is>
      </c>
      <c r="Q255" s="67" t="n"/>
      <c r="R255" s="67" t="n"/>
      <c r="S255" s="68" t="inlineStr">
        <is>
          <t>Risque</t>
        </is>
      </c>
      <c r="T255" s="68" t="inlineStr">
        <is>
          <t>Montant signé non réalisé ÷ CA mensuel</t>
        </is>
      </c>
      <c r="U255" s="68" t="inlineStr">
        <is>
          <t>ACQ-19.02, Inscription · CA mensuel</t>
        </is>
      </c>
      <c r="V255" s="68" t="inlineStr">
        <is>
          <t>Affichée dans le rapport</t>
        </is>
      </c>
      <c r="W255" s="83" t="n"/>
    </row>
    <row r="256" ht="15" customHeight="1" s="53">
      <c r="A256" s="85" t="inlineStr">
        <is>
          <t>ACQ-20.01</t>
        </is>
      </c>
      <c r="B256" s="89" t="inlineStr">
        <is>
          <t>ACQ-20</t>
        </is>
      </c>
      <c r="C256" s="97">
        <f>IFERROR(INDEX(Thèmes!$D$2:$D$190,MATCH(B256,Thèmes!$A$2:$A$190,0)),"")</f>
        <v/>
      </c>
      <c r="D256" s="86" t="inlineStr">
        <is>
          <t>A19 · Votre suivi commercial</t>
        </is>
      </c>
      <c r="E256" s="86" t="inlineStr">
        <is>
          <t>Outil de suivi des contacts et des devis : aucun, cahier ou tableur, logiciel</t>
        </is>
      </c>
      <c r="F256" s="86" t="inlineStr">
        <is>
          <t>Choix</t>
        </is>
      </c>
      <c r="G256" s="89" t="inlineStr">
        <is>
          <t>Demandée</t>
        </is>
      </c>
      <c r="H256" s="89" t="inlineStr">
        <is>
          <t>Essentiel</t>
        </is>
      </c>
      <c r="I256" s="86" t="inlineStr">
        <is>
          <t>—</t>
        </is>
      </c>
      <c r="J256" s="86" t="inlineStr">
        <is>
          <t>—</t>
        </is>
      </c>
      <c r="K256" s="89" t="inlineStr">
        <is>
          <t>●</t>
        </is>
      </c>
      <c r="L256" s="89" t="inlineStr">
        <is>
          <t>●</t>
        </is>
      </c>
      <c r="M256" s="89" t="inlineStr">
        <is>
          <t>●</t>
        </is>
      </c>
      <c r="N256" s="89" t="inlineStr">
        <is>
          <t>●</t>
        </is>
      </c>
      <c r="O256" s="89" t="inlineStr">
        <is>
          <t>●</t>
        </is>
      </c>
      <c r="P256" s="89" t="inlineStr">
        <is>
          <t>●</t>
        </is>
      </c>
      <c r="Q256" s="89" t="inlineStr">
        <is>
          <t>●</t>
        </is>
      </c>
      <c r="R256" s="89" t="inlineStr">
        <is>
          <t>●</t>
        </is>
      </c>
      <c r="S256" s="86" t="inlineStr">
        <is>
          <t>Levier</t>
        </is>
      </c>
      <c r="T256" s="86" t="inlineStr">
        <is>
          <t>—</t>
        </is>
      </c>
      <c r="U256" s="86" t="inlineStr">
        <is>
          <t>—</t>
        </is>
      </c>
      <c r="V256" s="86" t="inlineStr">
        <is>
          <t>Notée directement (couleur du thème)</t>
        </is>
      </c>
      <c r="W256" s="91" t="n"/>
    </row>
    <row r="257" ht="102.2" customHeight="1" s="53">
      <c r="A257" s="94" t="inlineStr">
        <is>
          <t>ACQ-20.02</t>
        </is>
      </c>
      <c r="B257" s="67" t="inlineStr">
        <is>
          <t>ACQ-20</t>
        </is>
      </c>
      <c r="C257" s="95">
        <f>IFERROR(INDEX(Thèmes!$D$2:$D$190,MATCH(B257,Thèmes!$A$2:$A$190,0)),"")</f>
        <v/>
      </c>
      <c r="D257" s="68" t="inlineStr">
        <is>
          <t>A19 · Votre suivi commercial</t>
        </is>
      </c>
      <c r="E257" s="68" t="inlineStr">
        <is>
          <t>Fréquence de lecture des chiffres par domaine — la ligne financière est partagée avec FIN-34.02, la ligne communication avec COM-43.01 : chaque ligne n'est posée qu'une fois</t>
        </is>
      </c>
      <c r="F257" s="68" t="inlineStr">
        <is>
          <t>Choix par ligne (3 lignes)</t>
        </is>
      </c>
      <c r="G257" s="67" t="inlineStr">
        <is>
          <t>Demandée</t>
        </is>
      </c>
      <c r="H257" s="67" t="inlineStr">
        <is>
          <t>Essentiel</t>
        </is>
      </c>
      <c r="I257" s="68" t="inlineStr">
        <is>
          <t>—</t>
        </is>
      </c>
      <c r="J257" s="68" t="inlineStr">
        <is>
          <t>—</t>
        </is>
      </c>
      <c r="K257" s="67" t="inlineStr">
        <is>
          <t>●</t>
        </is>
      </c>
      <c r="L257" s="67" t="inlineStr">
        <is>
          <t>●</t>
        </is>
      </c>
      <c r="M257" s="67" t="inlineStr">
        <is>
          <t>●</t>
        </is>
      </c>
      <c r="N257" s="67" t="inlineStr">
        <is>
          <t>●</t>
        </is>
      </c>
      <c r="O257" s="67" t="inlineStr">
        <is>
          <t>●</t>
        </is>
      </c>
      <c r="P257" s="67" t="inlineStr">
        <is>
          <t>●</t>
        </is>
      </c>
      <c r="Q257" s="67" t="inlineStr">
        <is>
          <t>●</t>
        </is>
      </c>
      <c r="R257" s="67" t="inlineStr">
        <is>
          <t>●</t>
        </is>
      </c>
      <c r="S257" s="68" t="inlineStr">
        <is>
          <t>Levier</t>
        </is>
      </c>
      <c r="T257" s="68" t="inlineStr">
        <is>
          <t>—</t>
        </is>
      </c>
      <c r="U257" s="68" t="inlineStr">
        <is>
          <t>—</t>
        </is>
      </c>
      <c r="V257" s="68" t="inlineStr">
        <is>
          <t>Notée directement (couleur du thème)</t>
        </is>
      </c>
      <c r="W257" s="83" t="inlineStr">
        <is>
          <t>Libellé (« Donnée »)</t>
        </is>
      </c>
    </row>
    <row r="258" ht="46.25" customHeight="1" s="53">
      <c r="A258" s="81" t="inlineStr">
        <is>
          <t>ACQ-20.03</t>
        </is>
      </c>
      <c r="B258" s="67" t="inlineStr">
        <is>
          <t>ACQ-20</t>
        </is>
      </c>
      <c r="C258" s="95">
        <f>IFERROR(INDEX(Thèmes!$D$2:$D$190,MATCH(B258,Thèmes!$A$2:$A$190,0)),"")</f>
        <v/>
      </c>
      <c r="D258" s="68" t="inlineStr">
        <is>
          <t>—</t>
        </is>
      </c>
      <c r="E258" s="68" t="inlineStr">
        <is>
          <t>Part des questions chiffrées auxquelles vous avez su répondre</t>
        </is>
      </c>
      <c r="F258" s="68" t="inlineStr">
        <is>
          <t>%</t>
        </is>
      </c>
      <c r="G258" s="96" t="inlineStr">
        <is>
          <t>Calculée</t>
        </is>
      </c>
      <c r="H258" s="67" t="inlineStr">
        <is>
          <t>—</t>
        </is>
      </c>
      <c r="I258" s="68" t="inlineStr">
        <is>
          <t>—</t>
        </is>
      </c>
      <c r="J258" s="68" t="inlineStr">
        <is>
          <t>—</t>
        </is>
      </c>
      <c r="K258" s="67" t="inlineStr">
        <is>
          <t>●</t>
        </is>
      </c>
      <c r="L258" s="67" t="inlineStr">
        <is>
          <t>●</t>
        </is>
      </c>
      <c r="M258" s="67" t="inlineStr">
        <is>
          <t>●</t>
        </is>
      </c>
      <c r="N258" s="67" t="inlineStr">
        <is>
          <t>●</t>
        </is>
      </c>
      <c r="O258" s="67" t="inlineStr">
        <is>
          <t>●</t>
        </is>
      </c>
      <c r="P258" s="67" t="inlineStr">
        <is>
          <t>●</t>
        </is>
      </c>
      <c r="Q258" s="67" t="inlineStr">
        <is>
          <t>●</t>
        </is>
      </c>
      <c r="R258" s="67" t="inlineStr">
        <is>
          <t>●</t>
        </is>
      </c>
      <c r="S258" s="68" t="inlineStr">
        <is>
          <t>Problème</t>
        </is>
      </c>
      <c r="T258" s="68" t="inlineStr">
        <is>
          <t>Questions chiffrées répondues ÷ questions chiffrées posées</t>
        </is>
      </c>
      <c r="U258" s="68" t="inlineStr">
        <is>
          <t>—</t>
        </is>
      </c>
      <c r="V258" s="68" t="inlineStr">
        <is>
          <t>XF46, XR31</t>
        </is>
      </c>
      <c r="W258" s="83" t="n"/>
    </row>
    <row r="259" ht="57.45" customHeight="1" s="53">
      <c r="A259" s="81" t="inlineStr">
        <is>
          <t>ACQ-20.04</t>
        </is>
      </c>
      <c r="B259" s="67" t="inlineStr">
        <is>
          <t>ACQ-20</t>
        </is>
      </c>
      <c r="C259" s="95">
        <f>IFERROR(INDEX(Thèmes!$D$2:$D$190,MATCH(B259,Thèmes!$A$2:$A$190,0)),"")</f>
        <v/>
      </c>
      <c r="D259" s="68" t="inlineStr">
        <is>
          <t>—</t>
        </is>
      </c>
      <c r="E259" s="68" t="inlineStr">
        <is>
          <t>Part des réponses données en estimation plutôt qu'en chiffre exact</t>
        </is>
      </c>
      <c r="F259" s="68" t="inlineStr">
        <is>
          <t>%</t>
        </is>
      </c>
      <c r="G259" s="96" t="inlineStr">
        <is>
          <t>Calculée</t>
        </is>
      </c>
      <c r="H259" s="67" t="inlineStr">
        <is>
          <t>—</t>
        </is>
      </c>
      <c r="I259" s="68" t="inlineStr">
        <is>
          <t>—</t>
        </is>
      </c>
      <c r="J259" s="68" t="inlineStr">
        <is>
          <t>—</t>
        </is>
      </c>
      <c r="K259" s="67" t="inlineStr">
        <is>
          <t>●</t>
        </is>
      </c>
      <c r="L259" s="67" t="inlineStr">
        <is>
          <t>●</t>
        </is>
      </c>
      <c r="M259" s="67" t="inlineStr">
        <is>
          <t>●</t>
        </is>
      </c>
      <c r="N259" s="67" t="inlineStr">
        <is>
          <t>●</t>
        </is>
      </c>
      <c r="O259" s="67" t="inlineStr">
        <is>
          <t>●</t>
        </is>
      </c>
      <c r="P259" s="67" t="inlineStr">
        <is>
          <t>●</t>
        </is>
      </c>
      <c r="Q259" s="67" t="inlineStr">
        <is>
          <t>●</t>
        </is>
      </c>
      <c r="R259" s="67" t="inlineStr">
        <is>
          <t>●</t>
        </is>
      </c>
      <c r="S259" s="68" t="inlineStr">
        <is>
          <t>Problème</t>
        </is>
      </c>
      <c r="T259" s="68" t="inlineStr">
        <is>
          <t>Réponses estimées ÷ réponses données</t>
        </is>
      </c>
      <c r="U259" s="68" t="inlineStr">
        <is>
          <t>—</t>
        </is>
      </c>
      <c r="V259" s="68" t="inlineStr">
        <is>
          <t>Affichée dans le rapport</t>
        </is>
      </c>
      <c r="W259" s="83" t="n"/>
    </row>
    <row r="260" ht="68.65000000000001" customHeight="1" s="53">
      <c r="A260" s="92" t="inlineStr">
        <is>
          <t>ACQ-20.05</t>
        </is>
      </c>
      <c r="B260" s="67" t="inlineStr">
        <is>
          <t>ACQ-20</t>
        </is>
      </c>
      <c r="C260" s="95">
        <f>IFERROR(INDEX(Thèmes!$D$2:$D$190,MATCH(B260,Thèmes!$A$2:$A$190,0)),"")</f>
        <v/>
      </c>
      <c r="D260" s="68" t="inlineStr">
        <is>
          <t>—</t>
        </is>
      </c>
      <c r="E260" s="68" t="inlineStr">
        <is>
          <t>Objectif commercial chiffré chaque mois, et suivi</t>
        </is>
      </c>
      <c r="F260" s="68" t="inlineStr">
        <is>
          <t>Choix</t>
        </is>
      </c>
      <c r="G260" s="67" t="inlineStr">
        <is>
          <t>Demandée</t>
        </is>
      </c>
      <c r="H260" s="67" t="inlineStr">
        <is>
          <t>Essentiel</t>
        </is>
      </c>
      <c r="I260" s="68" t="inlineStr">
        <is>
          <t>—</t>
        </is>
      </c>
      <c r="J260" s="68" t="inlineStr">
        <is>
          <t>—</t>
        </is>
      </c>
      <c r="K260" s="67" t="inlineStr">
        <is>
          <t>●</t>
        </is>
      </c>
      <c r="L260" s="67" t="inlineStr">
        <is>
          <t>●</t>
        </is>
      </c>
      <c r="M260" s="67" t="inlineStr">
        <is>
          <t>●</t>
        </is>
      </c>
      <c r="N260" s="67" t="inlineStr">
        <is>
          <t>●</t>
        </is>
      </c>
      <c r="O260" s="67" t="inlineStr">
        <is>
          <t>●</t>
        </is>
      </c>
      <c r="P260" s="67" t="inlineStr">
        <is>
          <t>●</t>
        </is>
      </c>
      <c r="Q260" s="67" t="inlineStr">
        <is>
          <t>●</t>
        </is>
      </c>
      <c r="R260" s="67" t="inlineStr">
        <is>
          <t>●</t>
        </is>
      </c>
      <c r="S260" s="68" t="inlineStr">
        <is>
          <t>—</t>
        </is>
      </c>
      <c r="T260" s="68" t="inlineStr">
        <is>
          <t>—</t>
        </is>
      </c>
      <c r="U260" s="68" t="inlineStr">
        <is>
          <t>—</t>
        </is>
      </c>
      <c r="V260" s="68" t="inlineStr">
        <is>
          <t>—</t>
        </is>
      </c>
      <c r="W260" s="83" t="inlineStr">
        <is>
          <t>Nouveau</t>
        </is>
      </c>
    </row>
    <row r="261" ht="23.85" customHeight="1" s="53">
      <c r="A261" s="92" t="inlineStr">
        <is>
          <t>ACQ-20.06</t>
        </is>
      </c>
      <c r="B261" s="67" t="inlineStr">
        <is>
          <t>ACQ-20</t>
        </is>
      </c>
      <c r="C261" s="95">
        <f>IFERROR(INDEX(Thèmes!$D$2:$D$190,MATCH(B261,Thèmes!$A$2:$A$190,0)),"")</f>
        <v/>
      </c>
      <c r="D261" s="68" t="inlineStr">
        <is>
          <t>—</t>
        </is>
      </c>
      <c r="E261" s="68" t="inlineStr">
        <is>
          <t>Origine de chaque nouveau client notée</t>
        </is>
      </c>
      <c r="F261" s="68" t="inlineStr">
        <is>
          <t>Choix</t>
        </is>
      </c>
      <c r="G261" s="67" t="inlineStr">
        <is>
          <t>Demandée</t>
        </is>
      </c>
      <c r="H261" s="67" t="inlineStr">
        <is>
          <t>Essentiel</t>
        </is>
      </c>
      <c r="I261" s="68" t="inlineStr">
        <is>
          <t>—</t>
        </is>
      </c>
      <c r="J261" s="68" t="inlineStr">
        <is>
          <t>—</t>
        </is>
      </c>
      <c r="K261" s="67" t="inlineStr">
        <is>
          <t>●</t>
        </is>
      </c>
      <c r="L261" s="67" t="inlineStr">
        <is>
          <t>●</t>
        </is>
      </c>
      <c r="M261" s="67" t="inlineStr">
        <is>
          <t>●</t>
        </is>
      </c>
      <c r="N261" s="67" t="inlineStr">
        <is>
          <t>●</t>
        </is>
      </c>
      <c r="O261" s="67" t="inlineStr">
        <is>
          <t>●</t>
        </is>
      </c>
      <c r="P261" s="67" t="inlineStr">
        <is>
          <t>●</t>
        </is>
      </c>
      <c r="Q261" s="67" t="inlineStr">
        <is>
          <t>●</t>
        </is>
      </c>
      <c r="R261" s="67" t="inlineStr">
        <is>
          <t>●</t>
        </is>
      </c>
      <c r="S261" s="68" t="inlineStr">
        <is>
          <t>—</t>
        </is>
      </c>
      <c r="T261" s="68" t="inlineStr">
        <is>
          <t>—</t>
        </is>
      </c>
      <c r="U261" s="68" t="inlineStr">
        <is>
          <t>—</t>
        </is>
      </c>
      <c r="V261" s="68" t="inlineStr">
        <is>
          <t>—</t>
        </is>
      </c>
      <c r="W261" s="83" t="inlineStr">
        <is>
          <t>Nouveau</t>
        </is>
      </c>
    </row>
    <row r="262" ht="23.85" customHeight="1" s="53">
      <c r="A262" s="98" t="inlineStr">
        <is>
          <t>ACQ-21.01</t>
        </is>
      </c>
      <c r="B262" s="89" t="inlineStr">
        <is>
          <t>ACQ-21</t>
        </is>
      </c>
      <c r="C262" s="97">
        <f>IFERROR(INDEX(Thèmes!$D$2:$D$190,MATCH(B262,Thèmes!$A$2:$A$190,0)),"")</f>
        <v/>
      </c>
      <c r="D262" s="86" t="inlineStr">
        <is>
          <t>A20 · Votre équipe et sa capacité</t>
        </is>
      </c>
      <c r="E262" s="86" t="inlineStr">
        <is>
          <t>Personnes par domaine de travail, dont à temps partiel (le travail pour les clients, trouver et suivre les clients, administratif, encadrement) — partagée entre ACQ-21.01 et RH-46.01 : posée une seule fois ; l'équivalent temps plein au contact des clients se calcule avec les deux premières lignes</t>
        </is>
      </c>
      <c r="F262" s="86" t="inlineStr">
        <is>
          <t>Tableau : Personnes · Dont à temps partiel (lignes fixe: Le travail pour les clients / Trouver et suivre les clients / Administratif et gestion / Encadrement de l'équipe)</t>
        </is>
      </c>
      <c r="G262" s="89" t="inlineStr">
        <is>
          <t>Demandée</t>
        </is>
      </c>
      <c r="H262" s="89" t="inlineStr">
        <is>
          <t>Essentiel</t>
        </is>
      </c>
      <c r="I262" s="100" t="inlineStr">
        <is>
          <t>D02 · si au moins un salarié</t>
        </is>
      </c>
      <c r="J262" s="86" t="inlineStr">
        <is>
          <t>—</t>
        </is>
      </c>
      <c r="K262" s="89" t="inlineStr">
        <is>
          <t>●</t>
        </is>
      </c>
      <c r="L262" s="89" t="inlineStr">
        <is>
          <t>●</t>
        </is>
      </c>
      <c r="M262" s="89" t="inlineStr">
        <is>
          <t>●</t>
        </is>
      </c>
      <c r="N262" s="89" t="inlineStr">
        <is>
          <t>●</t>
        </is>
      </c>
      <c r="O262" s="89" t="inlineStr">
        <is>
          <t>●</t>
        </is>
      </c>
      <c r="P262" s="89" t="inlineStr">
        <is>
          <t>●</t>
        </is>
      </c>
      <c r="Q262" s="89" t="inlineStr">
        <is>
          <t>●</t>
        </is>
      </c>
      <c r="R262" s="89" t="inlineStr">
        <is>
          <t>●</t>
        </is>
      </c>
      <c r="S262" s="86" t="inlineStr">
        <is>
          <t>Capacité</t>
        </is>
      </c>
      <c r="T262" s="86" t="inlineStr">
        <is>
          <t>—</t>
        </is>
      </c>
      <c r="U262" s="86" t="inlineStr">
        <is>
          <t>—</t>
        </is>
      </c>
      <c r="V262" s="86" t="inlineStr">
        <is>
          <t>ACQ-21.10, ACQ-21.11</t>
        </is>
      </c>
      <c r="W262" s="91" t="inlineStr">
        <is>
          <t>Format de réponse (la banque l'emporte) · Libellé (« Donnée ») · Condition d'affichage</t>
        </is>
      </c>
    </row>
    <row r="263" ht="23.85" customHeight="1" s="53">
      <c r="A263" s="81" t="inlineStr">
        <is>
          <t>ACQ-21.02</t>
        </is>
      </c>
      <c r="B263" s="67" t="inlineStr">
        <is>
          <t>ACQ-21</t>
        </is>
      </c>
      <c r="C263" s="95">
        <f>IFERROR(INDEX(Thèmes!$D$2:$D$190,MATCH(B263,Thèmes!$A$2:$A$190,0)),"")</f>
        <v/>
      </c>
      <c r="D263" s="68" t="inlineStr">
        <is>
          <t>A20 · Votre équipe et sa capacité</t>
        </is>
      </c>
      <c r="E263" s="68" t="inlineStr">
        <is>
          <t>Ventes ou dossiers réalisés par mois : prestations, chantiers, contrats (commerce, restaurant, e-commerce : repris des tickets, couverts ou commandes)</t>
        </is>
      </c>
      <c r="F263" s="68" t="inlineStr">
        <is>
          <t>Nombre</t>
        </is>
      </c>
      <c r="G263" s="67" t="inlineStr">
        <is>
          <t>Demandée</t>
        </is>
      </c>
      <c r="H263" s="67" t="inlineStr">
        <is>
          <t>Essentiel</t>
        </is>
      </c>
      <c r="I263" s="68" t="inlineStr">
        <is>
          <t>—</t>
        </is>
      </c>
      <c r="J263" s="68" t="inlineStr">
        <is>
          <t>—</t>
        </is>
      </c>
      <c r="K263" s="67" t="inlineStr">
        <is>
          <t>●</t>
        </is>
      </c>
      <c r="L263" s="67" t="n"/>
      <c r="M263" s="67" t="n"/>
      <c r="N263" s="67" t="n"/>
      <c r="O263" s="67" t="inlineStr">
        <is>
          <t>●</t>
        </is>
      </c>
      <c r="P263" s="67" t="inlineStr">
        <is>
          <t>●</t>
        </is>
      </c>
      <c r="Q263" s="67" t="n"/>
      <c r="R263" s="67" t="n"/>
      <c r="S263" s="68" t="inlineStr">
        <is>
          <t>Mesure</t>
        </is>
      </c>
      <c r="T263" s="68" t="inlineStr">
        <is>
          <t>—</t>
        </is>
      </c>
      <c r="U263" s="68" t="inlineStr">
        <is>
          <t>—</t>
        </is>
      </c>
      <c r="V263" s="68" t="inlineStr">
        <is>
          <t>ACQ-15.06, ACQ-15.08, ACQ-21.09, ACQ-21.10, ACQ-21.14, COM-09.06, COM-44.07, RH-07.05</t>
        </is>
      </c>
      <c r="W263" s="83" t="n"/>
    </row>
    <row r="264" ht="15" customHeight="1" s="53">
      <c r="A264" s="81" t="inlineStr">
        <is>
          <t>ACQ-21.03</t>
        </is>
      </c>
      <c r="B264" s="67" t="inlineStr">
        <is>
          <t>ACQ-21</t>
        </is>
      </c>
      <c r="C264" s="95">
        <f>IFERROR(INDEX(Thèmes!$D$2:$D$190,MATCH(B264,Thèmes!$A$2:$A$190,0)),"")</f>
        <v/>
      </c>
      <c r="D264" s="68" t="inlineStr">
        <is>
          <t>A20 · Votre équipe et sa capacité</t>
        </is>
      </c>
      <c r="E264" s="68" t="inlineStr">
        <is>
          <t>Nombre maximum de ventes ou dossiers que l'équipe peut réaliser par mois</t>
        </is>
      </c>
      <c r="F264" s="68" t="inlineStr">
        <is>
          <t>Nombre</t>
        </is>
      </c>
      <c r="G264" s="66" t="inlineStr">
        <is>
          <t>Partagée</t>
        </is>
      </c>
      <c r="H264" s="67" t="inlineStr">
        <is>
          <t>Essentiel</t>
        </is>
      </c>
      <c r="I264" s="68" t="inlineStr">
        <is>
          <t>—</t>
        </is>
      </c>
      <c r="J264" s="68" t="inlineStr">
        <is>
          <t>—</t>
        </is>
      </c>
      <c r="K264" s="67" t="inlineStr">
        <is>
          <t>●</t>
        </is>
      </c>
      <c r="L264" s="67" t="n"/>
      <c r="M264" s="67" t="inlineStr">
        <is>
          <t>●</t>
        </is>
      </c>
      <c r="N264" s="67" t="n"/>
      <c r="O264" s="67" t="inlineStr">
        <is>
          <t>●</t>
        </is>
      </c>
      <c r="P264" s="67" t="inlineStr">
        <is>
          <t>●</t>
        </is>
      </c>
      <c r="Q264" s="67" t="n"/>
      <c r="R264" s="67" t="n"/>
      <c r="S264" s="68" t="inlineStr">
        <is>
          <t>Capacité</t>
        </is>
      </c>
      <c r="T264" s="68" t="inlineStr">
        <is>
          <t>Posée une seule fois, par le premier agent souscrit qui en a besoin (RH-07.01), sinon ici. Si l'agent RH est souscrit : ventes du mois + ventes absorbables avec les heures disponibles (RH-07). Aucune nouvelle question</t>
        </is>
      </c>
      <c r="U264" s="68" t="inlineStr">
        <is>
          <t>RH-07.01</t>
        </is>
      </c>
      <c r="V264" s="68" t="inlineStr">
        <is>
          <t>ACQ-21.09, ACQ-21.14</t>
        </is>
      </c>
      <c r="W264" s="83" t="n"/>
    </row>
    <row r="265" ht="23.85" customHeight="1" s="53">
      <c r="A265" s="94" t="inlineStr">
        <is>
          <t>ACQ-21.04</t>
        </is>
      </c>
      <c r="B265" s="67" t="inlineStr">
        <is>
          <t>ACQ-21</t>
        </is>
      </c>
      <c r="C265" s="95">
        <f>IFERROR(INDEX(Thèmes!$D$2:$D$190,MATCH(B265,Thèmes!$A$2:$A$190,0)),"")</f>
        <v/>
      </c>
      <c r="D265" s="68" t="inlineStr">
        <is>
          <t>A20 · Votre équipe et sa capacité</t>
        </is>
      </c>
      <c r="E265" s="68" t="inlineStr">
        <is>
          <t>Heures travaillées et facturées par mois — partagée avec FIN-07.03 : posée une seule fois</t>
        </is>
      </c>
      <c r="F265" s="68" t="inlineStr">
        <is>
          <t>Plusieurs champs : Heures travaillées · Heures facturées</t>
        </is>
      </c>
      <c r="G265" s="66" t="inlineStr">
        <is>
          <t>Partagée</t>
        </is>
      </c>
      <c r="H265" s="67" t="inlineStr">
        <is>
          <t>Essentiel</t>
        </is>
      </c>
      <c r="I265" s="99" t="inlineStr">
        <is>
          <t>D18 · si facturation au temps</t>
        </is>
      </c>
      <c r="J265" s="68" t="inlineStr">
        <is>
          <t>—</t>
        </is>
      </c>
      <c r="K265" s="67" t="inlineStr">
        <is>
          <t>●</t>
        </is>
      </c>
      <c r="L265" s="67" t="n"/>
      <c r="M265" s="67" t="n"/>
      <c r="N265" s="67" t="n"/>
      <c r="O265" s="67" t="inlineStr">
        <is>
          <t>●</t>
        </is>
      </c>
      <c r="P265" s="67" t="inlineStr">
        <is>
          <t>●</t>
        </is>
      </c>
      <c r="Q265" s="67" t="n"/>
      <c r="R265" s="67" t="n"/>
      <c r="S265" s="68" t="inlineStr">
        <is>
          <t>Capacité</t>
        </is>
      </c>
      <c r="T265" s="68" t="inlineStr">
        <is>
          <t>Posée une seule fois, par le premier agent souscrit qui en a besoin (RH-06.02, RH-05.01), sinon ici. Si l'agent RH est souscrit : heures réelles par semaine et par personne × personnes en production (ACQ-21.01) × 4,33 ; seul : vos heures par semaine × 4,33. Aucune nouvelle question</t>
        </is>
      </c>
      <c r="U265" s="68" t="inlineStr">
        <is>
          <t>RH-06.02, RH-05.01</t>
        </is>
      </c>
      <c r="V265" s="68" t="inlineStr">
        <is>
          <t>ACQ-21.08, ACQ-21.12, ACQ-21.13</t>
        </is>
      </c>
      <c r="W265" s="83" t="inlineStr">
        <is>
          <t>Format de réponse (la banque l'emporte) · Libellé (« Donnée »)</t>
        </is>
      </c>
    </row>
    <row r="266" ht="15" customHeight="1" s="53">
      <c r="A266" s="94" t="inlineStr">
        <is>
          <t>ACQ-21.05</t>
        </is>
      </c>
      <c r="B266" s="67" t="inlineStr">
        <is>
          <t>ACQ-21</t>
        </is>
      </c>
      <c r="C266" s="95">
        <f>IFERROR(INDEX(Thèmes!$D$2:$D$190,MATCH(B266,Thèmes!$A$2:$A$190,0)),"")</f>
        <v/>
      </c>
      <c r="D266" s="68" t="inlineStr">
        <is>
          <t>A20 · Votre équipe et sa capacité</t>
        </is>
      </c>
      <c r="E266" s="68" t="inlineStr">
        <is>
          <t>Heures facturées par mois</t>
        </is>
      </c>
      <c r="F266" s="68" t="inlineStr">
        <is>
          <t>Heures</t>
        </is>
      </c>
      <c r="G266" s="96" t="inlineStr">
        <is>
          <t>Calculée</t>
        </is>
      </c>
      <c r="H266" s="67" t="inlineStr">
        <is>
          <t>—</t>
        </is>
      </c>
      <c r="I266" s="99" t="inlineStr">
        <is>
          <t>D18 · si facturation au temps</t>
        </is>
      </c>
      <c r="J266" s="68" t="inlineStr">
        <is>
          <t>—</t>
        </is>
      </c>
      <c r="K266" s="67" t="inlineStr">
        <is>
          <t>●</t>
        </is>
      </c>
      <c r="L266" s="67" t="n"/>
      <c r="M266" s="67" t="n"/>
      <c r="N266" s="67" t="n"/>
      <c r="O266" s="67" t="inlineStr">
        <is>
          <t>●</t>
        </is>
      </c>
      <c r="P266" s="67" t="inlineStr">
        <is>
          <t>●</t>
        </is>
      </c>
      <c r="Q266" s="67" t="n"/>
      <c r="R266" s="67" t="n"/>
      <c r="S266" s="68" t="inlineStr">
        <is>
          <t>Perte</t>
        </is>
      </c>
      <c r="T266" s="68" t="inlineStr">
        <is>
          <t>Lue dans la réponse à ACQ-21.04 (champ « Heures facturées ») : questions fusionnées</t>
        </is>
      </c>
      <c r="U266" s="68" t="inlineStr">
        <is>
          <t>ACQ-21.04</t>
        </is>
      </c>
      <c r="V266" s="68" t="inlineStr">
        <is>
          <t>ACQ-21.12, ACQ-21.13, FIN-07.14</t>
        </is>
      </c>
      <c r="W266" s="83" t="inlineStr">
        <is>
          <t>Mode : Calculée (plus de question : la banque la lit dans une autre réponse)</t>
        </is>
      </c>
    </row>
    <row r="267" ht="23.85" customHeight="1" s="53">
      <c r="A267" s="81" t="inlineStr">
        <is>
          <t>ACQ-21.06</t>
        </is>
      </c>
      <c r="B267" s="67" t="inlineStr">
        <is>
          <t>ACQ-21</t>
        </is>
      </c>
      <c r="C267" s="95">
        <f>IFERROR(INDEX(Thèmes!$D$2:$D$190,MATCH(B267,Thèmes!$A$2:$A$190,0)),"")</f>
        <v/>
      </c>
      <c r="D267" s="68" t="inlineStr">
        <is>
          <t>A20 · Votre équipe et sa capacité</t>
        </is>
      </c>
      <c r="E267" s="68" t="inlineStr">
        <is>
          <t>Temps moyen passé par dossier</t>
        </is>
      </c>
      <c r="F267" s="68" t="inlineStr">
        <is>
          <t>Heures</t>
        </is>
      </c>
      <c r="G267" s="67" t="inlineStr">
        <is>
          <t>Demandée</t>
        </is>
      </c>
      <c r="H267" s="67" t="inlineStr">
        <is>
          <t>Approfondi</t>
        </is>
      </c>
      <c r="I267" s="68" t="inlineStr">
        <is>
          <t>—</t>
        </is>
      </c>
      <c r="J267" s="68" t="inlineStr">
        <is>
          <t>—</t>
        </is>
      </c>
      <c r="K267" s="67" t="n"/>
      <c r="L267" s="67" t="n"/>
      <c r="M267" s="67" t="n"/>
      <c r="N267" s="67" t="n"/>
      <c r="O267" s="67" t="inlineStr">
        <is>
          <t>●</t>
        </is>
      </c>
      <c r="P267" s="67" t="inlineStr">
        <is>
          <t>●</t>
        </is>
      </c>
      <c r="Q267" s="67" t="n"/>
      <c r="R267" s="67" t="n"/>
      <c r="S267" s="68" t="inlineStr">
        <is>
          <t>Capacité</t>
        </is>
      </c>
      <c r="T267" s="68" t="inlineStr">
        <is>
          <t>—</t>
        </is>
      </c>
      <c r="U267" s="68" t="inlineStr">
        <is>
          <t>—</t>
        </is>
      </c>
      <c r="V267" s="68" t="inlineStr">
        <is>
          <t>ACQ-21.08, RH-07.05</t>
        </is>
      </c>
      <c r="W267" s="83" t="n"/>
    </row>
    <row r="268" ht="15" customHeight="1" s="53">
      <c r="A268" s="94" t="inlineStr">
        <is>
          <t>ACQ-21.07</t>
        </is>
      </c>
      <c r="B268" s="67" t="inlineStr">
        <is>
          <t>ACQ-21</t>
        </is>
      </c>
      <c r="C268" s="95">
        <f>IFERROR(INDEX(Thèmes!$D$2:$D$190,MATCH(B268,Thèmes!$A$2:$A$190,0)),"")</f>
        <v/>
      </c>
      <c r="D268" s="68" t="inlineStr">
        <is>
          <t>A20 · Votre équipe et sa capacité</t>
        </is>
      </c>
      <c r="E268" s="68" t="inlineStr">
        <is>
          <t>Dossiers en attente de traitement, et délai d'attente moyen</t>
        </is>
      </c>
      <c r="F268" s="68" t="inlineStr">
        <is>
          <t>Nombre et jours</t>
        </is>
      </c>
      <c r="G268" s="96" t="inlineStr">
        <is>
          <t>Calculée</t>
        </is>
      </c>
      <c r="H268" s="67" t="inlineStr">
        <is>
          <t>—</t>
        </is>
      </c>
      <c r="I268" s="68" t="inlineStr">
        <is>
          <t>—</t>
        </is>
      </c>
      <c r="J268" s="68" t="inlineStr">
        <is>
          <t>—</t>
        </is>
      </c>
      <c r="K268" s="67" t="n"/>
      <c r="L268" s="67" t="n"/>
      <c r="M268" s="67" t="n"/>
      <c r="N268" s="67" t="n"/>
      <c r="O268" s="67" t="inlineStr">
        <is>
          <t>●</t>
        </is>
      </c>
      <c r="P268" s="67" t="inlineStr">
        <is>
          <t>●</t>
        </is>
      </c>
      <c r="Q268" s="67" t="n"/>
      <c r="R268" s="67" t="n"/>
      <c r="S268" s="68" t="inlineStr">
        <is>
          <t>Problème</t>
        </is>
      </c>
      <c r="T268" s="68" t="inlineStr">
        <is>
          <t>Reprise de ACQ-19.03 (délai avant démarrage) et ACQ-19.04 (projets en attente) : déjà demandées</t>
        </is>
      </c>
      <c r="U268" s="68" t="inlineStr">
        <is>
          <t>ACQ-19.03, ACQ-19.04</t>
        </is>
      </c>
      <c r="V268" s="68" t="inlineStr">
        <is>
          <t>Notée directement (couleur du thème)</t>
        </is>
      </c>
      <c r="W268" s="83" t="inlineStr">
        <is>
          <t>Mode : Calculée (plus de question : la banque la lit dans une autre réponse)</t>
        </is>
      </c>
    </row>
    <row r="269" ht="23.85" customHeight="1" s="53">
      <c r="A269" s="81" t="inlineStr">
        <is>
          <t>ACQ-21.08</t>
        </is>
      </c>
      <c r="B269" s="67" t="inlineStr">
        <is>
          <t>ACQ-21</t>
        </is>
      </c>
      <c r="C269" s="95">
        <f>IFERROR(INDEX(Thèmes!$D$2:$D$190,MATCH(B269,Thèmes!$A$2:$A$190,0)),"")</f>
        <v/>
      </c>
      <c r="D269" s="68" t="inlineStr">
        <is>
          <t>—</t>
        </is>
      </c>
      <c r="E269" s="68" t="inlineStr">
        <is>
          <t>Capacité théorique, pour contrôler la capacité déclarée</t>
        </is>
      </c>
      <c r="F269" s="68" t="inlineStr">
        <is>
          <t>Nombre</t>
        </is>
      </c>
      <c r="G269" s="96" t="inlineStr">
        <is>
          <t>Calculée</t>
        </is>
      </c>
      <c r="H269" s="67" t="inlineStr">
        <is>
          <t>—</t>
        </is>
      </c>
      <c r="I269" s="68" t="inlineStr">
        <is>
          <t>—</t>
        </is>
      </c>
      <c r="J269" s="68" t="inlineStr">
        <is>
          <t>—</t>
        </is>
      </c>
      <c r="K269" s="67" t="n"/>
      <c r="L269" s="67" t="n"/>
      <c r="M269" s="67" t="n"/>
      <c r="N269" s="67" t="n"/>
      <c r="O269" s="67" t="inlineStr">
        <is>
          <t>●</t>
        </is>
      </c>
      <c r="P269" s="67" t="inlineStr">
        <is>
          <t>●</t>
        </is>
      </c>
      <c r="Q269" s="67" t="n"/>
      <c r="R269" s="67" t="n"/>
      <c r="S269" s="68" t="inlineStr">
        <is>
          <t>Capacité</t>
        </is>
      </c>
      <c r="T269" s="68" t="inlineStr">
        <is>
          <t>Heures travaillées ÷ temps moyen par dossier</t>
        </is>
      </c>
      <c r="U269" s="68" t="inlineStr">
        <is>
          <t>ACQ-21.04, ACQ-21.06</t>
        </is>
      </c>
      <c r="V269" s="68" t="inlineStr">
        <is>
          <t>Affichée dans le rapport</t>
        </is>
      </c>
      <c r="W269" s="83" t="n"/>
    </row>
    <row r="270" ht="23.85" customHeight="1" s="53">
      <c r="A270" s="81" t="inlineStr">
        <is>
          <t>ACQ-21.09</t>
        </is>
      </c>
      <c r="B270" s="67" t="inlineStr">
        <is>
          <t>ACQ-21</t>
        </is>
      </c>
      <c r="C270" s="95">
        <f>IFERROR(INDEX(Thèmes!$D$2:$D$190,MATCH(B270,Thèmes!$A$2:$A$190,0)),"")</f>
        <v/>
      </c>
      <c r="D270" s="68" t="inlineStr">
        <is>
          <t>—</t>
        </is>
      </c>
      <c r="E270" s="68" t="inlineStr">
        <is>
          <t>Taux d'utilisation de la capacité</t>
        </is>
      </c>
      <c r="F270" s="68" t="inlineStr">
        <is>
          <t>%</t>
        </is>
      </c>
      <c r="G270" s="96" t="inlineStr">
        <is>
          <t>Calculée</t>
        </is>
      </c>
      <c r="H270" s="67" t="inlineStr">
        <is>
          <t>—</t>
        </is>
      </c>
      <c r="I270" s="68" t="inlineStr">
        <is>
          <t>—</t>
        </is>
      </c>
      <c r="J270" s="68" t="inlineStr">
        <is>
          <t>—</t>
        </is>
      </c>
      <c r="K270" s="67" t="inlineStr">
        <is>
          <t>●</t>
        </is>
      </c>
      <c r="L270" s="67" t="n"/>
      <c r="M270" s="67" t="inlineStr">
        <is>
          <t>●</t>
        </is>
      </c>
      <c r="N270" s="67" t="n"/>
      <c r="O270" s="67" t="inlineStr">
        <is>
          <t>●</t>
        </is>
      </c>
      <c r="P270" s="67" t="inlineStr">
        <is>
          <t>●</t>
        </is>
      </c>
      <c r="Q270" s="67" t="n"/>
      <c r="R270" s="67" t="n"/>
      <c r="S270" s="68" t="inlineStr">
        <is>
          <t>Capacité</t>
        </is>
      </c>
      <c r="T270" s="68" t="inlineStr">
        <is>
          <t>Ventes réalisées ÷ maximum possible</t>
        </is>
      </c>
      <c r="U270" s="68" t="inlineStr">
        <is>
          <t>ACQ-21.02, ACQ-11.14, ACQ-21.03</t>
        </is>
      </c>
      <c r="V270" s="68" t="inlineStr">
        <is>
          <t>Affichée dans le rapport</t>
        </is>
      </c>
      <c r="W270" s="83" t="n"/>
    </row>
    <row r="271" ht="23.85" customHeight="1" s="53">
      <c r="A271" s="81" t="inlineStr">
        <is>
          <t>ACQ-21.10</t>
        </is>
      </c>
      <c r="B271" s="67" t="inlineStr">
        <is>
          <t>ACQ-21</t>
        </is>
      </c>
      <c r="C271" s="95">
        <f>IFERROR(INDEX(Thèmes!$D$2:$D$190,MATCH(B271,Thèmes!$A$2:$A$190,0)),"")</f>
        <v/>
      </c>
      <c r="D271" s="68" t="inlineStr">
        <is>
          <t>—</t>
        </is>
      </c>
      <c r="E271" s="68" t="inlineStr">
        <is>
          <t>Ventes ou dossiers par personne</t>
        </is>
      </c>
      <c r="F271" s="68" t="inlineStr">
        <is>
          <t>Nombre</t>
        </is>
      </c>
      <c r="G271" s="96" t="inlineStr">
        <is>
          <t>Calculée</t>
        </is>
      </c>
      <c r="H271" s="67" t="inlineStr">
        <is>
          <t>—</t>
        </is>
      </c>
      <c r="I271" s="68" t="inlineStr">
        <is>
          <t>—</t>
        </is>
      </c>
      <c r="J271" s="68" t="inlineStr">
        <is>
          <t>—</t>
        </is>
      </c>
      <c r="K271" s="67" t="inlineStr">
        <is>
          <t>●</t>
        </is>
      </c>
      <c r="L271" s="67" t="n"/>
      <c r="M271" s="67" t="n"/>
      <c r="N271" s="67" t="n"/>
      <c r="O271" s="67" t="inlineStr">
        <is>
          <t>●</t>
        </is>
      </c>
      <c r="P271" s="67" t="inlineStr">
        <is>
          <t>●</t>
        </is>
      </c>
      <c r="Q271" s="67" t="n"/>
      <c r="R271" s="67" t="n"/>
      <c r="S271" s="68" t="inlineStr">
        <is>
          <t>Cible</t>
        </is>
      </c>
      <c r="T271" s="68" t="inlineStr">
        <is>
          <t>Ventes du mois ÷ personnes</t>
        </is>
      </c>
      <c r="U271" s="68" t="inlineStr">
        <is>
          <t>ACQ-21.02, ACQ-21.01</t>
        </is>
      </c>
      <c r="V271" s="68" t="inlineStr">
        <is>
          <t>Affichée dans le rapport</t>
        </is>
      </c>
      <c r="W271" s="83" t="n"/>
    </row>
    <row r="272" ht="23.85" customHeight="1" s="53">
      <c r="A272" s="81" t="inlineStr">
        <is>
          <t>ACQ-21.11</t>
        </is>
      </c>
      <c r="B272" s="67" t="inlineStr">
        <is>
          <t>ACQ-21</t>
        </is>
      </c>
      <c r="C272" s="95">
        <f>IFERROR(INDEX(Thèmes!$D$2:$D$190,MATCH(B272,Thèmes!$A$2:$A$190,0)),"")</f>
        <v/>
      </c>
      <c r="D272" s="68" t="inlineStr">
        <is>
          <t>—</t>
        </is>
      </c>
      <c r="E272" s="68" t="inlineStr">
        <is>
          <t>CA par personne en production ou au contact des clients</t>
        </is>
      </c>
      <c r="F272" s="68" t="inlineStr">
        <is>
          <t>€</t>
        </is>
      </c>
      <c r="G272" s="96" t="inlineStr">
        <is>
          <t>Calculée</t>
        </is>
      </c>
      <c r="H272" s="67" t="inlineStr">
        <is>
          <t>—</t>
        </is>
      </c>
      <c r="I272" s="68" t="inlineStr">
        <is>
          <t>—</t>
        </is>
      </c>
      <c r="J272" s="68" t="inlineStr">
        <is>
          <t>—</t>
        </is>
      </c>
      <c r="K272" s="67" t="inlineStr">
        <is>
          <t>●</t>
        </is>
      </c>
      <c r="L272" s="67" t="inlineStr">
        <is>
          <t>●</t>
        </is>
      </c>
      <c r="M272" s="67" t="inlineStr">
        <is>
          <t>●</t>
        </is>
      </c>
      <c r="N272" s="67" t="inlineStr">
        <is>
          <t>●</t>
        </is>
      </c>
      <c r="O272" s="67" t="inlineStr">
        <is>
          <t>●</t>
        </is>
      </c>
      <c r="P272" s="67" t="inlineStr">
        <is>
          <t>●</t>
        </is>
      </c>
      <c r="Q272" s="67" t="inlineStr">
        <is>
          <t>●</t>
        </is>
      </c>
      <c r="R272" s="67" t="inlineStr">
        <is>
          <t>●</t>
        </is>
      </c>
      <c r="S272" s="68" t="inlineStr">
        <is>
          <t>Cible</t>
        </is>
      </c>
      <c r="T272" s="68" t="inlineStr">
        <is>
          <t>CA mensuel ÷ personnes en production ou au contact des clients (ACQ-21.01)</t>
        </is>
      </c>
      <c r="U272" s="68" t="inlineStr">
        <is>
          <t>Inscription · CA mensuel, ACQ-21.01</t>
        </is>
      </c>
      <c r="V272" s="68" t="inlineStr">
        <is>
          <t>Affichée dans le rapport</t>
        </is>
      </c>
      <c r="W272" s="83" t="n"/>
    </row>
    <row r="273" ht="23.85" customHeight="1" s="53">
      <c r="A273" s="81" t="inlineStr">
        <is>
          <t>ACQ-21.12</t>
        </is>
      </c>
      <c r="B273" s="67" t="inlineStr">
        <is>
          <t>ACQ-21</t>
        </is>
      </c>
      <c r="C273" s="95">
        <f>IFERROR(INDEX(Thèmes!$D$2:$D$190,MATCH(B273,Thèmes!$A$2:$A$190,0)),"")</f>
        <v/>
      </c>
      <c r="D273" s="68" t="inlineStr">
        <is>
          <t>—</t>
        </is>
      </c>
      <c r="E273" s="68" t="inlineStr">
        <is>
          <t>Part des heures travaillées qui sont facturées</t>
        </is>
      </c>
      <c r="F273" s="68" t="inlineStr">
        <is>
          <t>%</t>
        </is>
      </c>
      <c r="G273" s="96" t="inlineStr">
        <is>
          <t>Calculée</t>
        </is>
      </c>
      <c r="H273" s="67" t="inlineStr">
        <is>
          <t>—</t>
        </is>
      </c>
      <c r="I273" s="68" t="inlineStr">
        <is>
          <t>—</t>
        </is>
      </c>
      <c r="J273" s="68" t="inlineStr">
        <is>
          <t>—</t>
        </is>
      </c>
      <c r="K273" s="67" t="inlineStr">
        <is>
          <t>●</t>
        </is>
      </c>
      <c r="L273" s="67" t="n"/>
      <c r="M273" s="67" t="n"/>
      <c r="N273" s="67" t="n"/>
      <c r="O273" s="67" t="inlineStr">
        <is>
          <t>●</t>
        </is>
      </c>
      <c r="P273" s="67" t="inlineStr">
        <is>
          <t>●</t>
        </is>
      </c>
      <c r="Q273" s="67" t="n"/>
      <c r="R273" s="67" t="n"/>
      <c r="S273" s="68" t="inlineStr">
        <is>
          <t>Perte</t>
        </is>
      </c>
      <c r="T273" s="68" t="inlineStr">
        <is>
          <t>Heures facturées ÷ heures travaillées</t>
        </is>
      </c>
      <c r="U273" s="68" t="inlineStr">
        <is>
          <t>ACQ-21.05, ACQ-21.04</t>
        </is>
      </c>
      <c r="V273" s="68" t="inlineStr">
        <is>
          <t>XF37</t>
        </is>
      </c>
      <c r="W273" s="83" t="n"/>
    </row>
    <row r="274" ht="23.85" customHeight="1" s="53">
      <c r="A274" s="81" t="inlineStr">
        <is>
          <t>ACQ-21.13</t>
        </is>
      </c>
      <c r="B274" s="67" t="inlineStr">
        <is>
          <t>ACQ-21</t>
        </is>
      </c>
      <c r="C274" s="95">
        <f>IFERROR(INDEX(Thèmes!$D$2:$D$190,MATCH(B274,Thèmes!$A$2:$A$190,0)),"")</f>
        <v/>
      </c>
      <c r="D274" s="68" t="inlineStr">
        <is>
          <t>—</t>
        </is>
      </c>
      <c r="E274" s="68" t="inlineStr">
        <is>
          <t>Valeur des heures non facturées par mois</t>
        </is>
      </c>
      <c r="F274" s="68" t="inlineStr">
        <is>
          <t>€</t>
        </is>
      </c>
      <c r="G274" s="96" t="inlineStr">
        <is>
          <t>Calculée</t>
        </is>
      </c>
      <c r="H274" s="67" t="inlineStr">
        <is>
          <t>—</t>
        </is>
      </c>
      <c r="I274" s="68" t="inlineStr">
        <is>
          <t>—</t>
        </is>
      </c>
      <c r="J274" s="68" t="inlineStr">
        <is>
          <t>—</t>
        </is>
      </c>
      <c r="K274" s="67" t="inlineStr">
        <is>
          <t>●</t>
        </is>
      </c>
      <c r="L274" s="67" t="n"/>
      <c r="M274" s="67" t="n"/>
      <c r="N274" s="67" t="n"/>
      <c r="O274" s="67" t="inlineStr">
        <is>
          <t>●</t>
        </is>
      </c>
      <c r="P274" s="67" t="inlineStr">
        <is>
          <t>●</t>
        </is>
      </c>
      <c r="Q274" s="67" t="n"/>
      <c r="R274" s="67" t="n"/>
      <c r="S274" s="68" t="inlineStr">
        <is>
          <t>Perte</t>
        </is>
      </c>
      <c r="T274" s="68" t="inlineStr">
        <is>
          <t>(Heures travaillées − heures facturées) × taux horaire</t>
        </is>
      </c>
      <c r="U274" s="68" t="inlineStr">
        <is>
          <t>ACQ-21.04, ACQ-21.05, ACQ-13.03</t>
        </is>
      </c>
      <c r="V274" s="68" t="inlineStr">
        <is>
          <t>XA27</t>
        </is>
      </c>
      <c r="W274" s="83" t="n"/>
    </row>
    <row r="275" ht="23.85" customHeight="1" s="53">
      <c r="A275" s="81" t="inlineStr">
        <is>
          <t>ACQ-21.14</t>
        </is>
      </c>
      <c r="B275" s="67" t="inlineStr">
        <is>
          <t>ACQ-21</t>
        </is>
      </c>
      <c r="C275" s="95">
        <f>IFERROR(INDEX(Thèmes!$D$2:$D$190,MATCH(B275,Thèmes!$A$2:$A$190,0)),"")</f>
        <v/>
      </c>
      <c r="D275" s="68" t="inlineStr">
        <is>
          <t>—</t>
        </is>
      </c>
      <c r="E275" s="68" t="inlineStr">
        <is>
          <t>Capacité inutilisée par mois, en ventes et en €</t>
        </is>
      </c>
      <c r="F275" s="68" t="inlineStr">
        <is>
          <t>Nombre et €</t>
        </is>
      </c>
      <c r="G275" s="96" t="inlineStr">
        <is>
          <t>Calculée</t>
        </is>
      </c>
      <c r="H275" s="67" t="inlineStr">
        <is>
          <t>—</t>
        </is>
      </c>
      <c r="I275" s="68" t="inlineStr">
        <is>
          <t>—</t>
        </is>
      </c>
      <c r="J275" s="68" t="inlineStr">
        <is>
          <t>—</t>
        </is>
      </c>
      <c r="K275" s="67" t="inlineStr">
        <is>
          <t>●</t>
        </is>
      </c>
      <c r="L275" s="67" t="n"/>
      <c r="M275" s="67" t="inlineStr">
        <is>
          <t>●</t>
        </is>
      </c>
      <c r="N275" s="67" t="n"/>
      <c r="O275" s="67" t="inlineStr">
        <is>
          <t>●</t>
        </is>
      </c>
      <c r="P275" s="67" t="inlineStr">
        <is>
          <t>●</t>
        </is>
      </c>
      <c r="Q275" s="67" t="n"/>
      <c r="R275" s="67" t="n"/>
      <c r="S275" s="68" t="inlineStr">
        <is>
          <t>Potentiel CA</t>
        </is>
      </c>
      <c r="T275" s="68" t="inlineStr">
        <is>
          <t>(Maximum possible − ventes réalisées) × panier moyen</t>
        </is>
      </c>
      <c r="U275" s="68" t="inlineStr">
        <is>
          <t>ACQ-21.03, ACQ-21.02, ACQ-11.14, ACQ-15.06</t>
        </is>
      </c>
      <c r="V275" s="68" t="inlineStr">
        <is>
          <t>FIN-07.16, XR10, XR11, S04</t>
        </is>
      </c>
      <c r="W275" s="83" t="n"/>
    </row>
    <row r="276" ht="23.85" customHeight="1" s="53">
      <c r="A276" s="81" t="inlineStr">
        <is>
          <t>ACQ-21.15</t>
        </is>
      </c>
      <c r="B276" s="67" t="inlineStr">
        <is>
          <t>ACQ-21</t>
        </is>
      </c>
      <c r="C276" s="95">
        <f>IFERROR(INDEX(Thèmes!$D$2:$D$190,MATCH(B276,Thèmes!$A$2:$A$190,0)),"")</f>
        <v/>
      </c>
      <c r="D276" s="68" t="inlineStr">
        <is>
          <t>—</t>
        </is>
      </c>
      <c r="E276" s="68" t="inlineStr">
        <is>
          <t>Capacité supplémentaire avec un recrutement</t>
        </is>
      </c>
      <c r="F276" s="68" t="inlineStr">
        <is>
          <t>Nombre</t>
        </is>
      </c>
      <c r="G276" s="66" t="inlineStr">
        <is>
          <t>Autre agent</t>
        </is>
      </c>
      <c r="H276" s="67" t="inlineStr">
        <is>
          <t>—</t>
        </is>
      </c>
      <c r="I276" s="68" t="inlineStr">
        <is>
          <t>—</t>
        </is>
      </c>
      <c r="J276" s="68" t="inlineStr">
        <is>
          <t>—</t>
        </is>
      </c>
      <c r="K276" s="67" t="inlineStr">
        <is>
          <t>●</t>
        </is>
      </c>
      <c r="L276" s="67" t="inlineStr">
        <is>
          <t>●</t>
        </is>
      </c>
      <c r="M276" s="67" t="inlineStr">
        <is>
          <t>●</t>
        </is>
      </c>
      <c r="N276" s="67" t="inlineStr">
        <is>
          <t>●</t>
        </is>
      </c>
      <c r="O276" s="67" t="inlineStr">
        <is>
          <t>●</t>
        </is>
      </c>
      <c r="P276" s="67" t="inlineStr">
        <is>
          <t>●</t>
        </is>
      </c>
      <c r="Q276" s="67" t="inlineStr">
        <is>
          <t>●</t>
        </is>
      </c>
      <c r="R276" s="67" t="inlineStr">
        <is>
          <t>●</t>
        </is>
      </c>
      <c r="S276" s="68" t="inlineStr">
        <is>
          <t>Capacité</t>
        </is>
      </c>
      <c r="T276" s="68" t="inlineStr">
        <is>
          <t>Estimée par l'agent RH &amp; Organisation (capacité disponible, délai d'autonomie d'une recrue)</t>
        </is>
      </c>
      <c r="U276" s="68" t="inlineStr">
        <is>
          <t>RH-07, RH-31</t>
        </is>
      </c>
      <c r="V276" s="68" t="inlineStr">
        <is>
          <t>Affichée dans le rapport</t>
        </is>
      </c>
      <c r="W276" s="83" t="n"/>
    </row>
    <row r="277" ht="23.85" customHeight="1" s="53">
      <c r="A277" s="98" t="inlineStr">
        <is>
          <t>ACQ-22.01</t>
        </is>
      </c>
      <c r="B277" s="89" t="inlineStr">
        <is>
          <t>ACQ-22</t>
        </is>
      </c>
      <c r="C277" s="97">
        <f>IFERROR(INDEX(Thèmes!$D$2:$D$190,MATCH(B277,Thèmes!$A$2:$A$190,0)),"")</f>
        <v/>
      </c>
      <c r="D277" s="86" t="inlineStr">
        <is>
          <t>A21 · Vos horaires et créneaux</t>
        </is>
      </c>
      <c r="E277" s="86" t="inlineStr">
        <is>
          <t>Jours d'ouverture — déclencheur D20 (lignes des tableaux « cadrage: D20 »)</t>
        </is>
      </c>
      <c r="F277" s="86" t="inlineStr">
        <is>
          <t>Choix multiple</t>
        </is>
      </c>
      <c r="G277" s="89" t="inlineStr">
        <is>
          <t>Demandée</t>
        </is>
      </c>
      <c r="H277" s="89" t="inlineStr">
        <is>
          <t>Essentiel</t>
        </is>
      </c>
      <c r="I277" s="86" t="inlineStr">
        <is>
          <t>—</t>
        </is>
      </c>
      <c r="J277" s="86" t="inlineStr">
        <is>
          <t>—</t>
        </is>
      </c>
      <c r="K277" s="89" t="inlineStr">
        <is>
          <t>●</t>
        </is>
      </c>
      <c r="L277" s="89" t="inlineStr">
        <is>
          <t>●</t>
        </is>
      </c>
      <c r="M277" s="89" t="inlineStr">
        <is>
          <t>●</t>
        </is>
      </c>
      <c r="N277" s="89" t="inlineStr">
        <is>
          <t>●</t>
        </is>
      </c>
      <c r="O277" s="89" t="inlineStr">
        <is>
          <t>●</t>
        </is>
      </c>
      <c r="P277" s="89" t="inlineStr">
        <is>
          <t>●</t>
        </is>
      </c>
      <c r="Q277" s="89" t="inlineStr">
        <is>
          <t>●</t>
        </is>
      </c>
      <c r="R277" s="89" t="inlineStr">
        <is>
          <t>●</t>
        </is>
      </c>
      <c r="S277" s="86" t="inlineStr">
        <is>
          <t>Capacité</t>
        </is>
      </c>
      <c r="T277" s="86" t="inlineStr">
        <is>
          <t>—</t>
        </is>
      </c>
      <c r="U277" s="86" t="inlineStr">
        <is>
          <t>—</t>
        </is>
      </c>
      <c r="V277" s="86" t="inlineStr">
        <is>
          <t>RH-03.06, RH-10.07, RH-38.04</t>
        </is>
      </c>
      <c r="W277" s="91" t="inlineStr">
        <is>
          <t>Libellé (« Donnée »)</t>
        </is>
      </c>
    </row>
    <row r="278" ht="23.85" customHeight="1" s="53">
      <c r="A278" s="81" t="inlineStr">
        <is>
          <t>ACQ-22.02</t>
        </is>
      </c>
      <c r="B278" s="67" t="inlineStr">
        <is>
          <t>ACQ-22</t>
        </is>
      </c>
      <c r="C278" s="95">
        <f>IFERROR(INDEX(Thèmes!$D$2:$D$190,MATCH(B278,Thèmes!$A$2:$A$190,0)),"")</f>
        <v/>
      </c>
      <c r="D278" s="68" t="inlineStr">
        <is>
          <t>A21 · Vos horaires et créneaux</t>
        </is>
      </c>
      <c r="E278" s="68" t="inlineStr">
        <is>
          <t>Horaires de chaque jour</t>
        </is>
      </c>
      <c r="F278" s="68" t="inlineStr">
        <is>
          <t>Tableau par jour</t>
        </is>
      </c>
      <c r="G278" s="67" t="inlineStr">
        <is>
          <t>Demandée</t>
        </is>
      </c>
      <c r="H278" s="67" t="inlineStr">
        <is>
          <t>Essentiel</t>
        </is>
      </c>
      <c r="I278" s="68" t="inlineStr">
        <is>
          <t>—</t>
        </is>
      </c>
      <c r="J278" s="68" t="inlineStr">
        <is>
          <t>—</t>
        </is>
      </c>
      <c r="K278" s="67" t="inlineStr">
        <is>
          <t>●</t>
        </is>
      </c>
      <c r="L278" s="67" t="inlineStr">
        <is>
          <t>●</t>
        </is>
      </c>
      <c r="M278" s="67" t="inlineStr">
        <is>
          <t>●</t>
        </is>
      </c>
      <c r="N278" s="67" t="inlineStr">
        <is>
          <t>●</t>
        </is>
      </c>
      <c r="O278" s="67" t="inlineStr">
        <is>
          <t>●</t>
        </is>
      </c>
      <c r="P278" s="67" t="inlineStr">
        <is>
          <t>●</t>
        </is>
      </c>
      <c r="Q278" s="67" t="inlineStr">
        <is>
          <t>●</t>
        </is>
      </c>
      <c r="R278" s="67" t="inlineStr">
        <is>
          <t>●</t>
        </is>
      </c>
      <c r="S278" s="68" t="inlineStr">
        <is>
          <t>Capacité</t>
        </is>
      </c>
      <c r="T278" s="68" t="inlineStr">
        <is>
          <t>—</t>
        </is>
      </c>
      <c r="U278" s="68" t="inlineStr">
        <is>
          <t>—</t>
        </is>
      </c>
      <c r="V278" s="68" t="inlineStr">
        <is>
          <t>ACQ-22.11, ACQ-22.14</t>
        </is>
      </c>
      <c r="W278" s="83" t="n"/>
    </row>
    <row r="279" ht="23.85" customHeight="1" s="53">
      <c r="A279" s="81" t="inlineStr">
        <is>
          <t>ACQ-22.03</t>
        </is>
      </c>
      <c r="B279" s="67" t="inlineStr">
        <is>
          <t>ACQ-22</t>
        </is>
      </c>
      <c r="C279" s="95">
        <f>IFERROR(INDEX(Thèmes!$D$2:$D$190,MATCH(B279,Thèmes!$A$2:$A$190,0)),"")</f>
        <v/>
      </c>
      <c r="D279" s="68" t="inlineStr">
        <is>
          <t>A21 · Vos horaires et créneaux</t>
        </is>
      </c>
      <c r="E279" s="68" t="inlineStr">
        <is>
          <t>Part des demandes reçues en dehors des horaires d'ouverture</t>
        </is>
      </c>
      <c r="F279" s="68" t="inlineStr">
        <is>
          <t>%</t>
        </is>
      </c>
      <c r="G279" s="67" t="inlineStr">
        <is>
          <t>Demandée</t>
        </is>
      </c>
      <c r="H279" s="67" t="inlineStr">
        <is>
          <t>Essentiel</t>
        </is>
      </c>
      <c r="I279" s="68" t="inlineStr">
        <is>
          <t>—</t>
        </is>
      </c>
      <c r="J279" s="68" t="inlineStr">
        <is>
          <t>—</t>
        </is>
      </c>
      <c r="K279" s="67" t="inlineStr">
        <is>
          <t>●</t>
        </is>
      </c>
      <c r="L279" s="67" t="inlineStr">
        <is>
          <t>●</t>
        </is>
      </c>
      <c r="M279" s="67" t="inlineStr">
        <is>
          <t>●</t>
        </is>
      </c>
      <c r="N279" s="67" t="inlineStr">
        <is>
          <t>●</t>
        </is>
      </c>
      <c r="O279" s="67" t="inlineStr">
        <is>
          <t>●</t>
        </is>
      </c>
      <c r="P279" s="67" t="inlineStr">
        <is>
          <t>●</t>
        </is>
      </c>
      <c r="Q279" s="67" t="inlineStr">
        <is>
          <t>●</t>
        </is>
      </c>
      <c r="R279" s="67" t="inlineStr">
        <is>
          <t>●</t>
        </is>
      </c>
      <c r="S279" s="68" t="inlineStr">
        <is>
          <t>Opportunité</t>
        </is>
      </c>
      <c r="T279" s="68" t="inlineStr">
        <is>
          <t>—</t>
        </is>
      </c>
      <c r="U279" s="68" t="inlineStr">
        <is>
          <t>—</t>
        </is>
      </c>
      <c r="V279" s="68" t="inlineStr">
        <is>
          <t>XA41</t>
        </is>
      </c>
      <c r="W279" s="83" t="n"/>
    </row>
    <row r="280" ht="35.05" customHeight="1" s="53">
      <c r="A280" s="81" t="inlineStr">
        <is>
          <t>ACQ-22.04</t>
        </is>
      </c>
      <c r="B280" s="67" t="inlineStr">
        <is>
          <t>ACQ-22</t>
        </is>
      </c>
      <c r="C280" s="95">
        <f>IFERROR(INDEX(Thèmes!$D$2:$D$190,MATCH(B280,Thèmes!$A$2:$A$190,0)),"")</f>
        <v/>
      </c>
      <c r="D280" s="68" t="inlineStr">
        <is>
          <t>A21 · Vos horaires et créneaux</t>
        </is>
      </c>
      <c r="E280" s="68" t="inlineStr">
        <is>
          <t>Demandes reçues les jours fermés, par semaine</t>
        </is>
      </c>
      <c r="F280" s="68" t="inlineStr">
        <is>
          <t>Nombre</t>
        </is>
      </c>
      <c r="G280" s="67" t="inlineStr">
        <is>
          <t>Demandée</t>
        </is>
      </c>
      <c r="H280" s="67" t="inlineStr">
        <is>
          <t>Essentiel</t>
        </is>
      </c>
      <c r="I280" s="99" t="inlineStr">
        <is>
          <t>D20 · s'il y a au moins un jour fermé</t>
        </is>
      </c>
      <c r="J280" s="68" t="inlineStr">
        <is>
          <t>—</t>
        </is>
      </c>
      <c r="K280" s="67" t="inlineStr">
        <is>
          <t>●</t>
        </is>
      </c>
      <c r="L280" s="67" t="inlineStr">
        <is>
          <t>●</t>
        </is>
      </c>
      <c r="M280" s="67" t="n"/>
      <c r="N280" s="67" t="inlineStr">
        <is>
          <t>●</t>
        </is>
      </c>
      <c r="O280" s="67" t="inlineStr">
        <is>
          <t>●</t>
        </is>
      </c>
      <c r="P280" s="67" t="inlineStr">
        <is>
          <t>●</t>
        </is>
      </c>
      <c r="Q280" s="67" t="inlineStr">
        <is>
          <t>●</t>
        </is>
      </c>
      <c r="R280" s="67" t="inlineStr">
        <is>
          <t>●</t>
        </is>
      </c>
      <c r="S280" s="68" t="inlineStr">
        <is>
          <t>Opportunité</t>
        </is>
      </c>
      <c r="T280" s="68" t="inlineStr">
        <is>
          <t>—</t>
        </is>
      </c>
      <c r="U280" s="68" t="inlineStr">
        <is>
          <t>—</t>
        </is>
      </c>
      <c r="V280" s="68" t="inlineStr">
        <is>
          <t>ACQ-22.15</t>
        </is>
      </c>
      <c r="W280" s="83" t="n"/>
    </row>
    <row r="281" ht="35.05" customHeight="1" s="53">
      <c r="A281" s="81" t="inlineStr">
        <is>
          <t>ACQ-22.05</t>
        </is>
      </c>
      <c r="B281" s="67" t="inlineStr">
        <is>
          <t>ACQ-22</t>
        </is>
      </c>
      <c r="C281" s="95">
        <f>IFERROR(INDEX(Thèmes!$D$2:$D$190,MATCH(B281,Thèmes!$A$2:$A$190,0)),"")</f>
        <v/>
      </c>
      <c r="D281" s="68" t="inlineStr">
        <is>
          <t>A21 · Vos horaires et créneaux</t>
        </is>
      </c>
      <c r="E281" s="68" t="inlineStr">
        <is>
          <t>Créneaux disponibles par semaine</t>
        </is>
      </c>
      <c r="F281" s="68" t="inlineStr">
        <is>
          <t>Nombre</t>
        </is>
      </c>
      <c r="G281" s="67" t="inlineStr">
        <is>
          <t>Demandée</t>
        </is>
      </c>
      <c r="H281" s="67" t="inlineStr">
        <is>
          <t>Essentiel</t>
        </is>
      </c>
      <c r="I281" s="99" t="inlineStr">
        <is>
          <t>D05 · si activité sur rendez-vous</t>
        </is>
      </c>
      <c r="J281" s="68" t="inlineStr">
        <is>
          <t>—</t>
        </is>
      </c>
      <c r="K281" s="67" t="inlineStr">
        <is>
          <t>●</t>
        </is>
      </c>
      <c r="L281" s="67" t="n"/>
      <c r="M281" s="67" t="n"/>
      <c r="N281" s="67" t="n"/>
      <c r="O281" s="67" t="n"/>
      <c r="P281" s="67" t="n"/>
      <c r="Q281" s="67" t="n"/>
      <c r="R281" s="67" t="n"/>
      <c r="S281" s="68" t="inlineStr">
        <is>
          <t>Capacité</t>
        </is>
      </c>
      <c r="T281" s="68" t="inlineStr">
        <is>
          <t>—</t>
        </is>
      </c>
      <c r="U281" s="68" t="inlineStr">
        <is>
          <t>—</t>
        </is>
      </c>
      <c r="V281" s="68" t="inlineStr">
        <is>
          <t>ACQ-22.12, ACQ-22.13</t>
        </is>
      </c>
      <c r="W281" s="83" t="n"/>
    </row>
    <row r="282" ht="23.85" customHeight="1" s="53">
      <c r="A282" s="94" t="inlineStr">
        <is>
          <t>ACQ-22.06</t>
        </is>
      </c>
      <c r="B282" s="67" t="inlineStr">
        <is>
          <t>ACQ-22</t>
        </is>
      </c>
      <c r="C282" s="95">
        <f>IFERROR(INDEX(Thèmes!$D$2:$D$190,MATCH(B282,Thèmes!$A$2:$A$190,0)),"")</f>
        <v/>
      </c>
      <c r="D282" s="68" t="inlineStr">
        <is>
          <t>A21 · Vos horaires et créneaux</t>
        </is>
      </c>
      <c r="E282" s="68" t="inlineStr">
        <is>
          <t>Créneaux occupés par semaine</t>
        </is>
      </c>
      <c r="F282" s="68" t="inlineStr">
        <is>
          <t>Nombre</t>
        </is>
      </c>
      <c r="G282" s="96" t="inlineStr">
        <is>
          <t>Calculée</t>
        </is>
      </c>
      <c r="H282" s="67" t="inlineStr">
        <is>
          <t>—</t>
        </is>
      </c>
      <c r="I282" s="99" t="inlineStr">
        <is>
          <t>D05 · si activité sur rendez-vous</t>
        </is>
      </c>
      <c r="J282" s="68" t="inlineStr">
        <is>
          <t>—</t>
        </is>
      </c>
      <c r="K282" s="67" t="inlineStr">
        <is>
          <t>●</t>
        </is>
      </c>
      <c r="L282" s="67" t="n"/>
      <c r="M282" s="67" t="n"/>
      <c r="N282" s="67" t="n"/>
      <c r="O282" s="67" t="n"/>
      <c r="P282" s="67" t="n"/>
      <c r="Q282" s="67" t="n"/>
      <c r="R282" s="67" t="n"/>
      <c r="S282" s="68" t="inlineStr">
        <is>
          <t>Capacité</t>
        </is>
      </c>
      <c r="T282" s="68" t="inlineStr">
        <is>
          <t>Rendez-vous par mois (ACQ-09.01) ÷ 4,33</t>
        </is>
      </c>
      <c r="U282" s="68" t="inlineStr">
        <is>
          <t>ACQ-09.01</t>
        </is>
      </c>
      <c r="V282" s="68" t="inlineStr">
        <is>
          <t>ACQ-22.12, ACQ-22.13</t>
        </is>
      </c>
      <c r="W282" s="83" t="inlineStr">
        <is>
          <t>Mode : Calculée (plus de question : la banque la lit dans une autre réponse)</t>
        </is>
      </c>
    </row>
    <row r="283" ht="23.85" customHeight="1" s="53">
      <c r="A283" s="81" t="inlineStr">
        <is>
          <t>ACQ-22.07</t>
        </is>
      </c>
      <c r="B283" s="67" t="inlineStr">
        <is>
          <t>ACQ-22</t>
        </is>
      </c>
      <c r="C283" s="95">
        <f>IFERROR(INDEX(Thèmes!$D$2:$D$190,MATCH(B283,Thèmes!$A$2:$A$190,0)),"")</f>
        <v/>
      </c>
      <c r="D283" s="68" t="inlineStr">
        <is>
          <t>A21 · Vos horaires et créneaux</t>
        </is>
      </c>
      <c r="E283" s="68" t="inlineStr">
        <is>
          <t>Créneaux les plus demandés (jour × matin, midi, après-midi, soir)</t>
        </is>
      </c>
      <c r="F283" s="68" t="inlineStr">
        <is>
          <t>Grille à cocher</t>
        </is>
      </c>
      <c r="G283" s="67" t="inlineStr">
        <is>
          <t>Demandée</t>
        </is>
      </c>
      <c r="H283" s="67" t="inlineStr">
        <is>
          <t>Essentiel</t>
        </is>
      </c>
      <c r="I283" s="68" t="inlineStr">
        <is>
          <t>—</t>
        </is>
      </c>
      <c r="J283" s="68" t="inlineStr">
        <is>
          <t>—</t>
        </is>
      </c>
      <c r="K283" s="67" t="inlineStr">
        <is>
          <t>●</t>
        </is>
      </c>
      <c r="L283" s="67" t="inlineStr">
        <is>
          <t>●</t>
        </is>
      </c>
      <c r="M283" s="67" t="n"/>
      <c r="N283" s="67" t="inlineStr">
        <is>
          <t>●</t>
        </is>
      </c>
      <c r="O283" s="67" t="n"/>
      <c r="P283" s="67" t="n"/>
      <c r="Q283" s="67" t="n"/>
      <c r="R283" s="67" t="inlineStr">
        <is>
          <t>●</t>
        </is>
      </c>
      <c r="S283" s="68" t="inlineStr">
        <is>
          <t>Levier</t>
        </is>
      </c>
      <c r="T283" s="68" t="inlineStr">
        <is>
          <t>—</t>
        </is>
      </c>
      <c r="U283" s="68" t="inlineStr">
        <is>
          <t>—</t>
        </is>
      </c>
      <c r="V283" s="68" t="inlineStr">
        <is>
          <t>XA42</t>
        </is>
      </c>
      <c r="W283" s="83" t="n"/>
    </row>
    <row r="284" ht="23.85" customHeight="1" s="53">
      <c r="A284" s="94" t="inlineStr">
        <is>
          <t>ACQ-22.09</t>
        </is>
      </c>
      <c r="B284" s="67" t="inlineStr">
        <is>
          <t>ACQ-22</t>
        </is>
      </c>
      <c r="C284" s="95">
        <f>IFERROR(INDEX(Thèmes!$D$2:$D$190,MATCH(B284,Thèmes!$A$2:$A$190,0)),"")</f>
        <v/>
      </c>
      <c r="D284" s="68" t="inlineStr">
        <is>
          <t>A21 · Vos horaires et créneaux</t>
        </is>
      </c>
      <c r="E284" s="68" t="inlineStr">
        <is>
          <t>CA par jour de la semaine</t>
        </is>
      </c>
      <c r="F284" s="68" t="inlineStr">
        <is>
          <t>Tableau : Chiffre d'affaires moyen (lignes cadrage: D20)</t>
        </is>
      </c>
      <c r="G284" s="67" t="inlineStr">
        <is>
          <t>Demandée</t>
        </is>
      </c>
      <c r="H284" s="67" t="inlineStr">
        <is>
          <t>Approfondi</t>
        </is>
      </c>
      <c r="I284" s="68" t="inlineStr">
        <is>
          <t>—</t>
        </is>
      </c>
      <c r="J284" s="68" t="inlineStr">
        <is>
          <t>—</t>
        </is>
      </c>
      <c r="K284" s="67" t="inlineStr">
        <is>
          <t>●</t>
        </is>
      </c>
      <c r="L284" s="67" t="inlineStr">
        <is>
          <t>●</t>
        </is>
      </c>
      <c r="M284" s="67" t="n"/>
      <c r="N284" s="67" t="inlineStr">
        <is>
          <t>●</t>
        </is>
      </c>
      <c r="O284" s="67" t="n"/>
      <c r="P284" s="67" t="n"/>
      <c r="Q284" s="67" t="n"/>
      <c r="R284" s="67" t="inlineStr">
        <is>
          <t>●</t>
        </is>
      </c>
      <c r="S284" s="68" t="inlineStr">
        <is>
          <t>Levier</t>
        </is>
      </c>
      <c r="T284" s="68" t="inlineStr">
        <is>
          <t>Saisie par le dirigeant tant qu'aucune connexion n'existe. Quand la connexion existera : Lu dans la caisse ou le logiciel de réservation</t>
        </is>
      </c>
      <c r="U284" s="68" t="inlineStr">
        <is>
          <t>—</t>
        </is>
      </c>
      <c r="V284" s="68" t="inlineStr">
        <is>
          <t>ACQ-22.14, XA42</t>
        </is>
      </c>
      <c r="W284" s="83" t="inlineStr">
        <is>
          <t>Mode : Importée → Demandée (le dirigeant la saisit) · Format de réponse</t>
        </is>
      </c>
    </row>
    <row r="285" ht="23.85" customHeight="1" s="53">
      <c r="A285" s="94" t="inlineStr">
        <is>
          <t>ACQ-22.10</t>
        </is>
      </c>
      <c r="B285" s="67" t="inlineStr">
        <is>
          <t>ACQ-22</t>
        </is>
      </c>
      <c r="C285" s="95">
        <f>IFERROR(INDEX(Thèmes!$D$2:$D$190,MATCH(B285,Thèmes!$A$2:$A$190,0)),"")</f>
        <v/>
      </c>
      <c r="D285" s="68" t="inlineStr">
        <is>
          <t>A22 · Vos demandes perdues (tableau)</t>
        </is>
      </c>
      <c r="E285" s="68" t="inlineStr">
        <is>
          <t>Demandes perdues par mois faute de disponibilité, par motif (le prix est en ACQ-11.04, les demandes sans réponse en ACQ-08) — partagée avec RH-43.02</t>
        </is>
      </c>
      <c r="F285" s="68" t="inlineStr">
        <is>
          <t>Tableau (motif × nombre)</t>
        </is>
      </c>
      <c r="G285" s="67" t="inlineStr">
        <is>
          <t>Demandée</t>
        </is>
      </c>
      <c r="H285" s="67" t="inlineStr">
        <is>
          <t>Essentiel</t>
        </is>
      </c>
      <c r="I285" s="68" t="inlineStr">
        <is>
          <t>—</t>
        </is>
      </c>
      <c r="J285" s="68" t="inlineStr">
        <is>
          <t>—</t>
        </is>
      </c>
      <c r="K285" s="67" t="inlineStr">
        <is>
          <t>●</t>
        </is>
      </c>
      <c r="L285" s="67" t="inlineStr">
        <is>
          <t>●</t>
        </is>
      </c>
      <c r="M285" s="67" t="inlineStr">
        <is>
          <t>●</t>
        </is>
      </c>
      <c r="N285" s="67" t="inlineStr">
        <is>
          <t>●</t>
        </is>
      </c>
      <c r="O285" s="67" t="inlineStr">
        <is>
          <t>●</t>
        </is>
      </c>
      <c r="P285" s="67" t="inlineStr">
        <is>
          <t>●</t>
        </is>
      </c>
      <c r="Q285" s="67" t="inlineStr">
        <is>
          <t>●</t>
        </is>
      </c>
      <c r="R285" s="67" t="inlineStr">
        <is>
          <t>●</t>
        </is>
      </c>
      <c r="S285" s="68" t="inlineStr">
        <is>
          <t>Perte</t>
        </is>
      </c>
      <c r="T285" s="68" t="inlineStr">
        <is>
          <t>—</t>
        </is>
      </c>
      <c r="U285" s="68" t="inlineStr">
        <is>
          <t>—</t>
        </is>
      </c>
      <c r="V285" s="68" t="inlineStr">
        <is>
          <t>ACQ-22.16, ACQ-22.17, XA05</t>
        </is>
      </c>
      <c r="W285" s="83" t="inlineStr">
        <is>
          <t>Libellé (« Donnée »)</t>
        </is>
      </c>
    </row>
    <row r="286" ht="23.85" customHeight="1" s="53">
      <c r="A286" s="81" t="inlineStr">
        <is>
          <t>ACQ-22.11</t>
        </is>
      </c>
      <c r="B286" s="67" t="inlineStr">
        <is>
          <t>ACQ-22</t>
        </is>
      </c>
      <c r="C286" s="95">
        <f>IFERROR(INDEX(Thèmes!$D$2:$D$190,MATCH(B286,Thèmes!$A$2:$A$190,0)),"")</f>
        <v/>
      </c>
      <c r="D286" s="68" t="inlineStr">
        <is>
          <t>—</t>
        </is>
      </c>
      <c r="E286" s="68" t="inlineStr">
        <is>
          <t>Heures d'ouverture par semaine</t>
        </is>
      </c>
      <c r="F286" s="68" t="inlineStr">
        <is>
          <t>Heures</t>
        </is>
      </c>
      <c r="G286" s="96" t="inlineStr">
        <is>
          <t>Calculée</t>
        </is>
      </c>
      <c r="H286" s="67" t="inlineStr">
        <is>
          <t>—</t>
        </is>
      </c>
      <c r="I286" s="68" t="inlineStr">
        <is>
          <t>—</t>
        </is>
      </c>
      <c r="J286" s="68" t="inlineStr">
        <is>
          <t>—</t>
        </is>
      </c>
      <c r="K286" s="67" t="inlineStr">
        <is>
          <t>●</t>
        </is>
      </c>
      <c r="L286" s="67" t="inlineStr">
        <is>
          <t>●</t>
        </is>
      </c>
      <c r="M286" s="67" t="inlineStr">
        <is>
          <t>●</t>
        </is>
      </c>
      <c r="N286" s="67" t="inlineStr">
        <is>
          <t>●</t>
        </is>
      </c>
      <c r="O286" s="67" t="inlineStr">
        <is>
          <t>●</t>
        </is>
      </c>
      <c r="P286" s="67" t="inlineStr">
        <is>
          <t>●</t>
        </is>
      </c>
      <c r="Q286" s="67" t="inlineStr">
        <is>
          <t>●</t>
        </is>
      </c>
      <c r="R286" s="67" t="inlineStr">
        <is>
          <t>●</t>
        </is>
      </c>
      <c r="S286" s="68" t="inlineStr">
        <is>
          <t>Capacité</t>
        </is>
      </c>
      <c r="T286" s="68" t="inlineStr">
        <is>
          <t>Somme des horaires</t>
        </is>
      </c>
      <c r="U286" s="68" t="inlineStr">
        <is>
          <t>ACQ-22.02</t>
        </is>
      </c>
      <c r="V286" s="68" t="inlineStr">
        <is>
          <t>Affichée dans le rapport</t>
        </is>
      </c>
      <c r="W286" s="83" t="n"/>
    </row>
    <row r="287" ht="23.85" customHeight="1" s="53">
      <c r="A287" s="81" t="inlineStr">
        <is>
          <t>ACQ-22.12</t>
        </is>
      </c>
      <c r="B287" s="67" t="inlineStr">
        <is>
          <t>ACQ-22</t>
        </is>
      </c>
      <c r="C287" s="95">
        <f>IFERROR(INDEX(Thèmes!$D$2:$D$190,MATCH(B287,Thèmes!$A$2:$A$190,0)),"")</f>
        <v/>
      </c>
      <c r="D287" s="68" t="inlineStr">
        <is>
          <t>—</t>
        </is>
      </c>
      <c r="E287" s="68" t="inlineStr">
        <is>
          <t>Taux de remplissage des créneaux</t>
        </is>
      </c>
      <c r="F287" s="68" t="inlineStr">
        <is>
          <t>%</t>
        </is>
      </c>
      <c r="G287" s="96" t="inlineStr">
        <is>
          <t>Calculée</t>
        </is>
      </c>
      <c r="H287" s="67" t="inlineStr">
        <is>
          <t>—</t>
        </is>
      </c>
      <c r="I287" s="68" t="inlineStr">
        <is>
          <t>—</t>
        </is>
      </c>
      <c r="J287" s="68" t="inlineStr">
        <is>
          <t>—</t>
        </is>
      </c>
      <c r="K287" s="67" t="inlineStr">
        <is>
          <t>●</t>
        </is>
      </c>
      <c r="L287" s="67" t="n"/>
      <c r="M287" s="67" t="n"/>
      <c r="N287" s="67" t="n"/>
      <c r="O287" s="67" t="n"/>
      <c r="P287" s="67" t="n"/>
      <c r="Q287" s="67" t="n"/>
      <c r="R287" s="67" t="n"/>
      <c r="S287" s="68" t="inlineStr">
        <is>
          <t>Capacité</t>
        </is>
      </c>
      <c r="T287" s="68" t="inlineStr">
        <is>
          <t>Créneaux occupés ÷ créneaux disponibles</t>
        </is>
      </c>
      <c r="U287" s="68" t="inlineStr">
        <is>
          <t>ACQ-22.06, ACQ-22.05</t>
        </is>
      </c>
      <c r="V287" s="68" t="inlineStr">
        <is>
          <t>XA07, XA42</t>
        </is>
      </c>
      <c r="W287" s="83" t="n"/>
    </row>
    <row r="288" ht="23.85" customHeight="1" s="53">
      <c r="A288" s="81" t="inlineStr">
        <is>
          <t>ACQ-22.13</t>
        </is>
      </c>
      <c r="B288" s="67" t="inlineStr">
        <is>
          <t>ACQ-22</t>
        </is>
      </c>
      <c r="C288" s="95">
        <f>IFERROR(INDEX(Thèmes!$D$2:$D$190,MATCH(B288,Thèmes!$A$2:$A$190,0)),"")</f>
        <v/>
      </c>
      <c r="D288" s="68" t="inlineStr">
        <is>
          <t>—</t>
        </is>
      </c>
      <c r="E288" s="68" t="inlineStr">
        <is>
          <t>Valeur des créneaux vides par mois</t>
        </is>
      </c>
      <c r="F288" s="68" t="inlineStr">
        <is>
          <t>€</t>
        </is>
      </c>
      <c r="G288" s="96" t="inlineStr">
        <is>
          <t>Calculée</t>
        </is>
      </c>
      <c r="H288" s="67" t="inlineStr">
        <is>
          <t>—</t>
        </is>
      </c>
      <c r="I288" s="68" t="inlineStr">
        <is>
          <t>—</t>
        </is>
      </c>
      <c r="J288" s="68" t="inlineStr">
        <is>
          <t>—</t>
        </is>
      </c>
      <c r="K288" s="67" t="inlineStr">
        <is>
          <t>●</t>
        </is>
      </c>
      <c r="L288" s="67" t="n"/>
      <c r="M288" s="67" t="n"/>
      <c r="N288" s="67" t="n"/>
      <c r="O288" s="67" t="n"/>
      <c r="P288" s="67" t="n"/>
      <c r="Q288" s="67" t="n"/>
      <c r="R288" s="67" t="n"/>
      <c r="S288" s="68" t="inlineStr">
        <is>
          <t>Potentiel CA</t>
        </is>
      </c>
      <c r="T288" s="68" t="inlineStr">
        <is>
          <t>(Disponibles − occupés) × 4,33 × panier moyen</t>
        </is>
      </c>
      <c r="U288" s="68" t="inlineStr">
        <is>
          <t>ACQ-22.05, ACQ-22.06, ACQ-15.06</t>
        </is>
      </c>
      <c r="V288" s="68" t="inlineStr">
        <is>
          <t>XA07</t>
        </is>
      </c>
      <c r="W288" s="83" t="n"/>
    </row>
    <row r="289" ht="35.05" customHeight="1" s="53">
      <c r="A289" s="81" t="inlineStr">
        <is>
          <t>ACQ-22.14</t>
        </is>
      </c>
      <c r="B289" s="67" t="inlineStr">
        <is>
          <t>ACQ-22</t>
        </is>
      </c>
      <c r="C289" s="95">
        <f>IFERROR(INDEX(Thèmes!$D$2:$D$190,MATCH(B289,Thèmes!$A$2:$A$190,0)),"")</f>
        <v/>
      </c>
      <c r="D289" s="68" t="inlineStr">
        <is>
          <t>—</t>
        </is>
      </c>
      <c r="E289" s="68" t="inlineStr">
        <is>
          <t>Jour le plus et le moins rentable, et CA par heure d'ouverture</t>
        </is>
      </c>
      <c r="F289" s="68" t="inlineStr">
        <is>
          <t>€</t>
        </is>
      </c>
      <c r="G289" s="96" t="inlineStr">
        <is>
          <t>Calculée</t>
        </is>
      </c>
      <c r="H289" s="67" t="inlineStr">
        <is>
          <t>—</t>
        </is>
      </c>
      <c r="I289" s="68" t="inlineStr">
        <is>
          <t>—</t>
        </is>
      </c>
      <c r="J289" s="68" t="inlineStr">
        <is>
          <t>—</t>
        </is>
      </c>
      <c r="K289" s="67" t="inlineStr">
        <is>
          <t>●</t>
        </is>
      </c>
      <c r="L289" s="67" t="inlineStr">
        <is>
          <t>●</t>
        </is>
      </c>
      <c r="M289" s="67" t="n"/>
      <c r="N289" s="67" t="inlineStr">
        <is>
          <t>●</t>
        </is>
      </c>
      <c r="O289" s="67" t="n"/>
      <c r="P289" s="67" t="n"/>
      <c r="Q289" s="67" t="n"/>
      <c r="R289" s="67" t="inlineStr">
        <is>
          <t>●</t>
        </is>
      </c>
      <c r="S289" s="68" t="inlineStr">
        <is>
          <t>Levier</t>
        </is>
      </c>
      <c r="T289" s="68" t="inlineStr">
        <is>
          <t>CA du jour ÷ heures d'ouverture du jour</t>
        </is>
      </c>
      <c r="U289" s="68" t="inlineStr">
        <is>
          <t>ACQ-22.09, ACQ-22.02</t>
        </is>
      </c>
      <c r="V289" s="68" t="inlineStr">
        <is>
          <t>Affichée dans le rapport</t>
        </is>
      </c>
      <c r="W289" s="83" t="n"/>
    </row>
    <row r="290" ht="124.6" customHeight="1" s="53">
      <c r="A290" s="81" t="inlineStr">
        <is>
          <t>ACQ-22.15</t>
        </is>
      </c>
      <c r="B290" s="67" t="inlineStr">
        <is>
          <t>ACQ-22</t>
        </is>
      </c>
      <c r="C290" s="95">
        <f>IFERROR(INDEX(Thèmes!$D$2:$D$190,MATCH(B290,Thèmes!$A$2:$A$190,0)),"")</f>
        <v/>
      </c>
      <c r="D290" s="68" t="inlineStr">
        <is>
          <t>—</t>
        </is>
      </c>
      <c r="E290" s="68" t="inlineStr">
        <is>
          <t>Potentiel d'un jour d'ouverture supplémentaire</t>
        </is>
      </c>
      <c r="F290" s="68" t="inlineStr">
        <is>
          <t>€</t>
        </is>
      </c>
      <c r="G290" s="96" t="inlineStr">
        <is>
          <t>Calculée</t>
        </is>
      </c>
      <c r="H290" s="67" t="inlineStr">
        <is>
          <t>—</t>
        </is>
      </c>
      <c r="I290" s="68" t="inlineStr">
        <is>
          <t>—</t>
        </is>
      </c>
      <c r="J290" s="68" t="inlineStr">
        <is>
          <t>—</t>
        </is>
      </c>
      <c r="K290" s="67" t="inlineStr">
        <is>
          <t>●</t>
        </is>
      </c>
      <c r="L290" s="67" t="inlineStr">
        <is>
          <t>●</t>
        </is>
      </c>
      <c r="M290" s="67" t="n"/>
      <c r="N290" s="67" t="inlineStr">
        <is>
          <t>●</t>
        </is>
      </c>
      <c r="O290" s="67" t="inlineStr">
        <is>
          <t>●</t>
        </is>
      </c>
      <c r="P290" s="67" t="inlineStr">
        <is>
          <t>●</t>
        </is>
      </c>
      <c r="Q290" s="67" t="inlineStr">
        <is>
          <t>●</t>
        </is>
      </c>
      <c r="R290" s="67" t="n"/>
      <c r="S290" s="68" t="inlineStr">
        <is>
          <t>Potentiel CA</t>
        </is>
      </c>
      <c r="T290" s="68" t="inlineStr">
        <is>
          <t>Demandes des jours fermés × 4,33 × valeur d'une demande</t>
        </is>
      </c>
      <c r="U290" s="68" t="inlineStr">
        <is>
          <t>ACQ-22.04, ACQ-02.09</t>
        </is>
      </c>
      <c r="V290" s="68" t="inlineStr">
        <is>
          <t>XA06</t>
        </is>
      </c>
      <c r="W290" s="83" t="n"/>
    </row>
    <row r="291" ht="23.85" customHeight="1" s="53">
      <c r="A291" s="81" t="inlineStr">
        <is>
          <t>ACQ-22.16</t>
        </is>
      </c>
      <c r="B291" s="67" t="inlineStr">
        <is>
          <t>ACQ-22</t>
        </is>
      </c>
      <c r="C291" s="95">
        <f>IFERROR(INDEX(Thèmes!$D$2:$D$190,MATCH(B291,Thèmes!$A$2:$A$190,0)),"")</f>
        <v/>
      </c>
      <c r="D291" s="68" t="inlineStr">
        <is>
          <t>—</t>
        </is>
      </c>
      <c r="E291" s="68" t="inlineStr">
        <is>
          <t>Demandes perdues par mois</t>
        </is>
      </c>
      <c r="F291" s="68" t="inlineStr">
        <is>
          <t>Nombre</t>
        </is>
      </c>
      <c r="G291" s="96" t="inlineStr">
        <is>
          <t>Calculée</t>
        </is>
      </c>
      <c r="H291" s="67" t="inlineStr">
        <is>
          <t>—</t>
        </is>
      </c>
      <c r="I291" s="68" t="inlineStr">
        <is>
          <t>—</t>
        </is>
      </c>
      <c r="J291" s="68" t="inlineStr">
        <is>
          <t>—</t>
        </is>
      </c>
      <c r="K291" s="67" t="inlineStr">
        <is>
          <t>●</t>
        </is>
      </c>
      <c r="L291" s="67" t="inlineStr">
        <is>
          <t>●</t>
        </is>
      </c>
      <c r="M291" s="67" t="inlineStr">
        <is>
          <t>●</t>
        </is>
      </c>
      <c r="N291" s="67" t="inlineStr">
        <is>
          <t>●</t>
        </is>
      </c>
      <c r="O291" s="67" t="inlineStr">
        <is>
          <t>●</t>
        </is>
      </c>
      <c r="P291" s="67" t="inlineStr">
        <is>
          <t>●</t>
        </is>
      </c>
      <c r="Q291" s="67" t="inlineStr">
        <is>
          <t>●</t>
        </is>
      </c>
      <c r="R291" s="67" t="inlineStr">
        <is>
          <t>●</t>
        </is>
      </c>
      <c r="S291" s="68" t="inlineStr">
        <is>
          <t>Perte</t>
        </is>
      </c>
      <c r="T291" s="68" t="inlineStr">
        <is>
          <t>Somme des motifs</t>
        </is>
      </c>
      <c r="U291" s="68" t="inlineStr">
        <is>
          <t>ACQ-22.10</t>
        </is>
      </c>
      <c r="V291" s="68" t="inlineStr">
        <is>
          <t>ACQ-22.18</t>
        </is>
      </c>
      <c r="W291" s="83" t="n"/>
    </row>
    <row r="292" ht="124.6" customHeight="1" s="53">
      <c r="A292" s="81" t="inlineStr">
        <is>
          <t>ACQ-22.17</t>
        </is>
      </c>
      <c r="B292" s="67" t="inlineStr">
        <is>
          <t>ACQ-22</t>
        </is>
      </c>
      <c r="C292" s="95">
        <f>IFERROR(INDEX(Thèmes!$D$2:$D$190,MATCH(B292,Thèmes!$A$2:$A$190,0)),"")</f>
        <v/>
      </c>
      <c r="D292" s="68" t="inlineStr">
        <is>
          <t>—</t>
        </is>
      </c>
      <c r="E292" s="68" t="inlineStr">
        <is>
          <t>Part des pertes évitables (créneau, temps, personnel, délai)</t>
        </is>
      </c>
      <c r="F292" s="68" t="inlineStr">
        <is>
          <t>%</t>
        </is>
      </c>
      <c r="G292" s="96" t="inlineStr">
        <is>
          <t>Calculée</t>
        </is>
      </c>
      <c r="H292" s="67" t="inlineStr">
        <is>
          <t>—</t>
        </is>
      </c>
      <c r="I292" s="68" t="inlineStr">
        <is>
          <t>—</t>
        </is>
      </c>
      <c r="J292" s="68" t="inlineStr">
        <is>
          <t>—</t>
        </is>
      </c>
      <c r="K292" s="67" t="inlineStr">
        <is>
          <t>●</t>
        </is>
      </c>
      <c r="L292" s="67" t="inlineStr">
        <is>
          <t>●</t>
        </is>
      </c>
      <c r="M292" s="67" t="inlineStr">
        <is>
          <t>●</t>
        </is>
      </c>
      <c r="N292" s="67" t="inlineStr">
        <is>
          <t>●</t>
        </is>
      </c>
      <c r="O292" s="67" t="inlineStr">
        <is>
          <t>●</t>
        </is>
      </c>
      <c r="P292" s="67" t="inlineStr">
        <is>
          <t>●</t>
        </is>
      </c>
      <c r="Q292" s="67" t="inlineStr">
        <is>
          <t>●</t>
        </is>
      </c>
      <c r="R292" s="67" t="inlineStr">
        <is>
          <t>●</t>
        </is>
      </c>
      <c r="S292" s="68" t="inlineStr">
        <is>
          <t>Levier</t>
        </is>
      </c>
      <c r="T292" s="68" t="inlineStr">
        <is>
          <t>Motifs maîtrisables ÷ total des pertes</t>
        </is>
      </c>
      <c r="U292" s="68" t="inlineStr">
        <is>
          <t>ACQ-22.10</t>
        </is>
      </c>
      <c r="V292" s="68" t="inlineStr">
        <is>
          <t>Affichée dans le rapport</t>
        </is>
      </c>
      <c r="W292" s="83" t="n"/>
    </row>
    <row r="293" ht="113.4" customHeight="1" s="53">
      <c r="A293" s="81" t="inlineStr">
        <is>
          <t>ACQ-22.18</t>
        </is>
      </c>
      <c r="B293" s="67" t="inlineStr">
        <is>
          <t>ACQ-22</t>
        </is>
      </c>
      <c r="C293" s="95">
        <f>IFERROR(INDEX(Thèmes!$D$2:$D$190,MATCH(B293,Thèmes!$A$2:$A$190,0)),"")</f>
        <v/>
      </c>
      <c r="D293" s="68" t="inlineStr">
        <is>
          <t>—</t>
        </is>
      </c>
      <c r="E293" s="68" t="inlineStr">
        <is>
          <t>CA perdu par an sur les demandes perdues</t>
        </is>
      </c>
      <c r="F293" s="68" t="inlineStr">
        <is>
          <t>€</t>
        </is>
      </c>
      <c r="G293" s="96" t="inlineStr">
        <is>
          <t>Calculée</t>
        </is>
      </c>
      <c r="H293" s="67" t="inlineStr">
        <is>
          <t>—</t>
        </is>
      </c>
      <c r="I293" s="68" t="inlineStr">
        <is>
          <t>—</t>
        </is>
      </c>
      <c r="J293" s="68" t="inlineStr">
        <is>
          <t>—</t>
        </is>
      </c>
      <c r="K293" s="67" t="inlineStr">
        <is>
          <t>●</t>
        </is>
      </c>
      <c r="L293" s="67" t="inlineStr">
        <is>
          <t>●</t>
        </is>
      </c>
      <c r="M293" s="67" t="inlineStr">
        <is>
          <t>●</t>
        </is>
      </c>
      <c r="N293" s="67" t="inlineStr">
        <is>
          <t>●</t>
        </is>
      </c>
      <c r="O293" s="67" t="inlineStr">
        <is>
          <t>●</t>
        </is>
      </c>
      <c r="P293" s="67" t="inlineStr">
        <is>
          <t>●</t>
        </is>
      </c>
      <c r="Q293" s="67" t="inlineStr">
        <is>
          <t>●</t>
        </is>
      </c>
      <c r="R293" s="67" t="n"/>
      <c r="S293" s="68" t="inlineStr">
        <is>
          <t>Perte</t>
        </is>
      </c>
      <c r="T293" s="68" t="inlineStr">
        <is>
          <t>Demandes perdues × valeur d'une demande × 12 (motif stock → FIN-41, personnel absent → agent RH)</t>
        </is>
      </c>
      <c r="U293" s="68" t="inlineStr">
        <is>
          <t>ACQ-22.16, ACQ-02.09</t>
        </is>
      </c>
      <c r="V293" s="68" t="inlineStr">
        <is>
          <t>Affichée dans le rapport</t>
        </is>
      </c>
      <c r="W293" s="83" t="n"/>
    </row>
    <row r="294" ht="23.85" customHeight="1" s="53">
      <c r="A294" s="98" t="inlineStr">
        <is>
          <t>ACQ-23.01</t>
        </is>
      </c>
      <c r="B294" s="89" t="inlineStr">
        <is>
          <t>ACQ-23</t>
        </is>
      </c>
      <c r="C294" s="97">
        <f>IFERROR(INDEX(Thèmes!$D$2:$D$190,MATCH(B294,Thèmes!$A$2:$A$190,0)),"")</f>
        <v/>
      </c>
      <c r="D294" s="86" t="inlineStr">
        <is>
          <t>A23 · Vos 12 derniers mois (tableau)</t>
        </is>
      </c>
      <c r="E294" s="86" t="inlineStr">
        <is>
          <t>CA de chacun des 12 derniers mois — partagée avec FIN-14.01 et RH-11.01</t>
        </is>
      </c>
      <c r="F294" s="86" t="inlineStr">
        <is>
          <t>Tableau : Chiffre d'affaires (lignes fixe: Le mois dernier / Il y a 2 mois / Il y a 3 mois / Il y a 4 mois / Il y a 5 mois / Il y a 6 mois / Il y a 7 mois / Il y a 8 mois / Il y a 9 mois / Il y a 10 mois / Il y a 11 mois / Il y a 12 mois)</t>
        </is>
      </c>
      <c r="G294" s="89" t="inlineStr">
        <is>
          <t>Demandée</t>
        </is>
      </c>
      <c r="H294" s="89" t="inlineStr">
        <is>
          <t>Essentiel</t>
        </is>
      </c>
      <c r="I294" s="86" t="inlineStr">
        <is>
          <t>—</t>
        </is>
      </c>
      <c r="J294" s="86" t="inlineStr">
        <is>
          <t>Période adaptée : depuis la création si moins de 12 mois</t>
        </is>
      </c>
      <c r="K294" s="89" t="inlineStr">
        <is>
          <t>●</t>
        </is>
      </c>
      <c r="L294" s="89" t="inlineStr">
        <is>
          <t>●</t>
        </is>
      </c>
      <c r="M294" s="89" t="inlineStr">
        <is>
          <t>●</t>
        </is>
      </c>
      <c r="N294" s="89" t="inlineStr">
        <is>
          <t>●</t>
        </is>
      </c>
      <c r="O294" s="89" t="inlineStr">
        <is>
          <t>●</t>
        </is>
      </c>
      <c r="P294" s="89" t="inlineStr">
        <is>
          <t>●</t>
        </is>
      </c>
      <c r="Q294" s="89" t="inlineStr">
        <is>
          <t>●</t>
        </is>
      </c>
      <c r="R294" s="89" t="inlineStr">
        <is>
          <t>●</t>
        </is>
      </c>
      <c r="S294" s="86" t="inlineStr">
        <is>
          <t>Problème</t>
        </is>
      </c>
      <c r="T294" s="86" t="inlineStr">
        <is>
          <t>Saisie par le dirigeant tant qu'aucune connexion n'existe. Quand la connexion existera : Lu dans la comptabilité ou la caisse si elles sont connectées</t>
        </is>
      </c>
      <c r="U294" s="86" t="inlineStr">
        <is>
          <t>—</t>
        </is>
      </c>
      <c r="V294" s="86" t="inlineStr">
        <is>
          <t>ACQ-23.05, ACQ-23.06, ACQ-23.08, ACQ-23.09, ACQ-23.10, ACQ-23.11, FIN-04.02, FIN-07.15, FIN-12.06, FIN-14.02, FIN-37.06</t>
        </is>
      </c>
      <c r="W294" s="91" t="inlineStr">
        <is>
          <t>Mode : Importée → Demandée (le dirigeant la saisit) · Format de réponse · Libellé (« Donnée »)</t>
        </is>
      </c>
    </row>
    <row r="295" ht="15" customHeight="1" s="53">
      <c r="A295" s="81" t="inlineStr">
        <is>
          <t>ACQ-23.02</t>
        </is>
      </c>
      <c r="B295" s="67" t="inlineStr">
        <is>
          <t>ACQ-23</t>
        </is>
      </c>
      <c r="C295" s="95">
        <f>IFERROR(INDEX(Thèmes!$D$2:$D$190,MATCH(B295,Thèmes!$A$2:$A$190,0)),"")</f>
        <v/>
      </c>
      <c r="D295" s="68" t="inlineStr">
        <is>
          <t>A23 · Vos 12 derniers mois (tableau)</t>
        </is>
      </c>
      <c r="E295" s="68" t="inlineStr">
        <is>
          <t>Cause principale des mois faibles : vacances, météo, budget des clients, fermeture, manque de demandes</t>
        </is>
      </c>
      <c r="F295" s="68" t="inlineStr">
        <is>
          <t>Choix</t>
        </is>
      </c>
      <c r="G295" s="67" t="inlineStr">
        <is>
          <t>Demandée</t>
        </is>
      </c>
      <c r="H295" s="67" t="inlineStr">
        <is>
          <t>Essentiel</t>
        </is>
      </c>
      <c r="I295" s="68" t="inlineStr">
        <is>
          <t>—</t>
        </is>
      </c>
      <c r="J295" s="68" t="inlineStr">
        <is>
          <t>—</t>
        </is>
      </c>
      <c r="K295" s="67" t="inlineStr">
        <is>
          <t>●</t>
        </is>
      </c>
      <c r="L295" s="67" t="inlineStr">
        <is>
          <t>●</t>
        </is>
      </c>
      <c r="M295" s="67" t="inlineStr">
        <is>
          <t>●</t>
        </is>
      </c>
      <c r="N295" s="67" t="inlineStr">
        <is>
          <t>●</t>
        </is>
      </c>
      <c r="O295" s="67" t="inlineStr">
        <is>
          <t>●</t>
        </is>
      </c>
      <c r="P295" s="67" t="inlineStr">
        <is>
          <t>●</t>
        </is>
      </c>
      <c r="Q295" s="67" t="inlineStr">
        <is>
          <t>●</t>
        </is>
      </c>
      <c r="R295" s="67" t="inlineStr">
        <is>
          <t>●</t>
        </is>
      </c>
      <c r="S295" s="68" t="inlineStr">
        <is>
          <t>Levier</t>
        </is>
      </c>
      <c r="T295" s="68" t="inlineStr">
        <is>
          <t>—</t>
        </is>
      </c>
      <c r="U295" s="68" t="inlineStr">
        <is>
          <t>—</t>
        </is>
      </c>
      <c r="V295" s="68" t="inlineStr">
        <is>
          <t>XA29</t>
        </is>
      </c>
      <c r="W295" s="83" t="n"/>
    </row>
    <row r="296" ht="15" customHeight="1" s="53">
      <c r="A296" s="94" t="inlineStr">
        <is>
          <t>ACQ-23.03</t>
        </is>
      </c>
      <c r="B296" s="67" t="inlineStr">
        <is>
          <t>ACQ-23</t>
        </is>
      </c>
      <c r="C296" s="95">
        <f>IFERROR(INDEX(Thèmes!$D$2:$D$190,MATCH(B296,Thèmes!$A$2:$A$190,0)),"")</f>
        <v/>
      </c>
      <c r="D296" s="68" t="inlineStr">
        <is>
          <t>A23 · Vos 12 derniers mois (tableau)</t>
        </is>
      </c>
      <c r="E296" s="68" t="inlineStr">
        <is>
          <t>CA des mêmes mois l'année précédente — partagée avec FIN-14.03</t>
        </is>
      </c>
      <c r="F296" s="68" t="inlineStr">
        <is>
          <t>Tableau : Chiffre d'affaires un an plus tôt (lignes fixe: Le mois dernier / Il y a 2 mois / Il y a 3 mois / Il y a 4 mois / Il y a 5 mois / Il y a 6 mois / Il y a 7 mois / Il y a 8 mois / Il y a 9 mois / Il y a 10 mois / Il y a 11 mois / Il y a 12 mois)</t>
        </is>
      </c>
      <c r="G296" s="67" t="inlineStr">
        <is>
          <t>Demandée</t>
        </is>
      </c>
      <c r="H296" s="67" t="inlineStr">
        <is>
          <t>Essentiel</t>
        </is>
      </c>
      <c r="I296" s="68" t="inlineStr">
        <is>
          <t>—</t>
        </is>
      </c>
      <c r="J296" s="68" t="inlineStr">
        <is>
          <t>Mêmes 12 mois, un an plus tôt (depuis la création si plus récente ; masquée avant 13 mois d'existence)</t>
        </is>
      </c>
      <c r="K296" s="67" t="inlineStr">
        <is>
          <t>●</t>
        </is>
      </c>
      <c r="L296" s="67" t="inlineStr">
        <is>
          <t>●</t>
        </is>
      </c>
      <c r="M296" s="67" t="inlineStr">
        <is>
          <t>●</t>
        </is>
      </c>
      <c r="N296" s="67" t="inlineStr">
        <is>
          <t>●</t>
        </is>
      </c>
      <c r="O296" s="67" t="inlineStr">
        <is>
          <t>●</t>
        </is>
      </c>
      <c r="P296" s="67" t="inlineStr">
        <is>
          <t>●</t>
        </is>
      </c>
      <c r="Q296" s="67" t="inlineStr">
        <is>
          <t>●</t>
        </is>
      </c>
      <c r="R296" s="67" t="inlineStr">
        <is>
          <t>●</t>
        </is>
      </c>
      <c r="S296" s="68" t="inlineStr">
        <is>
          <t>Problème</t>
        </is>
      </c>
      <c r="T296" s="68" t="inlineStr">
        <is>
          <t>Saisie par le dirigeant tant qu'aucune connexion n'existe. Quand la connexion existera : Lu dans la comptabilité</t>
        </is>
      </c>
      <c r="U296" s="68" t="inlineStr">
        <is>
          <t>—</t>
        </is>
      </c>
      <c r="V296" s="68" t="inlineStr">
        <is>
          <t>ACQ-23.08, ACQ-23.10</t>
        </is>
      </c>
      <c r="W296" s="83" t="inlineStr">
        <is>
          <t>Mode : Importée → Demandée (le dirigeant la saisit) · Format de réponse</t>
        </is>
      </c>
    </row>
    <row r="297" ht="23.85" customHeight="1" s="53">
      <c r="A297" s="94" t="inlineStr">
        <is>
          <t>ACQ-23.04</t>
        </is>
      </c>
      <c r="B297" s="67" t="inlineStr">
        <is>
          <t>ACQ-23</t>
        </is>
      </c>
      <c r="C297" s="95">
        <f>IFERROR(INDEX(Thèmes!$D$2:$D$190,MATCH(B297,Thèmes!$A$2:$A$190,0)),"")</f>
        <v/>
      </c>
      <c r="D297" s="68" t="inlineStr">
        <is>
          <t>A23 · Vos 12 derniers mois (tableau)</t>
        </is>
      </c>
      <c r="E297" s="68" t="inlineStr">
        <is>
          <t>Nombre de ventes de chacun des 12 derniers mois</t>
        </is>
      </c>
      <c r="F297" s="68" t="inlineStr">
        <is>
          <t>Tableau : Nombre (lignes fixe: Le mois dernier / Il y a 2 mois / Il y a 3 mois / Il y a 4 mois / Il y a 5 mois / Il y a 6 mois / Il y a 7 mois / Il y a 8 mois / Il y a 9 mois / Il y a 10 mois / Il y a 11 mois / Il y a 12 mois)</t>
        </is>
      </c>
      <c r="G297" s="67" t="inlineStr">
        <is>
          <t>Demandée</t>
        </is>
      </c>
      <c r="H297" s="67" t="inlineStr">
        <is>
          <t>Approfondi</t>
        </is>
      </c>
      <c r="I297" s="68" t="inlineStr">
        <is>
          <t>—</t>
        </is>
      </c>
      <c r="J297" s="68" t="inlineStr">
        <is>
          <t>Période adaptée : depuis la création si moins de 12 mois</t>
        </is>
      </c>
      <c r="K297" s="67" t="inlineStr">
        <is>
          <t>●</t>
        </is>
      </c>
      <c r="L297" s="67" t="inlineStr">
        <is>
          <t>●</t>
        </is>
      </c>
      <c r="M297" s="67" t="inlineStr">
        <is>
          <t>●</t>
        </is>
      </c>
      <c r="N297" s="67" t="inlineStr">
        <is>
          <t>●</t>
        </is>
      </c>
      <c r="O297" s="67" t="inlineStr">
        <is>
          <t>●</t>
        </is>
      </c>
      <c r="P297" s="67" t="inlineStr">
        <is>
          <t>●</t>
        </is>
      </c>
      <c r="Q297" s="67" t="inlineStr">
        <is>
          <t>●</t>
        </is>
      </c>
      <c r="R297" s="67" t="inlineStr">
        <is>
          <t>●</t>
        </is>
      </c>
      <c r="S297" s="68" t="inlineStr">
        <is>
          <t>Levier</t>
        </is>
      </c>
      <c r="T297" s="68" t="inlineStr">
        <is>
          <t>Saisie par le dirigeant tant qu'aucune connexion n'existe. Quand la connexion existera : Lu dans la caisse ou le logiciel de facturation</t>
        </is>
      </c>
      <c r="U297" s="68" t="inlineStr">
        <is>
          <t>—</t>
        </is>
      </c>
      <c r="V297" s="68" t="inlineStr">
        <is>
          <t>ACQ-23.09</t>
        </is>
      </c>
      <c r="W297" s="83" t="inlineStr">
        <is>
          <t>Mode : Importée → Demandée (le dirigeant la saisit) · Format de réponse</t>
        </is>
      </c>
    </row>
    <row r="298" ht="15" customHeight="1" s="53">
      <c r="A298" s="81" t="inlineStr">
        <is>
          <t>ACQ-23.05</t>
        </is>
      </c>
      <c r="B298" s="67" t="inlineStr">
        <is>
          <t>ACQ-23</t>
        </is>
      </c>
      <c r="C298" s="95">
        <f>IFERROR(INDEX(Thèmes!$D$2:$D$190,MATCH(B298,Thèmes!$A$2:$A$190,0)),"")</f>
        <v/>
      </c>
      <c r="D298" s="68" t="inlineStr">
        <is>
          <t>—</t>
        </is>
      </c>
      <c r="E298" s="68" t="inlineStr">
        <is>
          <t>Mois le plus fort et son CA</t>
        </is>
      </c>
      <c r="F298" s="68" t="inlineStr">
        <is>
          <t>Mois et €</t>
        </is>
      </c>
      <c r="G298" s="96" t="inlineStr">
        <is>
          <t>Calculée</t>
        </is>
      </c>
      <c r="H298" s="67" t="inlineStr">
        <is>
          <t>—</t>
        </is>
      </c>
      <c r="I298" s="68" t="inlineStr">
        <is>
          <t>—</t>
        </is>
      </c>
      <c r="J298" s="68" t="inlineStr">
        <is>
          <t>—</t>
        </is>
      </c>
      <c r="K298" s="67" t="inlineStr">
        <is>
          <t>●</t>
        </is>
      </c>
      <c r="L298" s="67" t="inlineStr">
        <is>
          <t>●</t>
        </is>
      </c>
      <c r="M298" s="67" t="inlineStr">
        <is>
          <t>●</t>
        </is>
      </c>
      <c r="N298" s="67" t="inlineStr">
        <is>
          <t>●</t>
        </is>
      </c>
      <c r="O298" s="67" t="inlineStr">
        <is>
          <t>●</t>
        </is>
      </c>
      <c r="P298" s="67" t="inlineStr">
        <is>
          <t>●</t>
        </is>
      </c>
      <c r="Q298" s="67" t="inlineStr">
        <is>
          <t>●</t>
        </is>
      </c>
      <c r="R298" s="67" t="inlineStr">
        <is>
          <t>●</t>
        </is>
      </c>
      <c r="S298" s="68" t="inlineStr">
        <is>
          <t>Mesure</t>
        </is>
      </c>
      <c r="T298" s="68" t="inlineStr">
        <is>
          <t>Maximum des 12 mois</t>
        </is>
      </c>
      <c r="U298" s="68" t="inlineStr">
        <is>
          <t>ACQ-23.01</t>
        </is>
      </c>
      <c r="V298" s="68" t="inlineStr">
        <is>
          <t>ACQ-23.07, FIN-06.09, RH-11.03</t>
        </is>
      </c>
      <c r="W298" s="83" t="n"/>
    </row>
    <row r="299" ht="23.85" customHeight="1" s="53">
      <c r="A299" s="81" t="inlineStr">
        <is>
          <t>ACQ-23.06</t>
        </is>
      </c>
      <c r="B299" s="67" t="inlineStr">
        <is>
          <t>ACQ-23</t>
        </is>
      </c>
      <c r="C299" s="95">
        <f>IFERROR(INDEX(Thèmes!$D$2:$D$190,MATCH(B299,Thèmes!$A$2:$A$190,0)),"")</f>
        <v/>
      </c>
      <c r="D299" s="68" t="inlineStr">
        <is>
          <t>—</t>
        </is>
      </c>
      <c r="E299" s="68" t="inlineStr">
        <is>
          <t>Mois le plus faible et son CA</t>
        </is>
      </c>
      <c r="F299" s="68" t="inlineStr">
        <is>
          <t>Mois et €</t>
        </is>
      </c>
      <c r="G299" s="96" t="inlineStr">
        <is>
          <t>Calculée</t>
        </is>
      </c>
      <c r="H299" s="67" t="inlineStr">
        <is>
          <t>—</t>
        </is>
      </c>
      <c r="I299" s="68" t="inlineStr">
        <is>
          <t>—</t>
        </is>
      </c>
      <c r="J299" s="68" t="inlineStr">
        <is>
          <t>—</t>
        </is>
      </c>
      <c r="K299" s="67" t="inlineStr">
        <is>
          <t>●</t>
        </is>
      </c>
      <c r="L299" s="67" t="inlineStr">
        <is>
          <t>●</t>
        </is>
      </c>
      <c r="M299" s="67" t="inlineStr">
        <is>
          <t>●</t>
        </is>
      </c>
      <c r="N299" s="67" t="inlineStr">
        <is>
          <t>●</t>
        </is>
      </c>
      <c r="O299" s="67" t="inlineStr">
        <is>
          <t>●</t>
        </is>
      </c>
      <c r="P299" s="67" t="inlineStr">
        <is>
          <t>●</t>
        </is>
      </c>
      <c r="Q299" s="67" t="inlineStr">
        <is>
          <t>●</t>
        </is>
      </c>
      <c r="R299" s="67" t="inlineStr">
        <is>
          <t>●</t>
        </is>
      </c>
      <c r="S299" s="68" t="inlineStr">
        <is>
          <t>Mesure</t>
        </is>
      </c>
      <c r="T299" s="68" t="inlineStr">
        <is>
          <t>Minimum des 12 mois</t>
        </is>
      </c>
      <c r="U299" s="68" t="inlineStr">
        <is>
          <t>ACQ-23.01</t>
        </is>
      </c>
      <c r="V299" s="68" t="inlineStr">
        <is>
          <t>ACQ-23.07, FIN-06.09, S10</t>
        </is>
      </c>
      <c r="W299" s="83" t="n"/>
    </row>
    <row r="300" ht="23.85" customHeight="1" s="53">
      <c r="A300" s="81" t="inlineStr">
        <is>
          <t>ACQ-23.07</t>
        </is>
      </c>
      <c r="B300" s="67" t="inlineStr">
        <is>
          <t>ACQ-23</t>
        </is>
      </c>
      <c r="C300" s="95">
        <f>IFERROR(INDEX(Thèmes!$D$2:$D$190,MATCH(B300,Thèmes!$A$2:$A$190,0)),"")</f>
        <v/>
      </c>
      <c r="D300" s="68" t="inlineStr">
        <is>
          <t>—</t>
        </is>
      </c>
      <c r="E300" s="68" t="inlineStr">
        <is>
          <t>Écart entre le mois le plus fort et le plus faible</t>
        </is>
      </c>
      <c r="F300" s="68" t="inlineStr">
        <is>
          <t>€ et %</t>
        </is>
      </c>
      <c r="G300" s="96" t="inlineStr">
        <is>
          <t>Calculée</t>
        </is>
      </c>
      <c r="H300" s="67" t="inlineStr">
        <is>
          <t>—</t>
        </is>
      </c>
      <c r="I300" s="68" t="inlineStr">
        <is>
          <t>—</t>
        </is>
      </c>
      <c r="J300" s="68" t="inlineStr">
        <is>
          <t>—</t>
        </is>
      </c>
      <c r="K300" s="67" t="inlineStr">
        <is>
          <t>●</t>
        </is>
      </c>
      <c r="L300" s="67" t="inlineStr">
        <is>
          <t>●</t>
        </is>
      </c>
      <c r="M300" s="67" t="inlineStr">
        <is>
          <t>●</t>
        </is>
      </c>
      <c r="N300" s="67" t="inlineStr">
        <is>
          <t>●</t>
        </is>
      </c>
      <c r="O300" s="67" t="inlineStr">
        <is>
          <t>●</t>
        </is>
      </c>
      <c r="P300" s="67" t="inlineStr">
        <is>
          <t>●</t>
        </is>
      </c>
      <c r="Q300" s="67" t="inlineStr">
        <is>
          <t>●</t>
        </is>
      </c>
      <c r="R300" s="67" t="inlineStr">
        <is>
          <t>●</t>
        </is>
      </c>
      <c r="S300" s="68" t="inlineStr">
        <is>
          <t>Problème</t>
        </is>
      </c>
      <c r="T300" s="68" t="inlineStr">
        <is>
          <t>Mois fort − mois faible, puis ÷ mois fort</t>
        </is>
      </c>
      <c r="U300" s="68" t="inlineStr">
        <is>
          <t>ACQ-23.05, ACQ-23.06</t>
        </is>
      </c>
      <c r="V300" s="68" t="inlineStr">
        <is>
          <t>Affichée dans le rapport</t>
        </is>
      </c>
      <c r="W300" s="83" t="n"/>
    </row>
    <row r="301">
      <c r="A301" s="81" t="inlineStr">
        <is>
          <t>ACQ-23.08</t>
        </is>
      </c>
      <c r="B301" s="67" t="inlineStr">
        <is>
          <t>ACQ-23</t>
        </is>
      </c>
      <c r="C301" s="95">
        <f>IFERROR(INDEX(Thèmes!$D$2:$D$190,MATCH(B301,Thèmes!$A$2:$A$190,0)),"")</f>
        <v/>
      </c>
      <c r="D301" s="68" t="inlineStr">
        <is>
          <t>—</t>
        </is>
      </c>
      <c r="E301" s="68" t="inlineStr">
        <is>
          <t>Mois creux récurrents (sous 80 % de la moyenne, les deux années)</t>
        </is>
      </c>
      <c r="F301" s="68" t="inlineStr">
        <is>
          <t>Liste de mois</t>
        </is>
      </c>
      <c r="G301" s="96" t="inlineStr">
        <is>
          <t>Calculée</t>
        </is>
      </c>
      <c r="H301" s="67" t="inlineStr">
        <is>
          <t>—</t>
        </is>
      </c>
      <c r="I301" s="68" t="inlineStr">
        <is>
          <t>—</t>
        </is>
      </c>
      <c r="J301" s="68" t="inlineStr">
        <is>
          <t>—</t>
        </is>
      </c>
      <c r="K301" s="67" t="inlineStr">
        <is>
          <t>●</t>
        </is>
      </c>
      <c r="L301" s="67" t="inlineStr">
        <is>
          <t>●</t>
        </is>
      </c>
      <c r="M301" s="67" t="inlineStr">
        <is>
          <t>●</t>
        </is>
      </c>
      <c r="N301" s="67" t="inlineStr">
        <is>
          <t>●</t>
        </is>
      </c>
      <c r="O301" s="67" t="inlineStr">
        <is>
          <t>●</t>
        </is>
      </c>
      <c r="P301" s="67" t="inlineStr">
        <is>
          <t>●</t>
        </is>
      </c>
      <c r="Q301" s="67" t="inlineStr">
        <is>
          <t>●</t>
        </is>
      </c>
      <c r="R301" s="67" t="inlineStr">
        <is>
          <t>●</t>
        </is>
      </c>
      <c r="S301" s="68" t="inlineStr">
        <is>
          <t>Problème</t>
        </is>
      </c>
      <c r="T301" s="68" t="inlineStr">
        <is>
          <t>Mois sous 80 % de la moyenne mensuelle</t>
        </is>
      </c>
      <c r="U301" s="68" t="inlineStr">
        <is>
          <t>ACQ-23.01, ACQ-23.03</t>
        </is>
      </c>
      <c r="V301" s="68" t="inlineStr">
        <is>
          <t>ACQ-23.11, FIN-14.02</t>
        </is>
      </c>
      <c r="W301" s="83" t="n"/>
    </row>
    <row r="302">
      <c r="A302" s="81" t="inlineStr">
        <is>
          <t>ACQ-23.09</t>
        </is>
      </c>
      <c r="B302" s="67" t="inlineStr">
        <is>
          <t>ACQ-23</t>
        </is>
      </c>
      <c r="C302" s="95">
        <f>IFERROR(INDEX(Thèmes!$D$2:$D$190,MATCH(B302,Thèmes!$A$2:$A$190,0)),"")</f>
        <v/>
      </c>
      <c r="D302" s="68" t="inlineStr">
        <is>
          <t>—</t>
        </is>
      </c>
      <c r="E302" s="68" t="inlineStr">
        <is>
          <t>Panier moyen selon la période</t>
        </is>
      </c>
      <c r="F302" s="68" t="inlineStr">
        <is>
          <t>€</t>
        </is>
      </c>
      <c r="G302" s="96" t="inlineStr">
        <is>
          <t>Calculée</t>
        </is>
      </c>
      <c r="H302" s="67" t="inlineStr">
        <is>
          <t>—</t>
        </is>
      </c>
      <c r="I302" s="68" t="inlineStr">
        <is>
          <t>—</t>
        </is>
      </c>
      <c r="J302" s="68" t="inlineStr">
        <is>
          <t>—</t>
        </is>
      </c>
      <c r="K302" s="67" t="inlineStr">
        <is>
          <t>●</t>
        </is>
      </c>
      <c r="L302" s="67" t="inlineStr">
        <is>
          <t>●</t>
        </is>
      </c>
      <c r="M302" s="67" t="inlineStr">
        <is>
          <t>●</t>
        </is>
      </c>
      <c r="N302" s="67" t="inlineStr">
        <is>
          <t>●</t>
        </is>
      </c>
      <c r="O302" s="67" t="inlineStr">
        <is>
          <t>●</t>
        </is>
      </c>
      <c r="P302" s="67" t="inlineStr">
        <is>
          <t>●</t>
        </is>
      </c>
      <c r="Q302" s="67" t="inlineStr">
        <is>
          <t>●</t>
        </is>
      </c>
      <c r="R302" s="67" t="inlineStr">
        <is>
          <t>●</t>
        </is>
      </c>
      <c r="S302" s="68" t="inlineStr">
        <is>
          <t>Levier</t>
        </is>
      </c>
      <c r="T302" s="68" t="inlineStr">
        <is>
          <t>CA du mois ÷ ventes du mois</t>
        </is>
      </c>
      <c r="U302" s="68" t="inlineStr">
        <is>
          <t>ACQ-23.01, ACQ-23.04</t>
        </is>
      </c>
      <c r="V302" s="68" t="inlineStr">
        <is>
          <t>ACQ-15.07</t>
        </is>
      </c>
      <c r="W302" s="83" t="n"/>
    </row>
    <row r="303">
      <c r="A303" s="81" t="inlineStr">
        <is>
          <t>ACQ-23.10</t>
        </is>
      </c>
      <c r="B303" s="67" t="inlineStr">
        <is>
          <t>ACQ-23</t>
        </is>
      </c>
      <c r="C303" s="95">
        <f>IFERROR(INDEX(Thèmes!$D$2:$D$190,MATCH(B303,Thèmes!$A$2:$A$190,0)),"")</f>
        <v/>
      </c>
      <c r="D303" s="68" t="inlineStr">
        <is>
          <t>—</t>
        </is>
      </c>
      <c r="E303" s="68" t="inlineStr">
        <is>
          <t>Évolution annuelle du CA</t>
        </is>
      </c>
      <c r="F303" s="68" t="inlineStr">
        <is>
          <t>%</t>
        </is>
      </c>
      <c r="G303" s="96" t="inlineStr">
        <is>
          <t>Calculée</t>
        </is>
      </c>
      <c r="H303" s="67" t="inlineStr">
        <is>
          <t>—</t>
        </is>
      </c>
      <c r="I303" s="68" t="inlineStr">
        <is>
          <t>—</t>
        </is>
      </c>
      <c r="J303" s="68" t="inlineStr">
        <is>
          <t>—</t>
        </is>
      </c>
      <c r="K303" s="67" t="inlineStr">
        <is>
          <t>●</t>
        </is>
      </c>
      <c r="L303" s="67" t="inlineStr">
        <is>
          <t>●</t>
        </is>
      </c>
      <c r="M303" s="67" t="inlineStr">
        <is>
          <t>●</t>
        </is>
      </c>
      <c r="N303" s="67" t="inlineStr">
        <is>
          <t>●</t>
        </is>
      </c>
      <c r="O303" s="67" t="inlineStr">
        <is>
          <t>●</t>
        </is>
      </c>
      <c r="P303" s="67" t="inlineStr">
        <is>
          <t>●</t>
        </is>
      </c>
      <c r="Q303" s="67" t="inlineStr">
        <is>
          <t>●</t>
        </is>
      </c>
      <c r="R303" s="67" t="inlineStr">
        <is>
          <t>●</t>
        </is>
      </c>
      <c r="S303" s="68" t="inlineStr">
        <is>
          <t>Problème</t>
        </is>
      </c>
      <c r="T303" s="68" t="inlineStr">
        <is>
          <t>Total des 12 derniers mois ÷ total des mêmes 12 mois un an plus tôt − 1, seulement si les 24 mois sont renseignés et le périmètre inchangé (ACQ-23.13).</t>
        </is>
      </c>
      <c r="U303" s="68" t="inlineStr">
        <is>
          <t>ACQ-23.01, ACQ-23.03, ACQ-23.13</t>
        </is>
      </c>
      <c r="V303" s="68" t="inlineStr">
        <is>
          <t>XA30, XF07</t>
        </is>
      </c>
      <c r="W303" s="83" t="n"/>
    </row>
    <row r="304">
      <c r="A304" s="81" t="inlineStr">
        <is>
          <t>ACQ-23.11</t>
        </is>
      </c>
      <c r="B304" s="67" t="inlineStr">
        <is>
          <t>ACQ-23</t>
        </is>
      </c>
      <c r="C304" s="95">
        <f>IFERROR(INDEX(Thèmes!$D$2:$D$190,MATCH(B304,Thèmes!$A$2:$A$190,0)),"")</f>
        <v/>
      </c>
      <c r="D304" s="68" t="inlineStr">
        <is>
          <t>—</t>
        </is>
      </c>
      <c r="E304" s="68" t="inlineStr">
        <is>
          <t>Manque à gagner des mois creux</t>
        </is>
      </c>
      <c r="F304" s="68" t="inlineStr">
        <is>
          <t>€</t>
        </is>
      </c>
      <c r="G304" s="96" t="inlineStr">
        <is>
          <t>Calculée</t>
        </is>
      </c>
      <c r="H304" s="67" t="inlineStr">
        <is>
          <t>—</t>
        </is>
      </c>
      <c r="I304" s="68" t="inlineStr">
        <is>
          <t>—</t>
        </is>
      </c>
      <c r="J304" s="68" t="inlineStr">
        <is>
          <t>—</t>
        </is>
      </c>
      <c r="K304" s="67" t="inlineStr">
        <is>
          <t>●</t>
        </is>
      </c>
      <c r="L304" s="67" t="inlineStr">
        <is>
          <t>●</t>
        </is>
      </c>
      <c r="M304" s="67" t="inlineStr">
        <is>
          <t>●</t>
        </is>
      </c>
      <c r="N304" s="67" t="inlineStr">
        <is>
          <t>●</t>
        </is>
      </c>
      <c r="O304" s="67" t="inlineStr">
        <is>
          <t>●</t>
        </is>
      </c>
      <c r="P304" s="67" t="inlineStr">
        <is>
          <t>●</t>
        </is>
      </c>
      <c r="Q304" s="67" t="inlineStr">
        <is>
          <t>●</t>
        </is>
      </c>
      <c r="R304" s="67" t="inlineStr">
        <is>
          <t>●</t>
        </is>
      </c>
      <c r="S304" s="68" t="inlineStr">
        <is>
          <t>Potentiel CA</t>
        </is>
      </c>
      <c r="T304" s="68" t="inlineStr">
        <is>
          <t>Somme des écarts entre la moyenne mensuelle et chaque mois creux</t>
        </is>
      </c>
      <c r="U304" s="68" t="inlineStr">
        <is>
          <t>ACQ-23.01, ACQ-23.08</t>
        </is>
      </c>
      <c r="V304" s="68" t="inlineStr">
        <is>
          <t>XA29</t>
        </is>
      </c>
      <c r="W304" s="83" t="n"/>
    </row>
    <row r="305">
      <c r="A305" s="81" t="inlineStr">
        <is>
          <t>ACQ-23.12</t>
        </is>
      </c>
      <c r="B305" s="67" t="inlineStr">
        <is>
          <t>ACQ-23</t>
        </is>
      </c>
      <c r="C305" s="95">
        <f>IFERROR(INDEX(Thèmes!$D$2:$D$190,MATCH(B305,Thèmes!$A$2:$A$190,0)),"")</f>
        <v/>
      </c>
      <c r="D305" s="68" t="inlineStr">
        <is>
          <t>A23 · Vos 12 derniers mois (tableau)</t>
        </is>
      </c>
      <c r="E305" s="68" t="inlineStr">
        <is>
          <t>Nombre de ventes sur les 12 mois précédents (pour comparer le montant moyen d'une vente d'une année sur l'autre)</t>
        </is>
      </c>
      <c r="F305" s="68" t="inlineStr">
        <is>
          <t>Nombre</t>
        </is>
      </c>
      <c r="G305" s="96" t="inlineStr">
        <is>
          <t>Demandée</t>
        </is>
      </c>
      <c r="H305" s="67" t="inlineStr">
        <is>
          <t>Approfondi</t>
        </is>
      </c>
      <c r="I305" s="68" t="inlineStr">
        <is>
          <t>—</t>
        </is>
      </c>
      <c r="J305" s="68" t="inlineStr">
        <is>
          <t>12 mois précédents (masquée avant 24 mois d'existence)</t>
        </is>
      </c>
      <c r="K305" s="67" t="inlineStr">
        <is>
          <t>●</t>
        </is>
      </c>
      <c r="L305" s="67" t="inlineStr">
        <is>
          <t>●</t>
        </is>
      </c>
      <c r="M305" s="67" t="inlineStr">
        <is>
          <t>●</t>
        </is>
      </c>
      <c r="N305" s="67" t="inlineStr">
        <is>
          <t>●</t>
        </is>
      </c>
      <c r="O305" s="67" t="inlineStr">
        <is>
          <t>●</t>
        </is>
      </c>
      <c r="P305" s="67" t="inlineStr">
        <is>
          <t>●</t>
        </is>
      </c>
      <c r="Q305" s="67" t="inlineStr">
        <is>
          <t>●</t>
        </is>
      </c>
      <c r="R305" s="67" t="inlineStr">
        <is>
          <t>●</t>
        </is>
      </c>
      <c r="S305" s="68" t="inlineStr">
        <is>
          <t>Problème</t>
        </is>
      </c>
      <c r="T305" s="68" t="inlineStr">
        <is>
          <t>—</t>
        </is>
      </c>
      <c r="U305" s="68" t="inlineStr">
        <is>
          <t>—</t>
        </is>
      </c>
      <c r="V305" s="68" t="inlineStr">
        <is>
          <t>ACQ-15.07</t>
        </is>
      </c>
      <c r="W305" s="83" t="inlineStr">
        <is>
          <t>Nouveau (28 oct.) : vérification de l'historique</t>
        </is>
      </c>
    </row>
    <row r="306">
      <c r="A306" s="81" t="inlineStr">
        <is>
          <t>ACQ-23.13</t>
        </is>
      </c>
      <c r="B306" s="67" t="inlineStr">
        <is>
          <t>ACQ-23</t>
        </is>
      </c>
      <c r="C306" s="95">
        <f>IFERROR(INDEX(Thèmes!$D$2:$D$190,MATCH(B306,Thèmes!$A$2:$A$190,0)),"")</f>
        <v/>
      </c>
      <c r="D306" s="68" t="inlineStr">
        <is>
          <t>A23 · Vos 12 derniers mois (tableau)</t>
        </is>
      </c>
      <c r="E306" s="68" t="inlineStr">
        <is>
          <t>Changement de périmètre de l'activité sur les 24 derniers mois (ouverture ou fermeture d'un établissement, rachat ou vente, nouvelle activité ou arrêt) et mois du changement — partagée avec FIN-14.04</t>
        </is>
      </c>
      <c r="F306" s="68" t="inlineStr">
        <is>
          <t>Plusieurs champs : Changement · Mois du changement</t>
        </is>
      </c>
      <c r="G306" s="96" t="inlineStr">
        <is>
          <t>Demandée</t>
        </is>
      </c>
      <c r="H306" s="67" t="inlineStr">
        <is>
          <t>Essentiel</t>
        </is>
      </c>
      <c r="I306" s="68" t="inlineStr">
        <is>
          <t>—</t>
        </is>
      </c>
      <c r="J306" s="68" t="inlineStr">
        <is>
          <t>24 derniers mois (depuis la création si plus récente ; masquée avant 12 mois d'existence)</t>
        </is>
      </c>
      <c r="K306" s="67" t="inlineStr">
        <is>
          <t>●</t>
        </is>
      </c>
      <c r="L306" s="67" t="inlineStr">
        <is>
          <t>●</t>
        </is>
      </c>
      <c r="M306" s="67" t="inlineStr">
        <is>
          <t>●</t>
        </is>
      </c>
      <c r="N306" s="67" t="inlineStr">
        <is>
          <t>●</t>
        </is>
      </c>
      <c r="O306" s="67" t="inlineStr">
        <is>
          <t>●</t>
        </is>
      </c>
      <c r="P306" s="67" t="inlineStr">
        <is>
          <t>●</t>
        </is>
      </c>
      <c r="Q306" s="67" t="inlineStr">
        <is>
          <t>●</t>
        </is>
      </c>
      <c r="R306" s="67" t="inlineStr">
        <is>
          <t>●</t>
        </is>
      </c>
      <c r="S306" s="68" t="inlineStr">
        <is>
          <t>Problème</t>
        </is>
      </c>
      <c r="T306" s="68" t="inlineStr">
        <is>
          <t>—</t>
        </is>
      </c>
      <c r="U306" s="68" t="inlineStr">
        <is>
          <t>—</t>
        </is>
      </c>
      <c r="V306" s="68" t="inlineStr">
        <is>
          <t>ACQ-02.06, ACQ-11.18, ACQ-15.07, ACQ-23.10</t>
        </is>
      </c>
      <c r="W306" s="83" t="inlineStr">
        <is>
          <t>Nouveau (28 oct.) : vérification de l'historique</t>
        </is>
      </c>
    </row>
    <row r="307">
      <c r="A307" s="81" t="inlineStr">
        <is>
          <t>ACQ-24.02</t>
        </is>
      </c>
      <c r="B307" s="67" t="inlineStr">
        <is>
          <t>ACQ-24</t>
        </is>
      </c>
      <c r="C307" s="95">
        <f>IFERROR(INDEX(Thèmes!$D$2:$D$190,MATCH(B307,Thèmes!$A$2:$A$190,0)),"")</f>
        <v/>
      </c>
      <c r="D307" s="68" t="inlineStr">
        <is>
          <t>—</t>
        </is>
      </c>
      <c r="E307" s="68" t="inlineStr">
        <is>
          <t>Dans les 3 prochains mois, combien d'heures par semaine et quel budget par mois pouvez-vous consacrer à améliorer votre entreprise ?</t>
        </is>
      </c>
      <c r="F307" s="68" t="inlineStr">
        <is>
          <t>Plusieurs champs : Heures par semaine · Budget par mois</t>
        </is>
      </c>
      <c r="G307" s="96" t="inlineStr">
        <is>
          <t>Demandée</t>
        </is>
      </c>
      <c r="H307" s="67" t="inlineStr">
        <is>
          <t>Essentiel</t>
        </is>
      </c>
      <c r="I307" s="68" t="inlineStr">
        <is>
          <t>—</t>
        </is>
      </c>
      <c r="J307" s="68" t="inlineStr">
        <is>
          <t>—</t>
        </is>
      </c>
      <c r="K307" s="67" t="inlineStr">
        <is>
          <t>●</t>
        </is>
      </c>
      <c r="L307" s="67" t="inlineStr">
        <is>
          <t>●</t>
        </is>
      </c>
      <c r="M307" s="67" t="inlineStr">
        <is>
          <t>●</t>
        </is>
      </c>
      <c r="N307" s="67" t="inlineStr">
        <is>
          <t>●</t>
        </is>
      </c>
      <c r="O307" s="67" t="inlineStr">
        <is>
          <t>●</t>
        </is>
      </c>
      <c r="P307" s="67" t="inlineStr">
        <is>
          <t>●</t>
        </is>
      </c>
      <c r="Q307" s="67" t="inlineStr">
        <is>
          <t>●</t>
        </is>
      </c>
      <c r="R307" s="67" t="inlineStr">
        <is>
          <t>●</t>
        </is>
      </c>
      <c r="S307" s="68" t="inlineStr">
        <is>
          <t>—</t>
        </is>
      </c>
      <c r="T307" s="68" t="inlineStr">
        <is>
          <t>—</t>
        </is>
      </c>
      <c r="U307" s="68" t="inlineStr">
        <is>
          <t>—</t>
        </is>
      </c>
      <c r="V307" s="68" t="inlineStr">
        <is>
          <t>Lue par l'IA pour adapter le conseil</t>
        </is>
      </c>
      <c r="W307" s="83" t="inlineStr">
        <is>
          <t>Nouveau : profils et condition proposés, à valider</t>
        </is>
      </c>
    </row>
    <row r="308">
      <c r="A308" s="81" t="inlineStr">
        <is>
          <t>ACQ-25.01</t>
        </is>
      </c>
      <c r="B308" s="67" t="inlineStr">
        <is>
          <t>ACQ-25</t>
        </is>
      </c>
      <c r="C308" s="95">
        <f>IFERROR(INDEX(Thèmes!$D$2:$D$190,MATCH(B308,Thèmes!$A$2:$A$190,0)),"")</f>
        <v/>
      </c>
      <c r="D308" s="68" t="inlineStr">
        <is>
          <t>—</t>
        </is>
      </c>
      <c r="E308" s="68" t="inlineStr">
        <is>
          <t>Sur une semaine habituelle, combien de courses faites-vous, combien d'heures êtes-vous disponible, et combien d'heures roulez-vous avec un client ou un colis ?</t>
        </is>
      </c>
      <c r="F308" s="68" t="inlineStr">
        <is>
          <t>Plusieurs champs : Courses · Heures disponibles · Heures avec un client ou un colis</t>
        </is>
      </c>
      <c r="G308" s="96" t="inlineStr">
        <is>
          <t>Demandée</t>
        </is>
      </c>
      <c r="H308" s="67" t="inlineStr">
        <is>
          <t>Essentiel</t>
        </is>
      </c>
      <c r="I308" s="68" t="inlineStr">
        <is>
          <t>—</t>
        </is>
      </c>
      <c r="J308" s="68" t="inlineStr">
        <is>
          <t>—</t>
        </is>
      </c>
      <c r="K308" s="67" t="inlineStr">
        <is>
          <t>●</t>
        </is>
      </c>
      <c r="L308" s="67" t="inlineStr">
        <is>
          <t>●</t>
        </is>
      </c>
      <c r="M308" s="67" t="inlineStr">
        <is>
          <t>●</t>
        </is>
      </c>
      <c r="N308" s="67" t="inlineStr">
        <is>
          <t>●</t>
        </is>
      </c>
      <c r="O308" s="67" t="inlineStr">
        <is>
          <t>●</t>
        </is>
      </c>
      <c r="P308" s="67" t="inlineStr">
        <is>
          <t>●</t>
        </is>
      </c>
      <c r="Q308" s="67" t="inlineStr">
        <is>
          <t>●</t>
        </is>
      </c>
      <c r="R308" s="67" t="inlineStr">
        <is>
          <t>●</t>
        </is>
      </c>
      <c r="S308" s="68" t="inlineStr">
        <is>
          <t>—</t>
        </is>
      </c>
      <c r="T308" s="68" t="inlineStr">
        <is>
          <t>—</t>
        </is>
      </c>
      <c r="U308" s="68" t="inlineStr">
        <is>
          <t>—</t>
        </is>
      </c>
      <c r="V308" s="68" t="inlineStr">
        <is>
          <t>Lue par l'IA pour adapter le conseil</t>
        </is>
      </c>
      <c r="W308" s="83" t="inlineStr">
        <is>
          <t>Nouveau : module métier, métiers concernés validés le 27 octobre</t>
        </is>
      </c>
      <c r="X308" s="83" t="inlineStr">
        <is>
          <t>VTC et taxi ; Coursier ; Livraison du dernier kilomètre</t>
        </is>
      </c>
    </row>
    <row r="309">
      <c r="A309" s="81" t="inlineStr">
        <is>
          <t>ACQ-25.02</t>
        </is>
      </c>
      <c r="B309" s="67" t="inlineStr">
        <is>
          <t>ACQ-25</t>
        </is>
      </c>
      <c r="C309" s="95">
        <f>IFERROR(INDEX(Thèmes!$D$2:$D$190,MATCH(B309,Thèmes!$A$2:$A$190,0)),"")</f>
        <v/>
      </c>
      <c r="D309" s="68" t="inlineStr">
        <is>
          <t>—</t>
        </is>
      </c>
      <c r="E309" s="68" t="inlineStr">
        <is>
          <t>Sur une semaine habituelle, combien de kilomètres faites-vous au total, et combien avec un client ou un colis ?</t>
        </is>
      </c>
      <c r="F309" s="68" t="inlineStr">
        <is>
          <t>Plusieurs champs : Kilomètres au total · Dont avec un client ou un colis</t>
        </is>
      </c>
      <c r="G309" s="96" t="inlineStr">
        <is>
          <t>Demandée</t>
        </is>
      </c>
      <c r="H309" s="67" t="inlineStr">
        <is>
          <t>Essentiel</t>
        </is>
      </c>
      <c r="I309" s="68" t="inlineStr">
        <is>
          <t>—</t>
        </is>
      </c>
      <c r="J309" s="68" t="inlineStr">
        <is>
          <t>—</t>
        </is>
      </c>
      <c r="K309" s="67" t="inlineStr">
        <is>
          <t>●</t>
        </is>
      </c>
      <c r="L309" s="67" t="inlineStr">
        <is>
          <t>●</t>
        </is>
      </c>
      <c r="M309" s="67" t="inlineStr">
        <is>
          <t>●</t>
        </is>
      </c>
      <c r="N309" s="67" t="inlineStr">
        <is>
          <t>●</t>
        </is>
      </c>
      <c r="O309" s="67" t="inlineStr">
        <is>
          <t>●</t>
        </is>
      </c>
      <c r="P309" s="67" t="inlineStr">
        <is>
          <t>●</t>
        </is>
      </c>
      <c r="Q309" s="67" t="inlineStr">
        <is>
          <t>●</t>
        </is>
      </c>
      <c r="R309" s="67" t="inlineStr">
        <is>
          <t>●</t>
        </is>
      </c>
      <c r="S309" s="68" t="inlineStr">
        <is>
          <t>—</t>
        </is>
      </c>
      <c r="T309" s="68" t="inlineStr">
        <is>
          <t>—</t>
        </is>
      </c>
      <c r="U309" s="68" t="inlineStr">
        <is>
          <t>—</t>
        </is>
      </c>
      <c r="V309" s="68" t="inlineStr">
        <is>
          <t>Lue par l'IA pour adapter le conseil</t>
        </is>
      </c>
      <c r="W309" s="83" t="inlineStr">
        <is>
          <t>Nouveau : module métier, métiers concernés validés le 27 octobre</t>
        </is>
      </c>
      <c r="X309" s="83" t="inlineStr">
        <is>
          <t>VTC et taxi ; Coursier ; Livraison du dernier kilomètre</t>
        </is>
      </c>
    </row>
    <row r="310">
      <c r="A310" s="81" t="inlineStr">
        <is>
          <t>ACQ-25.03</t>
        </is>
      </c>
      <c r="B310" s="67" t="inlineStr">
        <is>
          <t>ACQ-25</t>
        </is>
      </c>
      <c r="C310" s="95">
        <f>IFERROR(INDEX(Thèmes!$D$2:$D$190,MATCH(B310,Thèmes!$A$2:$A$190,0)),"")</f>
        <v/>
      </c>
      <c r="D310" s="68" t="inlineStr">
        <is>
          <t>—</t>
        </is>
      </c>
      <c r="E310" s="68" t="inlineStr">
        <is>
          <t>Sur une semaine habituelle, combien de courses ou de livraisons échouent : client absent, annulation sur place, mauvaise adresse ?</t>
        </is>
      </c>
      <c r="F310" s="68" t="inlineStr">
        <is>
          <t>Nombre</t>
        </is>
      </c>
      <c r="G310" s="96" t="inlineStr">
        <is>
          <t>Demandée</t>
        </is>
      </c>
      <c r="H310" s="67" t="inlineStr">
        <is>
          <t>Essentiel</t>
        </is>
      </c>
      <c r="I310" s="68" t="inlineStr">
        <is>
          <t>—</t>
        </is>
      </c>
      <c r="J310" s="68" t="inlineStr">
        <is>
          <t>—</t>
        </is>
      </c>
      <c r="K310" s="67" t="inlineStr">
        <is>
          <t>●</t>
        </is>
      </c>
      <c r="L310" s="67" t="inlineStr">
        <is>
          <t>●</t>
        </is>
      </c>
      <c r="M310" s="67" t="inlineStr">
        <is>
          <t>●</t>
        </is>
      </c>
      <c r="N310" s="67" t="inlineStr">
        <is>
          <t>●</t>
        </is>
      </c>
      <c r="O310" s="67" t="inlineStr">
        <is>
          <t>●</t>
        </is>
      </c>
      <c r="P310" s="67" t="inlineStr">
        <is>
          <t>●</t>
        </is>
      </c>
      <c r="Q310" s="67" t="inlineStr">
        <is>
          <t>●</t>
        </is>
      </c>
      <c r="R310" s="67" t="inlineStr">
        <is>
          <t>●</t>
        </is>
      </c>
      <c r="S310" s="68" t="inlineStr">
        <is>
          <t>—</t>
        </is>
      </c>
      <c r="T310" s="68" t="inlineStr">
        <is>
          <t>—</t>
        </is>
      </c>
      <c r="U310" s="68" t="inlineStr">
        <is>
          <t>—</t>
        </is>
      </c>
      <c r="V310" s="68" t="inlineStr">
        <is>
          <t>Lue par l'IA pour adapter le conseil</t>
        </is>
      </c>
      <c r="W310" s="83" t="inlineStr">
        <is>
          <t>Nouveau : module métier, métiers concernés validés le 27 octobre</t>
        </is>
      </c>
      <c r="X310" s="83" t="inlineStr">
        <is>
          <t>VTC et taxi ; Coursier ; Livraison du dernier kilomètre</t>
        </is>
      </c>
    </row>
    <row r="311">
      <c r="A311" s="81" t="inlineStr">
        <is>
          <t>ACQ-25.04</t>
        </is>
      </c>
      <c r="B311" s="67" t="inlineStr">
        <is>
          <t>ACQ-25</t>
        </is>
      </c>
      <c r="C311" s="95">
        <f>IFERROR(INDEX(Thèmes!$D$2:$D$190,MATCH(B311,Thèmes!$A$2:$A$190,0)),"")</f>
        <v/>
      </c>
      <c r="D311" s="68" t="inlineStr">
        <is>
          <t>—</t>
        </is>
      </c>
      <c r="E311" s="68" t="inlineStr">
        <is>
          <t>Sur une semaine habituelle, quelle part de vos courses faites-vous aux heures où les prix sont majorés : nuit, week-end, forte demande ?</t>
        </is>
      </c>
      <c r="F311" s="68" t="inlineStr">
        <is>
          <t>%</t>
        </is>
      </c>
      <c r="G311" s="96" t="inlineStr">
        <is>
          <t>Demandée</t>
        </is>
      </c>
      <c r="H311" s="67" t="inlineStr">
        <is>
          <t>Approfondi</t>
        </is>
      </c>
      <c r="I311" s="68" t="inlineStr">
        <is>
          <t>—</t>
        </is>
      </c>
      <c r="J311" s="68" t="inlineStr">
        <is>
          <t>—</t>
        </is>
      </c>
      <c r="K311" s="67" t="inlineStr">
        <is>
          <t>●</t>
        </is>
      </c>
      <c r="L311" s="67" t="inlineStr">
        <is>
          <t>●</t>
        </is>
      </c>
      <c r="M311" s="67" t="inlineStr">
        <is>
          <t>●</t>
        </is>
      </c>
      <c r="N311" s="67" t="inlineStr">
        <is>
          <t>●</t>
        </is>
      </c>
      <c r="O311" s="67" t="inlineStr">
        <is>
          <t>●</t>
        </is>
      </c>
      <c r="P311" s="67" t="inlineStr">
        <is>
          <t>●</t>
        </is>
      </c>
      <c r="Q311" s="67" t="inlineStr">
        <is>
          <t>●</t>
        </is>
      </c>
      <c r="R311" s="67" t="inlineStr">
        <is>
          <t>●</t>
        </is>
      </c>
      <c r="S311" s="68" t="inlineStr">
        <is>
          <t>—</t>
        </is>
      </c>
      <c r="T311" s="68" t="inlineStr">
        <is>
          <t>—</t>
        </is>
      </c>
      <c r="U311" s="68" t="inlineStr">
        <is>
          <t>—</t>
        </is>
      </c>
      <c r="V311" s="68" t="inlineStr">
        <is>
          <t>Lue par l'IA pour adapter le conseil</t>
        </is>
      </c>
      <c r="W311" s="83" t="inlineStr">
        <is>
          <t>Nouveau : module métier, métiers concernés validés le 27 octobre</t>
        </is>
      </c>
      <c r="X311" s="83" t="inlineStr">
        <is>
          <t>VTC et taxi ; Coursier ; Livraison du dernier kilomètre</t>
        </is>
      </c>
    </row>
    <row r="312">
      <c r="A312" s="81" t="inlineStr">
        <is>
          <t>ACQ-27.01</t>
        </is>
      </c>
      <c r="B312" s="67" t="inlineStr">
        <is>
          <t>ACQ-27</t>
        </is>
      </c>
      <c r="C312" s="95">
        <f>IFERROR(INDEX(Thèmes!$D$2:$D$190,MATCH(B312,Thèmes!$A$2:$A$190,0)),"")</f>
        <v/>
      </c>
      <c r="D312" s="68" t="inlineStr">
        <is>
          <t>—</t>
        </is>
      </c>
      <c r="E312" s="68" t="inlineStr">
        <is>
          <t>Sur les 3 derniers mois, quelle part des commandes de vos clients avez-vous livrée complète et à la date promise ?</t>
        </is>
      </c>
      <c r="F312" s="68" t="inlineStr">
        <is>
          <t>%</t>
        </is>
      </c>
      <c r="G312" s="96" t="inlineStr">
        <is>
          <t>Demandée</t>
        </is>
      </c>
      <c r="H312" s="67" t="inlineStr">
        <is>
          <t>Essentiel</t>
        </is>
      </c>
      <c r="I312" s="68" t="inlineStr">
        <is>
          <t>—</t>
        </is>
      </c>
      <c r="J312" s="68" t="inlineStr">
        <is>
          <t>—</t>
        </is>
      </c>
      <c r="K312" s="67" t="inlineStr">
        <is>
          <t>●</t>
        </is>
      </c>
      <c r="L312" s="67" t="inlineStr">
        <is>
          <t>●</t>
        </is>
      </c>
      <c r="M312" s="67" t="inlineStr">
        <is>
          <t>●</t>
        </is>
      </c>
      <c r="N312" s="67" t="inlineStr">
        <is>
          <t>●</t>
        </is>
      </c>
      <c r="O312" s="67" t="inlineStr">
        <is>
          <t>●</t>
        </is>
      </c>
      <c r="P312" s="67" t="inlineStr">
        <is>
          <t>●</t>
        </is>
      </c>
      <c r="Q312" s="67" t="inlineStr">
        <is>
          <t>●</t>
        </is>
      </c>
      <c r="R312" s="67" t="inlineStr">
        <is>
          <t>●</t>
        </is>
      </c>
      <c r="S312" s="68" t="inlineStr">
        <is>
          <t>—</t>
        </is>
      </c>
      <c r="T312" s="68" t="inlineStr">
        <is>
          <t>—</t>
        </is>
      </c>
      <c r="U312" s="68" t="inlineStr">
        <is>
          <t>—</t>
        </is>
      </c>
      <c r="V312" s="68" t="inlineStr">
        <is>
          <t>Lue par l'IA pour adapter le conseil</t>
        </is>
      </c>
      <c r="W312" s="83" t="inlineStr">
        <is>
          <t>Nouveau : module métier, métiers concernés validés le 27 octobre</t>
        </is>
      </c>
      <c r="X312" s="83" t="inlineStr">
        <is>
          <t>Distributeur d'équipements de cuisine professionnelle ; Distributeur de fournitures industrielles ; Distributeur de matériel électrique ; Distributeur de plomberie et sanitaire ; Grossiste alimentaire ; Grossiste en boissons pour cafés et restaurants ; Grossiste en emballages ; Grossiste en fournitures de bureau ; Grossiste en fruits et légumes ; Grossiste en pièces automobiles ; Grossiste en produits d'entretien et d'hygiène ; Grossiste en produits de beauté pour salons ; Grossiste en textile ; Import-export ; Négoce de bois ; Négoce de matériaux de construction ; Négoce de vins et spiritueux</t>
        </is>
      </c>
    </row>
    <row r="313">
      <c r="A313" s="81" t="inlineStr">
        <is>
          <t>ACQ-27.02</t>
        </is>
      </c>
      <c r="B313" s="67" t="inlineStr">
        <is>
          <t>ACQ-27</t>
        </is>
      </c>
      <c r="C313" s="95">
        <f>IFERROR(INDEX(Thèmes!$D$2:$D$190,MATCH(B313,Thèmes!$A$2:$A$190,0)),"")</f>
        <v/>
      </c>
      <c r="D313" s="68" t="inlineStr">
        <is>
          <t>—</t>
        </is>
      </c>
      <c r="E313" s="68" t="inlineStr">
        <is>
          <t>Quelle remise accordez-vous en moyenne à chaque catégorie de clients, sur votre prix catalogue ?</t>
        </is>
      </c>
      <c r="F313" s="68" t="inlineStr">
        <is>
          <t>Tableau : Remise moyenne (lignes liste: ACQ-01.01)</t>
        </is>
      </c>
      <c r="G313" s="96" t="inlineStr">
        <is>
          <t>Demandée</t>
        </is>
      </c>
      <c r="H313" s="67" t="inlineStr">
        <is>
          <t>Essentiel</t>
        </is>
      </c>
      <c r="I313" s="68" t="inlineStr">
        <is>
          <t>—</t>
        </is>
      </c>
      <c r="J313" s="68" t="inlineStr">
        <is>
          <t>—</t>
        </is>
      </c>
      <c r="K313" s="67" t="inlineStr">
        <is>
          <t>●</t>
        </is>
      </c>
      <c r="L313" s="67" t="inlineStr">
        <is>
          <t>●</t>
        </is>
      </c>
      <c r="M313" s="67" t="inlineStr">
        <is>
          <t>●</t>
        </is>
      </c>
      <c r="N313" s="67" t="inlineStr">
        <is>
          <t>●</t>
        </is>
      </c>
      <c r="O313" s="67" t="inlineStr">
        <is>
          <t>●</t>
        </is>
      </c>
      <c r="P313" s="67" t="inlineStr">
        <is>
          <t>●</t>
        </is>
      </c>
      <c r="Q313" s="67" t="inlineStr">
        <is>
          <t>●</t>
        </is>
      </c>
      <c r="R313" s="67" t="inlineStr">
        <is>
          <t>●</t>
        </is>
      </c>
      <c r="S313" s="68" t="inlineStr">
        <is>
          <t>—</t>
        </is>
      </c>
      <c r="T313" s="68" t="inlineStr">
        <is>
          <t>—</t>
        </is>
      </c>
      <c r="U313" s="68" t="inlineStr">
        <is>
          <t>—</t>
        </is>
      </c>
      <c r="V313" s="68" t="inlineStr">
        <is>
          <t>Lue par l'IA pour adapter le conseil</t>
        </is>
      </c>
      <c r="W313" s="83" t="inlineStr">
        <is>
          <t>Nouveau : module métier, métiers concernés validés le 27 octobre</t>
        </is>
      </c>
      <c r="X313" s="83" t="inlineStr">
        <is>
          <t>Distributeur d'équipements de cuisine professionnelle ; Distributeur de fournitures industrielles ; Distributeur de matériel électrique ; Distributeur de plomberie et sanitaire ; Grossiste alimentaire ; Grossiste en boissons pour cafés et restaurants ; Grossiste en emballages ; Grossiste en fournitures de bureau ; Grossiste en fruits et légumes ; Grossiste en pièces automobiles ; Grossiste en produits d'entretien et d'hygiène ; Grossiste en produits de beauté pour salons ; Grossiste en textile ; Import-export ; Négoce de bois ; Négoce de matériaux de construction ; Négoce de vins et spiritueux</t>
        </is>
      </c>
    </row>
    <row r="314">
      <c r="A314" s="81" t="inlineStr">
        <is>
          <t>ACQ-27.03</t>
        </is>
      </c>
      <c r="B314" s="67" t="inlineStr">
        <is>
          <t>ACQ-27</t>
        </is>
      </c>
      <c r="C314" s="95">
        <f>IFERROR(INDEX(Thèmes!$D$2:$D$190,MATCH(B314,Thèmes!$A$2:$A$190,0)),"")</f>
        <v/>
      </c>
      <c r="D314" s="68" t="inlineStr">
        <is>
          <t>—</t>
        </is>
      </c>
      <c r="E314" s="68" t="inlineStr">
        <is>
          <t>Combien vous coûtent en moyenne la préparation et la livraison d'une commande, et à partir de quel montant la livraison est-elle offerte ?</t>
        </is>
      </c>
      <c r="F314" s="68" t="inlineStr">
        <is>
          <t>Plusieurs champs : Coût d'une commande · Livraison offerte à partir de</t>
        </is>
      </c>
      <c r="G314" s="96" t="inlineStr">
        <is>
          <t>Demandée</t>
        </is>
      </c>
      <c r="H314" s="67" t="inlineStr">
        <is>
          <t>Essentiel</t>
        </is>
      </c>
      <c r="I314" s="68" t="inlineStr">
        <is>
          <t>—</t>
        </is>
      </c>
      <c r="J314" s="68" t="inlineStr">
        <is>
          <t>—</t>
        </is>
      </c>
      <c r="K314" s="67" t="inlineStr">
        <is>
          <t>●</t>
        </is>
      </c>
      <c r="L314" s="67" t="inlineStr">
        <is>
          <t>●</t>
        </is>
      </c>
      <c r="M314" s="67" t="inlineStr">
        <is>
          <t>●</t>
        </is>
      </c>
      <c r="N314" s="67" t="inlineStr">
        <is>
          <t>●</t>
        </is>
      </c>
      <c r="O314" s="67" t="inlineStr">
        <is>
          <t>●</t>
        </is>
      </c>
      <c r="P314" s="67" t="inlineStr">
        <is>
          <t>●</t>
        </is>
      </c>
      <c r="Q314" s="67" t="inlineStr">
        <is>
          <t>●</t>
        </is>
      </c>
      <c r="R314" s="67" t="inlineStr">
        <is>
          <t>●</t>
        </is>
      </c>
      <c r="S314" s="68" t="inlineStr">
        <is>
          <t>—</t>
        </is>
      </c>
      <c r="T314" s="68" t="inlineStr">
        <is>
          <t>—</t>
        </is>
      </c>
      <c r="U314" s="68" t="inlineStr">
        <is>
          <t>—</t>
        </is>
      </c>
      <c r="V314" s="68" t="inlineStr">
        <is>
          <t>Lue par l'IA pour adapter le conseil</t>
        </is>
      </c>
      <c r="W314" s="83" t="inlineStr">
        <is>
          <t>Nouveau : module métier, métiers concernés validés le 27 octobre</t>
        </is>
      </c>
      <c r="X314" s="83" t="inlineStr">
        <is>
          <t>Distributeur d'équipements de cuisine professionnelle ; Distributeur de fournitures industrielles ; Distributeur de matériel électrique ; Distributeur de plomberie et sanitaire ; Grossiste alimentaire ; Grossiste en boissons pour cafés et restaurants ; Grossiste en emballages ; Grossiste en fournitures de bureau ; Grossiste en fruits et légumes ; Grossiste en pièces automobiles ; Grossiste en produits d'entretien et d'hygiène ; Grossiste en produits de beauté pour salons ; Grossiste en textile ; Import-export ; Négoce de bois ; Négoce de matériaux de construction ; Négoce de vins et spiritueux</t>
        </is>
      </c>
    </row>
    <row r="315">
      <c r="A315" s="81" t="inlineStr">
        <is>
          <t>ACQ-27.04</t>
        </is>
      </c>
      <c r="B315" s="67" t="inlineStr">
        <is>
          <t>ACQ-27</t>
        </is>
      </c>
      <c r="C315" s="95">
        <f>IFERROR(INDEX(Thèmes!$D$2:$D$190,MATCH(B315,Thèmes!$A$2:$A$190,0)),"")</f>
        <v/>
      </c>
      <c r="D315" s="68" t="inlineStr">
        <is>
          <t>—</t>
        </is>
      </c>
      <c r="E315" s="68" t="inlineStr">
        <is>
          <t>En moyenne, en combien de jours livrez-vous une commande, et en combien de jours vos principaux concurrents livrent-ils ?</t>
        </is>
      </c>
      <c r="F315" s="68" t="inlineStr">
        <is>
          <t>Plusieurs champs : Votre délai · Délai des concurrents</t>
        </is>
      </c>
      <c r="G315" s="96" t="inlineStr">
        <is>
          <t>Demandée</t>
        </is>
      </c>
      <c r="H315" s="67" t="inlineStr">
        <is>
          <t>Approfondi</t>
        </is>
      </c>
      <c r="I315" s="68" t="inlineStr">
        <is>
          <t>—</t>
        </is>
      </c>
      <c r="J315" s="68" t="inlineStr">
        <is>
          <t>—</t>
        </is>
      </c>
      <c r="K315" s="67" t="inlineStr">
        <is>
          <t>●</t>
        </is>
      </c>
      <c r="L315" s="67" t="inlineStr">
        <is>
          <t>●</t>
        </is>
      </c>
      <c r="M315" s="67" t="inlineStr">
        <is>
          <t>●</t>
        </is>
      </c>
      <c r="N315" s="67" t="inlineStr">
        <is>
          <t>●</t>
        </is>
      </c>
      <c r="O315" s="67" t="inlineStr">
        <is>
          <t>●</t>
        </is>
      </c>
      <c r="P315" s="67" t="inlineStr">
        <is>
          <t>●</t>
        </is>
      </c>
      <c r="Q315" s="67" t="inlineStr">
        <is>
          <t>●</t>
        </is>
      </c>
      <c r="R315" s="67" t="inlineStr">
        <is>
          <t>●</t>
        </is>
      </c>
      <c r="S315" s="68" t="inlineStr">
        <is>
          <t>—</t>
        </is>
      </c>
      <c r="T315" s="68" t="inlineStr">
        <is>
          <t>—</t>
        </is>
      </c>
      <c r="U315" s="68" t="inlineStr">
        <is>
          <t>—</t>
        </is>
      </c>
      <c r="V315" s="68" t="inlineStr">
        <is>
          <t>Lue par l'IA pour adapter le conseil</t>
        </is>
      </c>
      <c r="W315" s="83" t="inlineStr">
        <is>
          <t>Nouveau : module métier, métiers concernés validés le 27 octobre</t>
        </is>
      </c>
      <c r="X315" s="83" t="inlineStr">
        <is>
          <t>Distributeur d'équipements de cuisine professionnelle ; Distributeur de fournitures industrielles ; Distributeur de matériel électrique ; Distributeur de plomberie et sanitaire ; Grossiste alimentaire ; Grossiste en boissons pour cafés et restaurants ; Grossiste en emballages ; Grossiste en fournitures de bureau ; Grossiste en fruits et légumes ; Grossiste en pièces automobiles ; Grossiste en produits d'entretien et d'hygiène ; Grossiste en produits de beauté pour salons ; Grossiste en textile ; Import-export ; Négoce de bois ; Négoce de matériaux de construction ; Négoce de vins et spiritueux</t>
        </is>
      </c>
    </row>
    <row r="316">
      <c r="A316" s="81" t="inlineStr">
        <is>
          <t>ACQ-28.01</t>
        </is>
      </c>
      <c r="B316" s="67" t="inlineStr">
        <is>
          <t>ACQ-28</t>
        </is>
      </c>
      <c r="C316" s="95">
        <f>IFERROR(INDEX(Thèmes!$D$2:$D$190,MATCH(B316,Thèmes!$A$2:$A$190,0)),"")</f>
        <v/>
      </c>
      <c r="D316" s="68" t="inlineStr">
        <is>
          <t>—</t>
        </is>
      </c>
      <c r="E316" s="68" t="inlineStr">
        <is>
          <t>Combien de biens avez-vous en stock aujourd'hui, et depuis combien de jours en moyenne ?</t>
        </is>
      </c>
      <c r="F316" s="68" t="inlineStr">
        <is>
          <t>Plusieurs champs : Biens en stock · Jours en stock en moyenne</t>
        </is>
      </c>
      <c r="G316" s="96" t="inlineStr">
        <is>
          <t>Demandée</t>
        </is>
      </c>
      <c r="H316" s="67" t="inlineStr">
        <is>
          <t>Essentiel</t>
        </is>
      </c>
      <c r="I316" s="68" t="inlineStr">
        <is>
          <t>—</t>
        </is>
      </c>
      <c r="J316" s="68" t="inlineStr">
        <is>
          <t>—</t>
        </is>
      </c>
      <c r="K316" s="67" t="inlineStr">
        <is>
          <t>●</t>
        </is>
      </c>
      <c r="L316" s="67" t="inlineStr">
        <is>
          <t>●</t>
        </is>
      </c>
      <c r="M316" s="67" t="inlineStr">
        <is>
          <t>●</t>
        </is>
      </c>
      <c r="N316" s="67" t="inlineStr">
        <is>
          <t>●</t>
        </is>
      </c>
      <c r="O316" s="67" t="inlineStr">
        <is>
          <t>●</t>
        </is>
      </c>
      <c r="P316" s="67" t="inlineStr">
        <is>
          <t>●</t>
        </is>
      </c>
      <c r="Q316" s="67" t="inlineStr">
        <is>
          <t>●</t>
        </is>
      </c>
      <c r="R316" s="67" t="inlineStr">
        <is>
          <t>●</t>
        </is>
      </c>
      <c r="S316" s="68" t="inlineStr">
        <is>
          <t>—</t>
        </is>
      </c>
      <c r="T316" s="68" t="inlineStr">
        <is>
          <t>—</t>
        </is>
      </c>
      <c r="U316" s="68" t="inlineStr">
        <is>
          <t>—</t>
        </is>
      </c>
      <c r="V316" s="68" t="inlineStr">
        <is>
          <t>Lue par l'IA pour adapter le conseil</t>
        </is>
      </c>
      <c r="W316" s="83" t="inlineStr">
        <is>
          <t>Nouveau : module métier, métiers concernés validés le 27 octobre</t>
        </is>
      </c>
      <c r="X316" s="83" t="inlineStr">
        <is>
          <t>Vente de véhicules ; Marchand de biens ; Promoteur immobilier</t>
        </is>
      </c>
    </row>
    <row r="317">
      <c r="A317" s="81" t="inlineStr">
        <is>
          <t>ACQ-28.02</t>
        </is>
      </c>
      <c r="B317" s="67" t="inlineStr">
        <is>
          <t>ACQ-28</t>
        </is>
      </c>
      <c r="C317" s="95">
        <f>IFERROR(INDEX(Thèmes!$D$2:$D$190,MATCH(B317,Thèmes!$A$2:$A$190,0)),"")</f>
        <v/>
      </c>
      <c r="D317" s="68" t="inlineStr">
        <is>
          <t>—</t>
        </is>
      </c>
      <c r="E317" s="68" t="inlineStr">
        <is>
          <t>En moyenne, de combien baissez-vous le prix affiché avant de vendre ?</t>
        </is>
      </c>
      <c r="F317" s="68" t="inlineStr">
        <is>
          <t>%</t>
        </is>
      </c>
      <c r="G317" s="96" t="inlineStr">
        <is>
          <t>Demandée</t>
        </is>
      </c>
      <c r="H317" s="67" t="inlineStr">
        <is>
          <t>Essentiel</t>
        </is>
      </c>
      <c r="I317" s="68" t="inlineStr">
        <is>
          <t>—</t>
        </is>
      </c>
      <c r="J317" s="68" t="inlineStr">
        <is>
          <t>—</t>
        </is>
      </c>
      <c r="K317" s="67" t="inlineStr">
        <is>
          <t>●</t>
        </is>
      </c>
      <c r="L317" s="67" t="inlineStr">
        <is>
          <t>●</t>
        </is>
      </c>
      <c r="M317" s="67" t="inlineStr">
        <is>
          <t>●</t>
        </is>
      </c>
      <c r="N317" s="67" t="inlineStr">
        <is>
          <t>●</t>
        </is>
      </c>
      <c r="O317" s="67" t="inlineStr">
        <is>
          <t>●</t>
        </is>
      </c>
      <c r="P317" s="67" t="inlineStr">
        <is>
          <t>●</t>
        </is>
      </c>
      <c r="Q317" s="67" t="inlineStr">
        <is>
          <t>●</t>
        </is>
      </c>
      <c r="R317" s="67" t="inlineStr">
        <is>
          <t>●</t>
        </is>
      </c>
      <c r="S317" s="68" t="inlineStr">
        <is>
          <t>—</t>
        </is>
      </c>
      <c r="T317" s="68" t="inlineStr">
        <is>
          <t>—</t>
        </is>
      </c>
      <c r="U317" s="68" t="inlineStr">
        <is>
          <t>—</t>
        </is>
      </c>
      <c r="V317" s="68" t="inlineStr">
        <is>
          <t>Lue par l'IA pour adapter le conseil</t>
        </is>
      </c>
      <c r="W317" s="83" t="inlineStr">
        <is>
          <t>Nouveau : module métier, métiers concernés validés le 27 octobre</t>
        </is>
      </c>
      <c r="X317" s="83" t="inlineStr">
        <is>
          <t>Vente de véhicules ; Marchand de biens ; Promoteur immobilier</t>
        </is>
      </c>
    </row>
    <row r="318">
      <c r="A318" s="81" t="inlineStr">
        <is>
          <t>ACQ-28.03</t>
        </is>
      </c>
      <c r="B318" s="67" t="inlineStr">
        <is>
          <t>ACQ-28</t>
        </is>
      </c>
      <c r="C318" s="95">
        <f>IFERROR(INDEX(Thèmes!$D$2:$D$190,MATCH(B318,Thèmes!$A$2:$A$190,0)),"")</f>
        <v/>
      </c>
      <c r="D318" s="68" t="inlineStr">
        <is>
          <t>—</t>
        </is>
      </c>
      <c r="E318" s="68" t="inlineStr">
        <is>
          <t>Sur les 3 derniers mois, quelle part de vos ventes comprenait une reprise de l'ancien bien du client, et quelle part un financement proposé par vous ?</t>
        </is>
      </c>
      <c r="F318" s="68" t="inlineStr">
        <is>
          <t>Plusieurs champs : Avec une reprise · Avec un financement proposé par vous</t>
        </is>
      </c>
      <c r="G318" s="96" t="inlineStr">
        <is>
          <t>Demandée</t>
        </is>
      </c>
      <c r="H318" s="67" t="inlineStr">
        <is>
          <t>Approfondi</t>
        </is>
      </c>
      <c r="I318" s="68" t="inlineStr">
        <is>
          <t>—</t>
        </is>
      </c>
      <c r="J318" s="68" t="inlineStr">
        <is>
          <t>—</t>
        </is>
      </c>
      <c r="K318" s="67" t="inlineStr">
        <is>
          <t>●</t>
        </is>
      </c>
      <c r="L318" s="67" t="inlineStr">
        <is>
          <t>●</t>
        </is>
      </c>
      <c r="M318" s="67" t="inlineStr">
        <is>
          <t>●</t>
        </is>
      </c>
      <c r="N318" s="67" t="inlineStr">
        <is>
          <t>●</t>
        </is>
      </c>
      <c r="O318" s="67" t="inlineStr">
        <is>
          <t>●</t>
        </is>
      </c>
      <c r="P318" s="67" t="inlineStr">
        <is>
          <t>●</t>
        </is>
      </c>
      <c r="Q318" s="67" t="inlineStr">
        <is>
          <t>●</t>
        </is>
      </c>
      <c r="R318" s="67" t="inlineStr">
        <is>
          <t>●</t>
        </is>
      </c>
      <c r="S318" s="68" t="inlineStr">
        <is>
          <t>—</t>
        </is>
      </c>
      <c r="T318" s="68" t="inlineStr">
        <is>
          <t>—</t>
        </is>
      </c>
      <c r="U318" s="68" t="inlineStr">
        <is>
          <t>—</t>
        </is>
      </c>
      <c r="V318" s="68" t="inlineStr">
        <is>
          <t>Lue par l'IA pour adapter le conseil</t>
        </is>
      </c>
      <c r="W318" s="83" t="inlineStr">
        <is>
          <t>Nouveau : module métier, métiers concernés validés le 27 octobre</t>
        </is>
      </c>
      <c r="X318" s="83" t="inlineStr">
        <is>
          <t>Vente de véhicules</t>
        </is>
      </c>
    </row>
    <row r="319">
      <c r="A319" s="81" t="inlineStr">
        <is>
          <t>ACQ-28.04</t>
        </is>
      </c>
      <c r="B319" s="67" t="inlineStr">
        <is>
          <t>ACQ-28</t>
        </is>
      </c>
      <c r="C319" s="95">
        <f>IFERROR(INDEX(Thèmes!$D$2:$D$190,MATCH(B319,Thèmes!$A$2:$A$190,0)),"")</f>
        <v/>
      </c>
      <c r="D319" s="68" t="inlineStr">
        <is>
          <t>—</t>
        </is>
      </c>
      <c r="E319" s="68" t="inlineStr">
        <is>
          <t>En moyenne sur les 3 derniers mois, combien de biens entrent en stock par mois ?</t>
        </is>
      </c>
      <c r="F319" s="68" t="inlineStr">
        <is>
          <t>Nombre</t>
        </is>
      </c>
      <c r="G319" s="96" t="inlineStr">
        <is>
          <t>Demandée</t>
        </is>
      </c>
      <c r="H319" s="67" t="inlineStr">
        <is>
          <t>Approfondi</t>
        </is>
      </c>
      <c r="I319" s="68" t="inlineStr">
        <is>
          <t>—</t>
        </is>
      </c>
      <c r="J319" s="68" t="inlineStr">
        <is>
          <t>—</t>
        </is>
      </c>
      <c r="K319" s="67" t="inlineStr">
        <is>
          <t>●</t>
        </is>
      </c>
      <c r="L319" s="67" t="inlineStr">
        <is>
          <t>●</t>
        </is>
      </c>
      <c r="M319" s="67" t="inlineStr">
        <is>
          <t>●</t>
        </is>
      </c>
      <c r="N319" s="67" t="inlineStr">
        <is>
          <t>●</t>
        </is>
      </c>
      <c r="O319" s="67" t="inlineStr">
        <is>
          <t>●</t>
        </is>
      </c>
      <c r="P319" s="67" t="inlineStr">
        <is>
          <t>●</t>
        </is>
      </c>
      <c r="Q319" s="67" t="inlineStr">
        <is>
          <t>●</t>
        </is>
      </c>
      <c r="R319" s="67" t="inlineStr">
        <is>
          <t>●</t>
        </is>
      </c>
      <c r="S319" s="68" t="inlineStr">
        <is>
          <t>—</t>
        </is>
      </c>
      <c r="T319" s="68" t="inlineStr">
        <is>
          <t>—</t>
        </is>
      </c>
      <c r="U319" s="68" t="inlineStr">
        <is>
          <t>—</t>
        </is>
      </c>
      <c r="V319" s="68" t="inlineStr">
        <is>
          <t>Lue par l'IA pour adapter le conseil</t>
        </is>
      </c>
      <c r="W319" s="83" t="inlineStr">
        <is>
          <t>Nouveau : module métier, métiers concernés validés le 27 octobre</t>
        </is>
      </c>
      <c r="X319" s="83" t="inlineStr">
        <is>
          <t>Vente de véhicules ; Marchand de biens ; Promoteur immobilier</t>
        </is>
      </c>
    </row>
    <row r="320">
      <c r="A320" s="81" t="inlineStr">
        <is>
          <t>ACQ-29.01</t>
        </is>
      </c>
      <c r="B320" s="67" t="inlineStr">
        <is>
          <t>ACQ-29</t>
        </is>
      </c>
      <c r="C320" s="95">
        <f>IFERROR(INDEX(Thèmes!$D$2:$D$190,MATCH(B320,Thèmes!$A$2:$A$190,0)),"")</f>
        <v/>
      </c>
      <c r="D320" s="68" t="inlineStr">
        <is>
          <t>—</t>
        </is>
      </c>
      <c r="E320" s="68" t="inlineStr">
        <is>
          <t>Combien de mandats avez-vous aujourd'hui, et combien sont exclusifs ?</t>
        </is>
      </c>
      <c r="F320" s="68" t="inlineStr">
        <is>
          <t>Plusieurs champs : Mandats · Dont exclusifs</t>
        </is>
      </c>
      <c r="G320" s="96" t="inlineStr">
        <is>
          <t>Demandée</t>
        </is>
      </c>
      <c r="H320" s="67" t="inlineStr">
        <is>
          <t>Essentiel</t>
        </is>
      </c>
      <c r="I320" s="68" t="inlineStr">
        <is>
          <t>—</t>
        </is>
      </c>
      <c r="J320" s="68" t="inlineStr">
        <is>
          <t>—</t>
        </is>
      </c>
      <c r="K320" s="67" t="inlineStr">
        <is>
          <t>●</t>
        </is>
      </c>
      <c r="L320" s="67" t="inlineStr">
        <is>
          <t>●</t>
        </is>
      </c>
      <c r="M320" s="67" t="inlineStr">
        <is>
          <t>●</t>
        </is>
      </c>
      <c r="N320" s="67" t="inlineStr">
        <is>
          <t>●</t>
        </is>
      </c>
      <c r="O320" s="67" t="inlineStr">
        <is>
          <t>●</t>
        </is>
      </c>
      <c r="P320" s="67" t="inlineStr">
        <is>
          <t>●</t>
        </is>
      </c>
      <c r="Q320" s="67" t="inlineStr">
        <is>
          <t>●</t>
        </is>
      </c>
      <c r="R320" s="67" t="inlineStr">
        <is>
          <t>●</t>
        </is>
      </c>
      <c r="S320" s="68" t="inlineStr">
        <is>
          <t>—</t>
        </is>
      </c>
      <c r="T320" s="68" t="inlineStr">
        <is>
          <t>—</t>
        </is>
      </c>
      <c r="U320" s="68" t="inlineStr">
        <is>
          <t>—</t>
        </is>
      </c>
      <c r="V320" s="68" t="inlineStr">
        <is>
          <t>Lue par l'IA pour adapter le conseil</t>
        </is>
      </c>
      <c r="W320" s="83" t="inlineStr">
        <is>
          <t>Nouveau : module métier, métiers concernés validés le 27 octobre</t>
        </is>
      </c>
      <c r="X320" s="83" t="inlineStr">
        <is>
          <t>Agence immobilière / Transaction ; Agence immobilière / Location (recherche de locataires) ; Agence immobilière / Immobilier d'entreprise (bureaux, locaux commerciaux)</t>
        </is>
      </c>
    </row>
    <row r="321">
      <c r="A321" s="81" t="inlineStr">
        <is>
          <t>ACQ-29.02</t>
        </is>
      </c>
      <c r="B321" s="67" t="inlineStr">
        <is>
          <t>ACQ-29</t>
        </is>
      </c>
      <c r="C321" s="95">
        <f>IFERROR(INDEX(Thèmes!$D$2:$D$190,MATCH(B321,Thèmes!$A$2:$A$190,0)),"")</f>
        <v/>
      </c>
      <c r="D321" s="68" t="inlineStr">
        <is>
          <t>—</t>
        </is>
      </c>
      <c r="E321" s="68" t="inlineStr">
        <is>
          <t>Sur les 12 derniers mois, combien de jours un bien est-il resté en moyenne sur le marché avant de trouver un acquéreur ou un locataire ?</t>
        </is>
      </c>
      <c r="F321" s="68" t="inlineStr">
        <is>
          <t>Jours</t>
        </is>
      </c>
      <c r="G321" s="96" t="inlineStr">
        <is>
          <t>Demandée</t>
        </is>
      </c>
      <c r="H321" s="67" t="inlineStr">
        <is>
          <t>Essentiel</t>
        </is>
      </c>
      <c r="I321" s="68" t="inlineStr">
        <is>
          <t>—</t>
        </is>
      </c>
      <c r="J321" s="68" t="inlineStr">
        <is>
          <t>—</t>
        </is>
      </c>
      <c r="K321" s="67" t="inlineStr">
        <is>
          <t>●</t>
        </is>
      </c>
      <c r="L321" s="67" t="inlineStr">
        <is>
          <t>●</t>
        </is>
      </c>
      <c r="M321" s="67" t="inlineStr">
        <is>
          <t>●</t>
        </is>
      </c>
      <c r="N321" s="67" t="inlineStr">
        <is>
          <t>●</t>
        </is>
      </c>
      <c r="O321" s="67" t="inlineStr">
        <is>
          <t>●</t>
        </is>
      </c>
      <c r="P321" s="67" t="inlineStr">
        <is>
          <t>●</t>
        </is>
      </c>
      <c r="Q321" s="67" t="inlineStr">
        <is>
          <t>●</t>
        </is>
      </c>
      <c r="R321" s="67" t="inlineStr">
        <is>
          <t>●</t>
        </is>
      </c>
      <c r="S321" s="68" t="inlineStr">
        <is>
          <t>—</t>
        </is>
      </c>
      <c r="T321" s="68" t="inlineStr">
        <is>
          <t>—</t>
        </is>
      </c>
      <c r="U321" s="68" t="inlineStr">
        <is>
          <t>—</t>
        </is>
      </c>
      <c r="V321" s="68" t="inlineStr">
        <is>
          <t>Lue par l'IA pour adapter le conseil</t>
        </is>
      </c>
      <c r="W321" s="83" t="inlineStr">
        <is>
          <t>Nouveau : module métier, métiers concernés validés le 27 octobre</t>
        </is>
      </c>
      <c r="X321" s="83" t="inlineStr">
        <is>
          <t>Agence immobilière / Transaction ; Agence immobilière / Location (recherche de locataires) ; Agence immobilière / Immobilier d'entreprise (bureaux, locaux commerciaux)</t>
        </is>
      </c>
    </row>
    <row r="322">
      <c r="A322" s="81" t="inlineStr">
        <is>
          <t>ACQ-29.03</t>
        </is>
      </c>
      <c r="B322" s="67" t="inlineStr">
        <is>
          <t>ACQ-29</t>
        </is>
      </c>
      <c r="C322" s="95">
        <f>IFERROR(INDEX(Thèmes!$D$2:$D$190,MATCH(B322,Thèmes!$A$2:$A$190,0)),"")</f>
        <v/>
      </c>
      <c r="D322" s="68" t="inlineStr">
        <is>
          <t>—</t>
        </is>
      </c>
      <c r="E322" s="68" t="inlineStr">
        <is>
          <t>Sur les 12 derniers mois, quel écart y a-t-il eu en moyenne entre le prix du mandat et le prix signé ?</t>
        </is>
      </c>
      <c r="F322" s="68" t="inlineStr">
        <is>
          <t>%</t>
        </is>
      </c>
      <c r="G322" s="96" t="inlineStr">
        <is>
          <t>Demandée</t>
        </is>
      </c>
      <c r="H322" s="67" t="inlineStr">
        <is>
          <t>Essentiel</t>
        </is>
      </c>
      <c r="I322" s="68" t="inlineStr">
        <is>
          <t>—</t>
        </is>
      </c>
      <c r="J322" s="68" t="inlineStr">
        <is>
          <t>—</t>
        </is>
      </c>
      <c r="K322" s="67" t="inlineStr">
        <is>
          <t>●</t>
        </is>
      </c>
      <c r="L322" s="67" t="inlineStr">
        <is>
          <t>●</t>
        </is>
      </c>
      <c r="M322" s="67" t="inlineStr">
        <is>
          <t>●</t>
        </is>
      </c>
      <c r="N322" s="67" t="inlineStr">
        <is>
          <t>●</t>
        </is>
      </c>
      <c r="O322" s="67" t="inlineStr">
        <is>
          <t>●</t>
        </is>
      </c>
      <c r="P322" s="67" t="inlineStr">
        <is>
          <t>●</t>
        </is>
      </c>
      <c r="Q322" s="67" t="inlineStr">
        <is>
          <t>●</t>
        </is>
      </c>
      <c r="R322" s="67" t="inlineStr">
        <is>
          <t>●</t>
        </is>
      </c>
      <c r="S322" s="68" t="inlineStr">
        <is>
          <t>—</t>
        </is>
      </c>
      <c r="T322" s="68" t="inlineStr">
        <is>
          <t>—</t>
        </is>
      </c>
      <c r="U322" s="68" t="inlineStr">
        <is>
          <t>—</t>
        </is>
      </c>
      <c r="V322" s="68" t="inlineStr">
        <is>
          <t>Lue par l'IA pour adapter le conseil</t>
        </is>
      </c>
      <c r="W322" s="83" t="inlineStr">
        <is>
          <t>Nouveau : module métier, métiers concernés validés le 27 octobre</t>
        </is>
      </c>
      <c r="X322" s="83" t="inlineStr">
        <is>
          <t>Agence immobilière / Transaction ; Agence immobilière / Location (recherche de locataires) ; Agence immobilière / Immobilier d'entreprise (bureaux, locaux commerciaux)</t>
        </is>
      </c>
    </row>
    <row r="323">
      <c r="A323" s="81" t="inlineStr">
        <is>
          <t>ACQ-29.04</t>
        </is>
      </c>
      <c r="B323" s="67" t="inlineStr">
        <is>
          <t>ACQ-29</t>
        </is>
      </c>
      <c r="C323" s="95">
        <f>IFERROR(INDEX(Thèmes!$D$2:$D$190,MATCH(B323,Thèmes!$A$2:$A$190,0)),"")</f>
        <v/>
      </c>
      <c r="D323" s="68" t="inlineStr">
        <is>
          <t>—</t>
        </is>
      </c>
      <c r="E323" s="68" t="inlineStr">
        <is>
          <t>Aujourd'hui, combien de vos mandats sont sur le marché depuis plus de 3 mois sans aucune offre ?</t>
        </is>
      </c>
      <c r="F323" s="68" t="inlineStr">
        <is>
          <t>Nombre</t>
        </is>
      </c>
      <c r="G323" s="96" t="inlineStr">
        <is>
          <t>Demandée</t>
        </is>
      </c>
      <c r="H323" s="67" t="inlineStr">
        <is>
          <t>Approfondi</t>
        </is>
      </c>
      <c r="I323" s="68" t="inlineStr">
        <is>
          <t>—</t>
        </is>
      </c>
      <c r="J323" s="68" t="inlineStr">
        <is>
          <t>—</t>
        </is>
      </c>
      <c r="K323" s="67" t="inlineStr">
        <is>
          <t>●</t>
        </is>
      </c>
      <c r="L323" s="67" t="inlineStr">
        <is>
          <t>●</t>
        </is>
      </c>
      <c r="M323" s="67" t="inlineStr">
        <is>
          <t>●</t>
        </is>
      </c>
      <c r="N323" s="67" t="inlineStr">
        <is>
          <t>●</t>
        </is>
      </c>
      <c r="O323" s="67" t="inlineStr">
        <is>
          <t>●</t>
        </is>
      </c>
      <c r="P323" s="67" t="inlineStr">
        <is>
          <t>●</t>
        </is>
      </c>
      <c r="Q323" s="67" t="inlineStr">
        <is>
          <t>●</t>
        </is>
      </c>
      <c r="R323" s="67" t="inlineStr">
        <is>
          <t>●</t>
        </is>
      </c>
      <c r="S323" s="68" t="inlineStr">
        <is>
          <t>—</t>
        </is>
      </c>
      <c r="T323" s="68" t="inlineStr">
        <is>
          <t>—</t>
        </is>
      </c>
      <c r="U323" s="68" t="inlineStr">
        <is>
          <t>—</t>
        </is>
      </c>
      <c r="V323" s="68" t="inlineStr">
        <is>
          <t>Lue par l'IA pour adapter le conseil</t>
        </is>
      </c>
      <c r="W323" s="83" t="inlineStr">
        <is>
          <t>Nouveau : module métier, métiers concernés validés le 27 octobre</t>
        </is>
      </c>
      <c r="X323" s="83" t="inlineStr">
        <is>
          <t>Agence immobilière / Transaction ; Agence immobilière / Location (recherche de locataires) ; Agence immobilière / Immobilier d'entreprise (bureaux, locaux commerciaux)</t>
        </is>
      </c>
    </row>
    <row r="324">
      <c r="A324" s="81" t="inlineStr">
        <is>
          <t>ACQ-30.01</t>
        </is>
      </c>
      <c r="B324" s="67" t="inlineStr">
        <is>
          <t>ACQ-30</t>
        </is>
      </c>
      <c r="C324" s="95">
        <f>IFERROR(INDEX(Thèmes!$D$2:$D$190,MATCH(B324,Thèmes!$A$2:$A$190,0)),"")</f>
        <v/>
      </c>
      <c r="D324" s="68" t="inlineStr">
        <is>
          <t>—</t>
        </is>
      </c>
      <c r="E324" s="68" t="inlineStr">
        <is>
          <t>Pour chaque étape, y a-t-il quelque chose d'important que vos chiffres ne montrent pas ?</t>
        </is>
      </c>
      <c r="F324" s="68" t="inlineStr">
        <is>
          <t>Tableau : Ce que vos chiffres ne montrent pas (lignes fixes)</t>
        </is>
      </c>
      <c r="G324" s="96" t="inlineStr">
        <is>
          <t>Demandée</t>
        </is>
      </c>
      <c r="H324" s="67" t="inlineStr">
        <is>
          <t>Essentiel</t>
        </is>
      </c>
      <c r="I324" s="68" t="inlineStr">
        <is>
          <t>—</t>
        </is>
      </c>
      <c r="J324" s="68" t="inlineStr">
        <is>
          <t>—</t>
        </is>
      </c>
      <c r="K324" s="67" t="inlineStr">
        <is>
          <t>●</t>
        </is>
      </c>
      <c r="L324" s="67" t="inlineStr">
        <is>
          <t>●</t>
        </is>
      </c>
      <c r="M324" s="67" t="inlineStr">
        <is>
          <t>●</t>
        </is>
      </c>
      <c r="N324" s="67" t="inlineStr">
        <is>
          <t>●</t>
        </is>
      </c>
      <c r="O324" s="67" t="inlineStr">
        <is>
          <t>●</t>
        </is>
      </c>
      <c r="P324" s="67" t="inlineStr">
        <is>
          <t>●</t>
        </is>
      </c>
      <c r="Q324" s="67" t="inlineStr">
        <is>
          <t>●</t>
        </is>
      </c>
      <c r="R324" s="67" t="inlineStr">
        <is>
          <t>●</t>
        </is>
      </c>
      <c r="S324" s="68" t="inlineStr">
        <is>
          <t>—</t>
        </is>
      </c>
      <c r="T324" s="68" t="inlineStr">
        <is>
          <t>—</t>
        </is>
      </c>
      <c r="U324" s="68" t="inlineStr">
        <is>
          <t>—</t>
        </is>
      </c>
      <c r="V324" s="68" t="inlineStr">
        <is>
          <t>Lue par l'IA pour adapter le conseil</t>
        </is>
      </c>
      <c r="W324" s="83" t="inlineStr">
        <is>
          <t>Nouveau : profils et condition proposés, à valider</t>
        </is>
      </c>
    </row>
  </sheetData>
  <autoFilter ref="A1:X324"/>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W240"/>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10" customWidth="1" style="52" min="1" max="1"/>
    <col width="8" customWidth="1" style="52" min="2" max="2"/>
    <col width="18" customWidth="1" style="52" min="3" max="3"/>
    <col width="22" customWidth="1" style="52" min="4" max="4"/>
    <col width="46" customWidth="1" style="52" min="5" max="5"/>
    <col width="18" customWidth="1" style="52" min="6" max="6"/>
    <col width="11" customWidth="1" style="52" min="7" max="8"/>
    <col width="20" customWidth="1" style="52" min="9" max="10"/>
    <col width="6.51" customWidth="1" style="52" min="11" max="18"/>
    <col width="16" customWidth="1" style="52" min="19" max="19"/>
    <col width="42" customWidth="1" style="52" min="20" max="20"/>
    <col width="22" customWidth="1" style="52" min="21" max="21"/>
    <col width="26" customWidth="1" style="52" min="22" max="22"/>
    <col width="30" customWidth="1" style="52" min="23" max="23"/>
  </cols>
  <sheetData>
    <row r="1" ht="31.5" customHeight="1" s="53">
      <c r="A1" s="75" t="inlineStr">
        <is>
          <t>Code</t>
        </is>
      </c>
      <c r="B1" s="75" t="inlineStr">
        <is>
          <t>Thème</t>
        </is>
      </c>
      <c r="C1" s="75" t="inlineStr">
        <is>
          <t>Nom du thème</t>
        </is>
      </c>
      <c r="D1" s="75" t="inlineStr">
        <is>
          <t>Écran</t>
        </is>
      </c>
      <c r="E1" s="75" t="inlineStr">
        <is>
          <t>Donnée</t>
        </is>
      </c>
      <c r="F1" s="75" t="inlineStr">
        <is>
          <t>Format de réponse</t>
        </is>
      </c>
      <c r="G1" s="75" t="inlineStr">
        <is>
          <t>Mode</t>
        </is>
      </c>
      <c r="H1" s="75" t="inlineStr">
        <is>
          <t>Niveau</t>
        </is>
      </c>
      <c r="I1" s="75" t="inlineStr">
        <is>
          <t>Condition d'affichage</t>
        </is>
      </c>
      <c r="J1" s="75" t="inlineStr">
        <is>
          <t>Période (selon l'ancienneté)</t>
        </is>
      </c>
      <c r="K1" s="75" t="inlineStr">
        <is>
          <t>RDV</t>
        </is>
      </c>
      <c r="L1" s="75" t="inlineStr">
        <is>
          <t>Commerce</t>
        </is>
      </c>
      <c r="M1" s="75" t="inlineStr">
        <is>
          <t>E-commerce</t>
        </is>
      </c>
      <c r="N1" s="75" t="inlineStr">
        <is>
          <t>Restaurant</t>
        </is>
      </c>
      <c r="O1" s="75" t="inlineStr">
        <is>
          <t>Chantier</t>
        </is>
      </c>
      <c r="P1" s="75" t="inlineStr">
        <is>
          <t>B2B</t>
        </is>
      </c>
      <c r="Q1" s="75" t="inlineStr">
        <is>
          <t>Abonnement</t>
        </is>
      </c>
      <c r="R1" s="75" t="inlineStr">
        <is>
          <t>Location</t>
        </is>
      </c>
      <c r="S1" s="75" t="inlineStr">
        <is>
          <t>Sert à</t>
        </is>
      </c>
      <c r="T1" s="75" t="inlineStr">
        <is>
          <t>Calcul ou source</t>
        </is>
      </c>
      <c r="U1" s="75" t="inlineStr">
        <is>
          <t>Données utilisées</t>
        </is>
      </c>
      <c r="V1" s="75" t="inlineStr">
        <is>
          <t>Utilisée dans</t>
        </is>
      </c>
      <c r="W1" s="75" t="inlineStr">
        <is>
          <t>Changement du 20 oct.</t>
        </is>
      </c>
    </row>
    <row r="2" ht="23.85" customHeight="1" s="53">
      <c r="A2" s="81" t="inlineStr">
        <is>
          <t>FIN-01.01</t>
        </is>
      </c>
      <c r="B2" s="67" t="inlineStr">
        <is>
          <t>FIN-01</t>
        </is>
      </c>
      <c r="C2" s="95">
        <f>IFERROR(INDEX(Thèmes!$D$2:$D$190,MATCH(B2,Thèmes!$A$2:$A$190,0)),"")</f>
        <v/>
      </c>
      <c r="D2" s="68" t="inlineStr">
        <is>
          <t>A14 · Vos prix et remises</t>
        </is>
      </c>
      <c r="E2" s="68" t="inlineStr">
        <is>
          <t>Prix de vos 3 offres principales</t>
        </is>
      </c>
      <c r="F2" s="68" t="inlineStr">
        <is>
          <t>€ (3 lignes)</t>
        </is>
      </c>
      <c r="G2" s="66" t="inlineStr">
        <is>
          <t>Partagée</t>
        </is>
      </c>
      <c r="H2" s="67" t="inlineStr">
        <is>
          <t>Essentiel</t>
        </is>
      </c>
      <c r="I2" s="68" t="inlineStr">
        <is>
          <t>—</t>
        </is>
      </c>
      <c r="J2" s="68" t="inlineStr">
        <is>
          <t>—</t>
        </is>
      </c>
      <c r="K2" s="67" t="inlineStr">
        <is>
          <t>●</t>
        </is>
      </c>
      <c r="L2" s="67" t="inlineStr">
        <is>
          <t>●</t>
        </is>
      </c>
      <c r="M2" s="67" t="inlineStr">
        <is>
          <t>●</t>
        </is>
      </c>
      <c r="N2" s="67" t="inlineStr">
        <is>
          <t>●</t>
        </is>
      </c>
      <c r="O2" s="67" t="inlineStr">
        <is>
          <t>●</t>
        </is>
      </c>
      <c r="P2" s="67" t="inlineStr">
        <is>
          <t>●</t>
        </is>
      </c>
      <c r="Q2" s="67" t="inlineStr">
        <is>
          <t>●</t>
        </is>
      </c>
      <c r="R2" s="67" t="inlineStr">
        <is>
          <t>●</t>
        </is>
      </c>
      <c r="S2" s="68" t="inlineStr">
        <is>
          <t>Cible</t>
        </is>
      </c>
      <c r="T2" s="68" t="inlineStr">
        <is>
          <t>Posée une seule fois, par le premier agent souscrit qui en a besoin (ACQ-13.01), sinon ici</t>
        </is>
      </c>
      <c r="U2" s="68" t="inlineStr">
        <is>
          <t>ACQ-13.01</t>
        </is>
      </c>
      <c r="V2" s="68" t="inlineStr">
        <is>
          <t>FIN-01.04, FIN-03.03</t>
        </is>
      </c>
      <c r="W2" s="83" t="n"/>
    </row>
    <row r="3" ht="23.85" customHeight="1" s="53">
      <c r="A3" s="81" t="inlineStr">
        <is>
          <t>FIN-01.02</t>
        </is>
      </c>
      <c r="B3" s="67" t="inlineStr">
        <is>
          <t>FIN-01</t>
        </is>
      </c>
      <c r="C3" s="95">
        <f>IFERROR(INDEX(Thèmes!$D$2:$D$190,MATCH(B3,Thèmes!$A$2:$A$190,0)),"")</f>
        <v/>
      </c>
      <c r="D3" s="68" t="inlineStr">
        <is>
          <t>A14 · Vos prix et remises</t>
        </is>
      </c>
      <c r="E3" s="68" t="inlineStr">
        <is>
          <t>Part du CA de chacune de ces offres</t>
        </is>
      </c>
      <c r="F3" s="68" t="inlineStr">
        <is>
          <t>% (3 lignes)</t>
        </is>
      </c>
      <c r="G3" s="66" t="inlineStr">
        <is>
          <t>Partagée</t>
        </is>
      </c>
      <c r="H3" s="67" t="inlineStr">
        <is>
          <t>Essentiel</t>
        </is>
      </c>
      <c r="I3" s="68" t="inlineStr">
        <is>
          <t>—</t>
        </is>
      </c>
      <c r="J3" s="68" t="inlineStr">
        <is>
          <t>—</t>
        </is>
      </c>
      <c r="K3" s="67" t="inlineStr">
        <is>
          <t>●</t>
        </is>
      </c>
      <c r="L3" s="67" t="inlineStr">
        <is>
          <t>●</t>
        </is>
      </c>
      <c r="M3" s="67" t="inlineStr">
        <is>
          <t>●</t>
        </is>
      </c>
      <c r="N3" s="67" t="inlineStr">
        <is>
          <t>●</t>
        </is>
      </c>
      <c r="O3" s="67" t="inlineStr">
        <is>
          <t>●</t>
        </is>
      </c>
      <c r="P3" s="67" t="inlineStr">
        <is>
          <t>●</t>
        </is>
      </c>
      <c r="Q3" s="67" t="inlineStr">
        <is>
          <t>●</t>
        </is>
      </c>
      <c r="R3" s="67" t="inlineStr">
        <is>
          <t>●</t>
        </is>
      </c>
      <c r="S3" s="68" t="inlineStr">
        <is>
          <t>Levier</t>
        </is>
      </c>
      <c r="T3" s="68" t="inlineStr">
        <is>
          <t>Posée une seule fois, par le premier agent souscrit qui en a besoin (ACQ-13.02), sinon ici</t>
        </is>
      </c>
      <c r="U3" s="68" t="inlineStr">
        <is>
          <t>ACQ-13.02</t>
        </is>
      </c>
      <c r="V3" s="68" t="inlineStr">
        <is>
          <t>FIN-01.06, XF34</t>
        </is>
      </c>
      <c r="W3" s="83" t="n"/>
    </row>
    <row r="4" ht="35.05" customHeight="1" s="53">
      <c r="A4" s="81" t="inlineStr">
        <is>
          <t>FIN-01.03</t>
        </is>
      </c>
      <c r="B4" s="67" t="inlineStr">
        <is>
          <t>FIN-01</t>
        </is>
      </c>
      <c r="C4" s="95">
        <f>IFERROR(INDEX(Thèmes!$D$2:$D$190,MATCH(B4,Thèmes!$A$2:$A$190,0)),"")</f>
        <v/>
      </c>
      <c r="D4" s="68" t="inlineStr">
        <is>
          <t>F06 · Vos marges (tableau par offre)</t>
        </is>
      </c>
      <c r="E4" s="68" t="inlineStr">
        <is>
          <t>Coût direct de chacune de ces 3 offres (matières ou marchandises, sous-traitance, temps passé) — mot adapté au métier : voir Lexique</t>
        </is>
      </c>
      <c r="F4" s="68" t="inlineStr">
        <is>
          <t>€ (3 lignes)</t>
        </is>
      </c>
      <c r="G4" s="67" t="inlineStr">
        <is>
          <t>Demandée</t>
        </is>
      </c>
      <c r="H4" s="67" t="inlineStr">
        <is>
          <t>Essentiel</t>
        </is>
      </c>
      <c r="I4" s="68" t="inlineStr">
        <is>
          <t>—</t>
        </is>
      </c>
      <c r="J4" s="68" t="inlineStr">
        <is>
          <t>—</t>
        </is>
      </c>
      <c r="K4" s="67" t="inlineStr">
        <is>
          <t>●</t>
        </is>
      </c>
      <c r="L4" s="67" t="inlineStr">
        <is>
          <t>●</t>
        </is>
      </c>
      <c r="M4" s="67" t="inlineStr">
        <is>
          <t>●</t>
        </is>
      </c>
      <c r="N4" s="67" t="inlineStr">
        <is>
          <t>●</t>
        </is>
      </c>
      <c r="O4" s="67" t="inlineStr">
        <is>
          <t>●</t>
        </is>
      </c>
      <c r="P4" s="67" t="inlineStr">
        <is>
          <t>●</t>
        </is>
      </c>
      <c r="Q4" s="67" t="inlineStr">
        <is>
          <t>●</t>
        </is>
      </c>
      <c r="R4" s="67" t="inlineStr">
        <is>
          <t>●</t>
        </is>
      </c>
      <c r="S4" s="68" t="inlineStr">
        <is>
          <t>Levier</t>
        </is>
      </c>
      <c r="T4" s="68" t="inlineStr">
        <is>
          <t>—</t>
        </is>
      </c>
      <c r="U4" s="68" t="inlineStr">
        <is>
          <t>—</t>
        </is>
      </c>
      <c r="V4" s="68" t="inlineStr">
        <is>
          <t>FIN-01.04, FIN-03.02</t>
        </is>
      </c>
      <c r="W4" s="83" t="n"/>
    </row>
    <row r="5" ht="15" customHeight="1" s="53">
      <c r="A5" s="81" t="inlineStr">
        <is>
          <t>FIN-01.04</t>
        </is>
      </c>
      <c r="B5" s="67" t="inlineStr">
        <is>
          <t>FIN-01</t>
        </is>
      </c>
      <c r="C5" s="95">
        <f>IFERROR(INDEX(Thèmes!$D$2:$D$190,MATCH(B5,Thèmes!$A$2:$A$190,0)),"")</f>
        <v/>
      </c>
      <c r="D5" s="68" t="inlineStr">
        <is>
          <t>—</t>
        </is>
      </c>
      <c r="E5" s="68" t="inlineStr">
        <is>
          <t>Marge par offre, en € et en %</t>
        </is>
      </c>
      <c r="F5" s="68" t="inlineStr">
        <is>
          <t>€ et %</t>
        </is>
      </c>
      <c r="G5" s="96" t="inlineStr">
        <is>
          <t>Calculée</t>
        </is>
      </c>
      <c r="H5" s="67" t="inlineStr">
        <is>
          <t>—</t>
        </is>
      </c>
      <c r="I5" s="68" t="inlineStr">
        <is>
          <t>—</t>
        </is>
      </c>
      <c r="J5" s="68" t="inlineStr">
        <is>
          <t>—</t>
        </is>
      </c>
      <c r="K5" s="67" t="inlineStr">
        <is>
          <t>●</t>
        </is>
      </c>
      <c r="L5" s="67" t="inlineStr">
        <is>
          <t>●</t>
        </is>
      </c>
      <c r="M5" s="67" t="inlineStr">
        <is>
          <t>●</t>
        </is>
      </c>
      <c r="N5" s="67" t="inlineStr">
        <is>
          <t>●</t>
        </is>
      </c>
      <c r="O5" s="67" t="inlineStr">
        <is>
          <t>●</t>
        </is>
      </c>
      <c r="P5" s="67" t="inlineStr">
        <is>
          <t>●</t>
        </is>
      </c>
      <c r="Q5" s="67" t="inlineStr">
        <is>
          <t>●</t>
        </is>
      </c>
      <c r="R5" s="67" t="inlineStr">
        <is>
          <t>●</t>
        </is>
      </c>
      <c r="S5" s="68" t="inlineStr">
        <is>
          <t>Levier</t>
        </is>
      </c>
      <c r="T5" s="68" t="inlineStr">
        <is>
          <t>Prix − coût direct, puis ÷ prix</t>
        </is>
      </c>
      <c r="U5" s="68" t="inlineStr">
        <is>
          <t>ACQ-13.01, FIN-01.03</t>
        </is>
      </c>
      <c r="V5" s="68" t="inlineStr">
        <is>
          <t>FIN-01.05, FIN-01.06, XF34</t>
        </is>
      </c>
      <c r="W5" s="83" t="n"/>
    </row>
    <row r="6" ht="15" customHeight="1" s="53">
      <c r="A6" s="81" t="inlineStr">
        <is>
          <t>FIN-01.05</t>
        </is>
      </c>
      <c r="B6" s="67" t="inlineStr">
        <is>
          <t>FIN-01</t>
        </is>
      </c>
      <c r="C6" s="95">
        <f>IFERROR(INDEX(Thèmes!$D$2:$D$190,MATCH(B6,Thèmes!$A$2:$A$190,0)),"")</f>
        <v/>
      </c>
      <c r="D6" s="68" t="inlineStr">
        <is>
          <t>—</t>
        </is>
      </c>
      <c r="E6" s="68" t="inlineStr">
        <is>
          <t>Écart de marge entre l'offre la plus et la moins rentable</t>
        </is>
      </c>
      <c r="F6" s="68" t="inlineStr">
        <is>
          <t>Points de %</t>
        </is>
      </c>
      <c r="G6" s="96" t="inlineStr">
        <is>
          <t>Calculée</t>
        </is>
      </c>
      <c r="H6" s="67" t="inlineStr">
        <is>
          <t>—</t>
        </is>
      </c>
      <c r="I6" s="68" t="inlineStr">
        <is>
          <t>—</t>
        </is>
      </c>
      <c r="J6" s="68" t="inlineStr">
        <is>
          <t>—</t>
        </is>
      </c>
      <c r="K6" s="67" t="inlineStr">
        <is>
          <t>●</t>
        </is>
      </c>
      <c r="L6" s="67" t="inlineStr">
        <is>
          <t>●</t>
        </is>
      </c>
      <c r="M6" s="67" t="inlineStr">
        <is>
          <t>●</t>
        </is>
      </c>
      <c r="N6" s="67" t="inlineStr">
        <is>
          <t>●</t>
        </is>
      </c>
      <c r="O6" s="67" t="inlineStr">
        <is>
          <t>●</t>
        </is>
      </c>
      <c r="P6" s="67" t="inlineStr">
        <is>
          <t>●</t>
        </is>
      </c>
      <c r="Q6" s="67" t="inlineStr">
        <is>
          <t>●</t>
        </is>
      </c>
      <c r="R6" s="67" t="inlineStr">
        <is>
          <t>●</t>
        </is>
      </c>
      <c r="S6" s="68" t="inlineStr">
        <is>
          <t>Problème</t>
        </is>
      </c>
      <c r="T6" s="68" t="inlineStr">
        <is>
          <t>Marge la plus haute − marge la plus basse</t>
        </is>
      </c>
      <c r="U6" s="68" t="inlineStr">
        <is>
          <t>FIN-01.04</t>
        </is>
      </c>
      <c r="V6" s="68" t="inlineStr">
        <is>
          <t>Affichée dans le rapport</t>
        </is>
      </c>
      <c r="W6" s="83" t="n"/>
    </row>
    <row r="7" ht="23.85" customHeight="1" s="53">
      <c r="A7" s="81" t="inlineStr">
        <is>
          <t>FIN-01.06</t>
        </is>
      </c>
      <c r="B7" s="67" t="inlineStr">
        <is>
          <t>FIN-01</t>
        </is>
      </c>
      <c r="C7" s="95">
        <f>IFERROR(INDEX(Thèmes!$D$2:$D$190,MATCH(B7,Thèmes!$A$2:$A$190,0)),"")</f>
        <v/>
      </c>
      <c r="D7" s="68" t="inlineStr">
        <is>
          <t>—</t>
        </is>
      </c>
      <c r="E7" s="68" t="inlineStr">
        <is>
          <t>Marge moyenne pondérée par le poids de chaque offre dans le CA</t>
        </is>
      </c>
      <c r="F7" s="68" t="inlineStr">
        <is>
          <t>%</t>
        </is>
      </c>
      <c r="G7" s="96" t="inlineStr">
        <is>
          <t>Calculée</t>
        </is>
      </c>
      <c r="H7" s="67" t="inlineStr">
        <is>
          <t>—</t>
        </is>
      </c>
      <c r="I7" s="68" t="inlineStr">
        <is>
          <t>—</t>
        </is>
      </c>
      <c r="J7" s="68" t="inlineStr">
        <is>
          <t>—</t>
        </is>
      </c>
      <c r="K7" s="67" t="inlineStr">
        <is>
          <t>●</t>
        </is>
      </c>
      <c r="L7" s="67" t="inlineStr">
        <is>
          <t>●</t>
        </is>
      </c>
      <c r="M7" s="67" t="inlineStr">
        <is>
          <t>●</t>
        </is>
      </c>
      <c r="N7" s="67" t="inlineStr">
        <is>
          <t>●</t>
        </is>
      </c>
      <c r="O7" s="67" t="inlineStr">
        <is>
          <t>●</t>
        </is>
      </c>
      <c r="P7" s="67" t="inlineStr">
        <is>
          <t>●</t>
        </is>
      </c>
      <c r="Q7" s="67" t="inlineStr">
        <is>
          <t>●</t>
        </is>
      </c>
      <c r="R7" s="67" t="inlineStr">
        <is>
          <t>●</t>
        </is>
      </c>
      <c r="S7" s="68" t="inlineStr">
        <is>
          <t>Mesure</t>
        </is>
      </c>
      <c r="T7" s="68" t="inlineStr">
        <is>
          <t>Somme (marge de l'offre × part du CA de l'offre)</t>
        </is>
      </c>
      <c r="U7" s="68" t="inlineStr">
        <is>
          <t>FIN-01.04, ACQ-13.02</t>
        </is>
      </c>
      <c r="V7" s="68" t="inlineStr">
        <is>
          <t>XF34</t>
        </is>
      </c>
      <c r="W7" s="83" t="n"/>
    </row>
    <row r="8" ht="23.85" customHeight="1" s="53">
      <c r="A8" s="85" t="inlineStr">
        <is>
          <t>FIN-02.01</t>
        </is>
      </c>
      <c r="B8" s="89" t="inlineStr">
        <is>
          <t>FIN-02</t>
        </is>
      </c>
      <c r="C8" s="97">
        <f>IFERROR(INDEX(Thèmes!$D$2:$D$190,MATCH(B8,Thèmes!$A$2:$A$190,0)),"")</f>
        <v/>
      </c>
      <c r="D8" s="86" t="inlineStr">
        <is>
          <t>A16 · Vos plus gros clients (tableau)</t>
        </is>
      </c>
      <c r="E8" s="86" t="inlineStr">
        <is>
          <t>Temps passé par mois sur chacun de vos 5 plus gros clients (colonne ajoutée au tableau des gros clients)</t>
        </is>
      </c>
      <c r="F8" s="86" t="inlineStr">
        <is>
          <t>Heures (5 lignes)</t>
        </is>
      </c>
      <c r="G8" s="89" t="inlineStr">
        <is>
          <t>Demandée</t>
        </is>
      </c>
      <c r="H8" s="89" t="inlineStr">
        <is>
          <t>Essentiel</t>
        </is>
      </c>
      <c r="I8" s="100" t="inlineStr">
        <is>
          <t>D15 · si clients professionnels réguliers</t>
        </is>
      </c>
      <c r="J8" s="86" t="inlineStr">
        <is>
          <t>—</t>
        </is>
      </c>
      <c r="K8" s="89" t="n"/>
      <c r="L8" s="89" t="n"/>
      <c r="M8" s="89" t="n"/>
      <c r="N8" s="89" t="n"/>
      <c r="O8" s="89" t="n"/>
      <c r="P8" s="89" t="inlineStr">
        <is>
          <t>●</t>
        </is>
      </c>
      <c r="Q8" s="89" t="inlineStr">
        <is>
          <t>●</t>
        </is>
      </c>
      <c r="R8" s="89" t="n"/>
      <c r="S8" s="86" t="inlineStr">
        <is>
          <t>Levier</t>
        </is>
      </c>
      <c r="T8" s="86" t="inlineStr">
        <is>
          <t>—</t>
        </is>
      </c>
      <c r="U8" s="86" t="inlineStr">
        <is>
          <t>—</t>
        </is>
      </c>
      <c r="V8" s="86" t="inlineStr">
        <is>
          <t>FIN-02.02</t>
        </is>
      </c>
      <c r="W8" s="91" t="n"/>
    </row>
    <row r="9" ht="23.85" customHeight="1" s="53">
      <c r="A9" s="81" t="inlineStr">
        <is>
          <t>FIN-02.02</t>
        </is>
      </c>
      <c r="B9" s="67" t="inlineStr">
        <is>
          <t>FIN-02</t>
        </is>
      </c>
      <c r="C9" s="95">
        <f>IFERROR(INDEX(Thèmes!$D$2:$D$190,MATCH(B9,Thèmes!$A$2:$A$190,0)),"")</f>
        <v/>
      </c>
      <c r="D9" s="68" t="inlineStr">
        <is>
          <t>—</t>
        </is>
      </c>
      <c r="E9" s="68" t="inlineStr">
        <is>
          <t>Marge réelle de chacun des 5 plus gros clients</t>
        </is>
      </c>
      <c r="F9" s="68" t="inlineStr">
        <is>
          <t>€</t>
        </is>
      </c>
      <c r="G9" s="96" t="inlineStr">
        <is>
          <t>Calculée</t>
        </is>
      </c>
      <c r="H9" s="67" t="inlineStr">
        <is>
          <t>—</t>
        </is>
      </c>
      <c r="I9" s="68" t="inlineStr">
        <is>
          <t>—</t>
        </is>
      </c>
      <c r="J9" s="68" t="inlineStr">
        <is>
          <t>—</t>
        </is>
      </c>
      <c r="K9" s="67" t="n"/>
      <c r="L9" s="67" t="n"/>
      <c r="M9" s="67" t="n"/>
      <c r="N9" s="67" t="n"/>
      <c r="O9" s="67" t="n"/>
      <c r="P9" s="67" t="inlineStr">
        <is>
          <t>●</t>
        </is>
      </c>
      <c r="Q9" s="67" t="inlineStr">
        <is>
          <t>●</t>
        </is>
      </c>
      <c r="R9" s="67" t="n"/>
      <c r="S9" s="68" t="inlineStr">
        <is>
          <t>Levier</t>
        </is>
      </c>
      <c r="T9" s="68" t="inlineStr">
        <is>
          <t>CA mensuel du client − heures passées × coût d'une heure de travail</t>
        </is>
      </c>
      <c r="U9" s="68" t="inlineStr">
        <is>
          <t>ACQ-16.01, FIN-02.01, FIN-07.12</t>
        </is>
      </c>
      <c r="V9" s="68" t="inlineStr">
        <is>
          <t>FIN-02.03, XF36</t>
        </is>
      </c>
      <c r="W9" s="83" t="n"/>
    </row>
    <row r="10" ht="23.85" customHeight="1" s="53">
      <c r="A10" s="81" t="inlineStr">
        <is>
          <t>FIN-02.03</t>
        </is>
      </c>
      <c r="B10" s="67" t="inlineStr">
        <is>
          <t>FIN-02</t>
        </is>
      </c>
      <c r="C10" s="95">
        <f>IFERROR(INDEX(Thèmes!$D$2:$D$190,MATCH(B10,Thèmes!$A$2:$A$190,0)),"")</f>
        <v/>
      </c>
      <c r="D10" s="68" t="inlineStr">
        <is>
          <t>—</t>
        </is>
      </c>
      <c r="E10" s="68" t="inlineStr">
        <is>
          <t>Clients dont la marge réelle est faible ou négative</t>
        </is>
      </c>
      <c r="F10" s="68" t="inlineStr">
        <is>
          <t>Liste</t>
        </is>
      </c>
      <c r="G10" s="96" t="inlineStr">
        <is>
          <t>Calculée</t>
        </is>
      </c>
      <c r="H10" s="67" t="inlineStr">
        <is>
          <t>—</t>
        </is>
      </c>
      <c r="I10" s="68" t="inlineStr">
        <is>
          <t>—</t>
        </is>
      </c>
      <c r="J10" s="68" t="inlineStr">
        <is>
          <t>—</t>
        </is>
      </c>
      <c r="K10" s="67" t="n"/>
      <c r="L10" s="67" t="n"/>
      <c r="M10" s="67" t="n"/>
      <c r="N10" s="67" t="n"/>
      <c r="O10" s="67" t="n"/>
      <c r="P10" s="67" t="inlineStr">
        <is>
          <t>●</t>
        </is>
      </c>
      <c r="Q10" s="67" t="inlineStr">
        <is>
          <t>●</t>
        </is>
      </c>
      <c r="R10" s="67" t="n"/>
      <c r="S10" s="68" t="inlineStr">
        <is>
          <t>Perte</t>
        </is>
      </c>
      <c r="T10" s="68" t="inlineStr">
        <is>
          <t>Clients dont la marge réelle est inférieure à la marge moyenne de l'entreprise</t>
        </is>
      </c>
      <c r="U10" s="68" t="inlineStr">
        <is>
          <t>FIN-02.02, FIN-06.08</t>
        </is>
      </c>
      <c r="V10" s="68" t="inlineStr">
        <is>
          <t>XF36</t>
        </is>
      </c>
      <c r="W10" s="83" t="n"/>
    </row>
    <row r="11" ht="23.85" customHeight="1" s="53">
      <c r="A11" s="85" t="inlineStr">
        <is>
          <t>FIN-03.01</t>
        </is>
      </c>
      <c r="B11" s="89" t="inlineStr">
        <is>
          <t>FIN-03</t>
        </is>
      </c>
      <c r="C11" s="97">
        <f>IFERROR(INDEX(Thèmes!$D$2:$D$190,MATCH(B11,Thèmes!$A$2:$A$190,0)),"")</f>
        <v/>
      </c>
      <c r="D11" s="86" t="inlineStr">
        <is>
          <t>F06 · Vos marges (tableau par offre)</t>
        </is>
      </c>
      <c r="E11" s="86" t="inlineStr">
        <is>
          <t>Connaissez-vous le coût complet de votre offre principale (y compris sa part de loyer, salaires, frais) ?</t>
        </is>
      </c>
      <c r="F11" s="86" t="inlineStr">
        <is>
          <t>Oui chiffré / estimation / non</t>
        </is>
      </c>
      <c r="G11" s="89" t="inlineStr">
        <is>
          <t>Demandée</t>
        </is>
      </c>
      <c r="H11" s="89" t="inlineStr">
        <is>
          <t>Essentiel</t>
        </is>
      </c>
      <c r="I11" s="86" t="inlineStr">
        <is>
          <t>—</t>
        </is>
      </c>
      <c r="J11" s="86" t="inlineStr">
        <is>
          <t>—</t>
        </is>
      </c>
      <c r="K11" s="89" t="inlineStr">
        <is>
          <t>●</t>
        </is>
      </c>
      <c r="L11" s="89" t="inlineStr">
        <is>
          <t>●</t>
        </is>
      </c>
      <c r="M11" s="89" t="inlineStr">
        <is>
          <t>●</t>
        </is>
      </c>
      <c r="N11" s="89" t="inlineStr">
        <is>
          <t>●</t>
        </is>
      </c>
      <c r="O11" s="89" t="inlineStr">
        <is>
          <t>●</t>
        </is>
      </c>
      <c r="P11" s="89" t="inlineStr">
        <is>
          <t>●</t>
        </is>
      </c>
      <c r="Q11" s="89" t="inlineStr">
        <is>
          <t>●</t>
        </is>
      </c>
      <c r="R11" s="89" t="inlineStr">
        <is>
          <t>●</t>
        </is>
      </c>
      <c r="S11" s="86" t="inlineStr">
        <is>
          <t>Problème</t>
        </is>
      </c>
      <c r="T11" s="86" t="inlineStr">
        <is>
          <t>—</t>
        </is>
      </c>
      <c r="U11" s="86" t="inlineStr">
        <is>
          <t>—</t>
        </is>
      </c>
      <c r="V11" s="86" t="inlineStr">
        <is>
          <t>Notée directement (couleur du thème)</t>
        </is>
      </c>
      <c r="W11" s="91" t="n"/>
    </row>
    <row r="12" ht="23.85" customHeight="1" s="53">
      <c r="A12" s="81" t="inlineStr">
        <is>
          <t>FIN-03.02</t>
        </is>
      </c>
      <c r="B12" s="67" t="inlineStr">
        <is>
          <t>FIN-03</t>
        </is>
      </c>
      <c r="C12" s="95">
        <f>IFERROR(INDEX(Thèmes!$D$2:$D$190,MATCH(B12,Thèmes!$A$2:$A$190,0)),"")</f>
        <v/>
      </c>
      <c r="D12" s="68" t="inlineStr">
        <is>
          <t>—</t>
        </is>
      </c>
      <c r="E12" s="68" t="inlineStr">
        <is>
          <t>Coût complet de chaque offre</t>
        </is>
      </c>
      <c r="F12" s="68" t="inlineStr">
        <is>
          <t>€</t>
        </is>
      </c>
      <c r="G12" s="96" t="inlineStr">
        <is>
          <t>Calculée</t>
        </is>
      </c>
      <c r="H12" s="67" t="inlineStr">
        <is>
          <t>—</t>
        </is>
      </c>
      <c r="I12" s="68" t="inlineStr">
        <is>
          <t>—</t>
        </is>
      </c>
      <c r="J12" s="68" t="inlineStr">
        <is>
          <t>—</t>
        </is>
      </c>
      <c r="K12" s="67" t="inlineStr">
        <is>
          <t>●</t>
        </is>
      </c>
      <c r="L12" s="67" t="inlineStr">
        <is>
          <t>●</t>
        </is>
      </c>
      <c r="M12" s="67" t="inlineStr">
        <is>
          <t>●</t>
        </is>
      </c>
      <c r="N12" s="67" t="inlineStr">
        <is>
          <t>●</t>
        </is>
      </c>
      <c r="O12" s="67" t="inlineStr">
        <is>
          <t>●</t>
        </is>
      </c>
      <c r="P12" s="67" t="inlineStr">
        <is>
          <t>●</t>
        </is>
      </c>
      <c r="Q12" s="67" t="inlineStr">
        <is>
          <t>●</t>
        </is>
      </c>
      <c r="R12" s="67" t="inlineStr">
        <is>
          <t>●</t>
        </is>
      </c>
      <c r="S12" s="68" t="inlineStr">
        <is>
          <t>Levier</t>
        </is>
      </c>
      <c r="T12" s="68" t="inlineStr">
        <is>
          <t>Coût direct + charges fixes mensuelles ÷ ventes du mois</t>
        </is>
      </c>
      <c r="U12" s="68" t="inlineStr">
        <is>
          <t>FIN-01.03, FIN-05.08, FIN-06.02</t>
        </is>
      </c>
      <c r="V12" s="68" t="inlineStr">
        <is>
          <t>FIN-03.03, XF35</t>
        </is>
      </c>
      <c r="W12" s="83" t="n"/>
    </row>
    <row r="13" ht="15" customHeight="1" s="53">
      <c r="A13" s="81" t="inlineStr">
        <is>
          <t>FIN-03.03</t>
        </is>
      </c>
      <c r="B13" s="67" t="inlineStr">
        <is>
          <t>FIN-03</t>
        </is>
      </c>
      <c r="C13" s="95">
        <f>IFERROR(INDEX(Thèmes!$D$2:$D$190,MATCH(B13,Thèmes!$A$2:$A$190,0)),"")</f>
        <v/>
      </c>
      <c r="D13" s="68" t="inlineStr">
        <is>
          <t>—</t>
        </is>
      </c>
      <c r="E13" s="68" t="inlineStr">
        <is>
          <t>Offres vendues sous leur coût complet</t>
        </is>
      </c>
      <c r="F13" s="68" t="inlineStr">
        <is>
          <t>Liste</t>
        </is>
      </c>
      <c r="G13" s="96" t="inlineStr">
        <is>
          <t>Calculée</t>
        </is>
      </c>
      <c r="H13" s="67" t="inlineStr">
        <is>
          <t>—</t>
        </is>
      </c>
      <c r="I13" s="68" t="inlineStr">
        <is>
          <t>—</t>
        </is>
      </c>
      <c r="J13" s="68" t="inlineStr">
        <is>
          <t>—</t>
        </is>
      </c>
      <c r="K13" s="67" t="inlineStr">
        <is>
          <t>●</t>
        </is>
      </c>
      <c r="L13" s="67" t="inlineStr">
        <is>
          <t>●</t>
        </is>
      </c>
      <c r="M13" s="67" t="inlineStr">
        <is>
          <t>●</t>
        </is>
      </c>
      <c r="N13" s="67" t="inlineStr">
        <is>
          <t>●</t>
        </is>
      </c>
      <c r="O13" s="67" t="inlineStr">
        <is>
          <t>●</t>
        </is>
      </c>
      <c r="P13" s="67" t="inlineStr">
        <is>
          <t>●</t>
        </is>
      </c>
      <c r="Q13" s="67" t="inlineStr">
        <is>
          <t>●</t>
        </is>
      </c>
      <c r="R13" s="67" t="inlineStr">
        <is>
          <t>●</t>
        </is>
      </c>
      <c r="S13" s="68" t="inlineStr">
        <is>
          <t>Perte</t>
        </is>
      </c>
      <c r="T13" s="68" t="inlineStr">
        <is>
          <t>Offres dont le prix est inférieur au coût complet</t>
        </is>
      </c>
      <c r="U13" s="68" t="inlineStr">
        <is>
          <t>ACQ-13.01, FIN-03.02</t>
        </is>
      </c>
      <c r="V13" s="68" t="inlineStr">
        <is>
          <t>XF35</t>
        </is>
      </c>
      <c r="W13" s="83" t="n"/>
    </row>
    <row r="14" ht="23.85" customHeight="1" s="53">
      <c r="A14" s="85" t="inlineStr">
        <is>
          <t>FIN-04.01</t>
        </is>
      </c>
      <c r="B14" s="89" t="inlineStr">
        <is>
          <t>FIN-04</t>
        </is>
      </c>
      <c r="C14" s="97">
        <f>IFERROR(INDEX(Thèmes!$D$2:$D$190,MATCH(B14,Thèmes!$A$2:$A$190,0)),"")</f>
        <v/>
      </c>
      <c r="D14" s="86" t="inlineStr">
        <is>
          <t>A14 · Vos prix et remises</t>
        </is>
      </c>
      <c r="E14" s="86" t="inlineStr">
        <is>
          <t>Date et ampleur de votre dernière hausse de prix</t>
        </is>
      </c>
      <c r="F14" s="86" t="inlineStr">
        <is>
          <t>Mois et %</t>
        </is>
      </c>
      <c r="G14" s="88" t="inlineStr">
        <is>
          <t>Partagée</t>
        </is>
      </c>
      <c r="H14" s="89" t="inlineStr">
        <is>
          <t>Essentiel</t>
        </is>
      </c>
      <c r="I14" s="86" t="inlineStr">
        <is>
          <t>—</t>
        </is>
      </c>
      <c r="J14" s="86" t="inlineStr">
        <is>
          <t>—</t>
        </is>
      </c>
      <c r="K14" s="89" t="inlineStr">
        <is>
          <t>●</t>
        </is>
      </c>
      <c r="L14" s="89" t="inlineStr">
        <is>
          <t>●</t>
        </is>
      </c>
      <c r="M14" s="89" t="inlineStr">
        <is>
          <t>●</t>
        </is>
      </c>
      <c r="N14" s="89" t="inlineStr">
        <is>
          <t>●</t>
        </is>
      </c>
      <c r="O14" s="89" t="inlineStr">
        <is>
          <t>●</t>
        </is>
      </c>
      <c r="P14" s="89" t="inlineStr">
        <is>
          <t>●</t>
        </is>
      </c>
      <c r="Q14" s="89" t="inlineStr">
        <is>
          <t>●</t>
        </is>
      </c>
      <c r="R14" s="89" t="inlineStr">
        <is>
          <t>●</t>
        </is>
      </c>
      <c r="S14" s="86" t="inlineStr">
        <is>
          <t>Problème</t>
        </is>
      </c>
      <c r="T14" s="86" t="inlineStr">
        <is>
          <t>Posée une seule fois, par le premier agent souscrit qui en a besoin (ACQ-13.04, ACQ-13.06), sinon ici</t>
        </is>
      </c>
      <c r="U14" s="86" t="inlineStr">
        <is>
          <t>ACQ-13.04, ACQ-13.06</t>
        </is>
      </c>
      <c r="V14" s="86" t="inlineStr">
        <is>
          <t>XF09, FIN-04.04</t>
        </is>
      </c>
      <c r="W14" s="91" t="n"/>
    </row>
    <row r="15" ht="23.85" customHeight="1" s="53">
      <c r="A15" s="81" t="inlineStr">
        <is>
          <t>FIN-04.02</t>
        </is>
      </c>
      <c r="B15" s="67" t="inlineStr">
        <is>
          <t>FIN-04</t>
        </is>
      </c>
      <c r="C15" s="95">
        <f>IFERROR(INDEX(Thèmes!$D$2:$D$190,MATCH(B15,Thèmes!$A$2:$A$190,0)),"")</f>
        <v/>
      </c>
      <c r="D15" s="68" t="inlineStr">
        <is>
          <t>—</t>
        </is>
      </c>
      <c r="E15" s="68" t="inlineStr">
        <is>
          <t>Taux de marge sur coûts variables il y a 12 mois</t>
        </is>
      </c>
      <c r="F15" s="68" t="inlineStr">
        <is>
          <t>%</t>
        </is>
      </c>
      <c r="G15" s="96" t="inlineStr">
        <is>
          <t>Calculée</t>
        </is>
      </c>
      <c r="H15" s="67" t="inlineStr">
        <is>
          <t>—</t>
        </is>
      </c>
      <c r="I15" s="68" t="inlineStr">
        <is>
          <t>—</t>
        </is>
      </c>
      <c r="J15" s="68" t="inlineStr">
        <is>
          <t>—</t>
        </is>
      </c>
      <c r="K15" s="67" t="inlineStr">
        <is>
          <t>●</t>
        </is>
      </c>
      <c r="L15" s="67" t="inlineStr">
        <is>
          <t>●</t>
        </is>
      </c>
      <c r="M15" s="67" t="inlineStr">
        <is>
          <t>●</t>
        </is>
      </c>
      <c r="N15" s="67" t="inlineStr">
        <is>
          <t>●</t>
        </is>
      </c>
      <c r="O15" s="67" t="inlineStr">
        <is>
          <t>●</t>
        </is>
      </c>
      <c r="P15" s="67" t="inlineStr">
        <is>
          <t>●</t>
        </is>
      </c>
      <c r="Q15" s="67" t="inlineStr">
        <is>
          <t>●</t>
        </is>
      </c>
      <c r="R15" s="67" t="inlineStr">
        <is>
          <t>●</t>
        </is>
      </c>
      <c r="S15" s="68" t="inlineStr">
        <is>
          <t>Problème</t>
        </is>
      </c>
      <c r="T15" s="68" t="inlineStr">
        <is>
          <t>(CA des mêmes 3 mois un an plus tôt − 3 × charges variables par mois de ces mois) ÷ CA de ces 3 mois. Avant : le CA d'un seul mois, 11 mois avant le dernier, avec les charges d'une autre période.</t>
        </is>
      </c>
      <c r="U15" s="68" t="inlineStr">
        <is>
          <t>FIN-14.03, FIN-06.03</t>
        </is>
      </c>
      <c r="V15" s="68" t="inlineStr">
        <is>
          <t>FIN-04.03</t>
        </is>
      </c>
      <c r="W15" s="83" t="n"/>
    </row>
    <row r="16" ht="23.85" customHeight="1" s="53">
      <c r="A16" s="81" t="inlineStr">
        <is>
          <t>FIN-04.03</t>
        </is>
      </c>
      <c r="B16" s="67" t="inlineStr">
        <is>
          <t>FIN-04</t>
        </is>
      </c>
      <c r="C16" s="95">
        <f>IFERROR(INDEX(Thèmes!$D$2:$D$190,MATCH(B16,Thèmes!$A$2:$A$190,0)),"")</f>
        <v/>
      </c>
      <c r="D16" s="68" t="inlineStr">
        <is>
          <t>—</t>
        </is>
      </c>
      <c r="E16" s="68" t="inlineStr">
        <is>
          <t>Évolution de la marge sur 12 mois</t>
        </is>
      </c>
      <c r="F16" s="68" t="inlineStr">
        <is>
          <t>Points de %</t>
        </is>
      </c>
      <c r="G16" s="96" t="inlineStr">
        <is>
          <t>Calculée</t>
        </is>
      </c>
      <c r="H16" s="67" t="inlineStr">
        <is>
          <t>—</t>
        </is>
      </c>
      <c r="I16" s="68" t="inlineStr">
        <is>
          <t>—</t>
        </is>
      </c>
      <c r="J16" s="68" t="inlineStr">
        <is>
          <t>—</t>
        </is>
      </c>
      <c r="K16" s="67" t="inlineStr">
        <is>
          <t>●</t>
        </is>
      </c>
      <c r="L16" s="67" t="inlineStr">
        <is>
          <t>●</t>
        </is>
      </c>
      <c r="M16" s="67" t="inlineStr">
        <is>
          <t>●</t>
        </is>
      </c>
      <c r="N16" s="67" t="inlineStr">
        <is>
          <t>●</t>
        </is>
      </c>
      <c r="O16" s="67" t="inlineStr">
        <is>
          <t>●</t>
        </is>
      </c>
      <c r="P16" s="67" t="inlineStr">
        <is>
          <t>●</t>
        </is>
      </c>
      <c r="Q16" s="67" t="inlineStr">
        <is>
          <t>●</t>
        </is>
      </c>
      <c r="R16" s="67" t="inlineStr">
        <is>
          <t>●</t>
        </is>
      </c>
      <c r="S16" s="68" t="inlineStr">
        <is>
          <t>Problème</t>
        </is>
      </c>
      <c r="T16" s="68" t="inlineStr">
        <is>
          <t>Taux de marge des 3 derniers mois (CA de FIN-14.01, charges variables FIN-06.05) − taux de marge des mêmes 3 mois un an plus tôt (FIN-04.02), en points de pourcentage.</t>
        </is>
      </c>
      <c r="U16" s="68" t="inlineStr">
        <is>
          <t>FIN-14.01, FIN-06.05, FIN-04.02, FIN-14.04</t>
        </is>
      </c>
      <c r="V16" s="68" t="inlineStr">
        <is>
          <t>Affichée dans le rapport</t>
        </is>
      </c>
      <c r="W16" s="83" t="n"/>
    </row>
    <row r="17" ht="23.85" customHeight="1" s="53">
      <c r="A17" s="81" t="inlineStr">
        <is>
          <t>FIN-04.04</t>
        </is>
      </c>
      <c r="B17" s="67" t="inlineStr">
        <is>
          <t>FIN-04</t>
        </is>
      </c>
      <c r="C17" s="95">
        <f>IFERROR(INDEX(Thèmes!$D$2:$D$190,MATCH(B17,Thèmes!$A$2:$A$190,0)),"")</f>
        <v/>
      </c>
      <c r="D17" s="68" t="inlineStr">
        <is>
          <t>—</t>
        </is>
      </c>
      <c r="E17" s="68" t="inlineStr">
        <is>
          <t>Hausse de coûts non répercutée dans les prix</t>
        </is>
      </c>
      <c r="F17" s="68" t="inlineStr">
        <is>
          <t>€ par an</t>
        </is>
      </c>
      <c r="G17" s="96" t="inlineStr">
        <is>
          <t>Calculée</t>
        </is>
      </c>
      <c r="H17" s="67" t="inlineStr">
        <is>
          <t>—</t>
        </is>
      </c>
      <c r="I17" s="68" t="inlineStr">
        <is>
          <t>—</t>
        </is>
      </c>
      <c r="J17" s="68" t="inlineStr">
        <is>
          <t>—</t>
        </is>
      </c>
      <c r="K17" s="67" t="inlineStr">
        <is>
          <t>●</t>
        </is>
      </c>
      <c r="L17" s="67" t="inlineStr">
        <is>
          <t>●</t>
        </is>
      </c>
      <c r="M17" s="67" t="inlineStr">
        <is>
          <t>●</t>
        </is>
      </c>
      <c r="N17" s="67" t="inlineStr">
        <is>
          <t>●</t>
        </is>
      </c>
      <c r="O17" s="67" t="inlineStr">
        <is>
          <t>●</t>
        </is>
      </c>
      <c r="P17" s="67" t="inlineStr">
        <is>
          <t>●</t>
        </is>
      </c>
      <c r="Q17" s="67" t="inlineStr">
        <is>
          <t>●</t>
        </is>
      </c>
      <c r="R17" s="67" t="inlineStr">
        <is>
          <t>●</t>
        </is>
      </c>
      <c r="S17" s="68" t="inlineStr">
        <is>
          <t>Perte</t>
        </is>
      </c>
      <c r="T17" s="68" t="inlineStr">
        <is>
          <t>(Hausse des achats et des charges sur 12 mois − hausse de prix appliquée) en €</t>
        </is>
      </c>
      <c r="U17" s="68" t="inlineStr">
        <is>
          <t>FIN-08.11, FIN-05.10, FIN-07.15, ACQ-13.06</t>
        </is>
      </c>
      <c r="V17" s="68" t="inlineStr">
        <is>
          <t>XF09</t>
        </is>
      </c>
      <c r="W17" s="83" t="n"/>
    </row>
    <row r="18" ht="91" customHeight="1" s="53">
      <c r="A18" s="85" t="inlineStr">
        <is>
          <t>FIN-05.01</t>
        </is>
      </c>
      <c r="B18" s="89" t="inlineStr">
        <is>
          <t>FIN-05</t>
        </is>
      </c>
      <c r="C18" s="97">
        <f>IFERROR(INDEX(Thèmes!$D$2:$D$190,MATCH(B18,Thèmes!$A$2:$A$190,0)),"")</f>
        <v/>
      </c>
      <c r="D18" s="86" t="inlineStr">
        <is>
          <t>F01 · Vos charges fixes (tableau par poste)</t>
        </is>
      </c>
      <c r="E18" s="86" t="inlineStr">
        <is>
          <t>Charges fixes par mois, par poste : loyer, énergie, assurances, véhicules (carburant, entretien ; le leasing est déclaré avec les crédits), frais bancaires (hors agios), honoraires (comptable, avocat), rémunération du dirigeant, autres. Repris d'autres écrans, à ne pas recompter ici : abonnements et contrats (télécoms compris), masse salariale, budget marketing et communication</t>
        </is>
      </c>
      <c r="F18" s="86" t="inlineStr">
        <is>
          <t>Tableau par poste (€)</t>
        </is>
      </c>
      <c r="G18" s="89" t="inlineStr">
        <is>
          <t>Demandée</t>
        </is>
      </c>
      <c r="H18" s="89" t="inlineStr">
        <is>
          <t>Essentiel</t>
        </is>
      </c>
      <c r="I18" s="86" t="inlineStr">
        <is>
          <t>—</t>
        </is>
      </c>
      <c r="J18" s="86" t="inlineStr">
        <is>
          <t>Aujourd'hui</t>
        </is>
      </c>
      <c r="K18" s="89" t="inlineStr">
        <is>
          <t>●</t>
        </is>
      </c>
      <c r="L18" s="89" t="inlineStr">
        <is>
          <t>●</t>
        </is>
      </c>
      <c r="M18" s="89" t="inlineStr">
        <is>
          <t>●</t>
        </is>
      </c>
      <c r="N18" s="89" t="inlineStr">
        <is>
          <t>●</t>
        </is>
      </c>
      <c r="O18" s="89" t="inlineStr">
        <is>
          <t>●</t>
        </is>
      </c>
      <c r="P18" s="89" t="inlineStr">
        <is>
          <t>●</t>
        </is>
      </c>
      <c r="Q18" s="89" t="inlineStr">
        <is>
          <t>●</t>
        </is>
      </c>
      <c r="R18" s="89" t="inlineStr">
        <is>
          <t>●</t>
        </is>
      </c>
      <c r="S18" s="86" t="inlineStr">
        <is>
          <t>Perte, Levier</t>
        </is>
      </c>
      <c r="T18" s="86" t="inlineStr">
        <is>
          <t>—</t>
        </is>
      </c>
      <c r="U18" s="86" t="inlineStr">
        <is>
          <t>—</t>
        </is>
      </c>
      <c r="V18" s="86" t="inlineStr">
        <is>
          <t>FIN-05.08, XF03, XF06, XF38</t>
        </is>
      </c>
      <c r="W18" s="91" t="n"/>
    </row>
    <row r="19" ht="46.25" customHeight="1" s="53">
      <c r="A19" s="94" t="inlineStr">
        <is>
          <t>FIN-05.02</t>
        </is>
      </c>
      <c r="B19" s="67" t="inlineStr">
        <is>
          <t>FIN-05</t>
        </is>
      </c>
      <c r="C19" s="95">
        <f>IFERROR(INDEX(Thèmes!$D$2:$D$190,MATCH(B19,Thèmes!$A$2:$A$190,0)),"")</f>
        <v/>
      </c>
      <c r="D19" s="68" t="inlineStr">
        <is>
          <t>A08 · Votre budget marketing</t>
        </is>
      </c>
      <c r="E19" s="68" t="inlineStr">
        <is>
          <t>Budget marketing et communication par mois, hors commissions sur ventes : publicité, agence, création de contenu, outils marketing, community manager, impression</t>
        </is>
      </c>
      <c r="F19" s="68" t="inlineStr">
        <is>
          <t>€</t>
        </is>
      </c>
      <c r="G19" s="66" t="inlineStr">
        <is>
          <t>Partagée</t>
        </is>
      </c>
      <c r="H19" s="67" t="inlineStr">
        <is>
          <t>Essentiel</t>
        </is>
      </c>
      <c r="I19" s="99" t="inlineStr">
        <is>
          <t>Pas posée si les agents Acquisition et Comm sont faits : calculée</t>
        </is>
      </c>
      <c r="J19" s="68" t="inlineStr">
        <is>
          <t>—</t>
        </is>
      </c>
      <c r="K19" s="67" t="inlineStr">
        <is>
          <t>●</t>
        </is>
      </c>
      <c r="L19" s="67" t="inlineStr">
        <is>
          <t>●</t>
        </is>
      </c>
      <c r="M19" s="67" t="inlineStr">
        <is>
          <t>●</t>
        </is>
      </c>
      <c r="N19" s="67" t="inlineStr">
        <is>
          <t>●</t>
        </is>
      </c>
      <c r="O19" s="67" t="inlineStr">
        <is>
          <t>●</t>
        </is>
      </c>
      <c r="P19" s="67" t="inlineStr">
        <is>
          <t>●</t>
        </is>
      </c>
      <c r="Q19" s="67" t="inlineStr">
        <is>
          <t>●</t>
        </is>
      </c>
      <c r="R19" s="67" t="inlineStr">
        <is>
          <t>●</t>
        </is>
      </c>
      <c r="S19" s="68" t="inlineStr">
        <is>
          <t>Perte, Levier</t>
        </is>
      </c>
      <c r="T19" s="68" t="inlineStr">
        <is>
          <t>Posée une seule fois, par le premier agent souscrit qui en a besoin (ACQ-07.06, COM-32.02), sinon ici</t>
        </is>
      </c>
      <c r="U19" s="68" t="inlineStr">
        <is>
          <t>ACQ-07.06, COM-32.02</t>
        </is>
      </c>
      <c r="V19" s="68" t="inlineStr">
        <is>
          <t>FIN-05.08</t>
        </is>
      </c>
      <c r="W19" s="83" t="inlineStr">
        <is>
          <t>Condition d'affichage</t>
        </is>
      </c>
    </row>
    <row r="20" ht="35.05" customHeight="1" s="53">
      <c r="A20" s="81" t="inlineStr">
        <is>
          <t>FIN-05.03</t>
        </is>
      </c>
      <c r="B20" s="67" t="inlineStr">
        <is>
          <t>FIN-05</t>
        </is>
      </c>
      <c r="C20" s="95">
        <f>IFERROR(INDEX(Thèmes!$D$2:$D$190,MATCH(B20,Thèmes!$A$2:$A$190,0)),"")</f>
        <v/>
      </c>
      <c r="D20" s="68" t="inlineStr">
        <is>
          <t>F01 · Vos charges fixes (tableau par poste)</t>
        </is>
      </c>
      <c r="E20" s="68" t="inlineStr">
        <is>
          <t>Total des charges fixes il y a 12 mois</t>
        </is>
      </c>
      <c r="F20" s="68" t="inlineStr">
        <is>
          <t>€</t>
        </is>
      </c>
      <c r="G20" s="67" t="inlineStr">
        <is>
          <t>Demandée</t>
        </is>
      </c>
      <c r="H20" s="67" t="inlineStr">
        <is>
          <t>Essentiel</t>
        </is>
      </c>
      <c r="I20" s="68" t="inlineStr">
        <is>
          <t>—</t>
        </is>
      </c>
      <c r="J20" s="68" t="inlineStr">
        <is>
          <t>Il y a 12 mois (masquée avant 12 mois d'existence)</t>
        </is>
      </c>
      <c r="K20" s="67" t="inlineStr">
        <is>
          <t>●</t>
        </is>
      </c>
      <c r="L20" s="67" t="inlineStr">
        <is>
          <t>●</t>
        </is>
      </c>
      <c r="M20" s="67" t="inlineStr">
        <is>
          <t>●</t>
        </is>
      </c>
      <c r="N20" s="67" t="inlineStr">
        <is>
          <t>●</t>
        </is>
      </c>
      <c r="O20" s="67" t="inlineStr">
        <is>
          <t>●</t>
        </is>
      </c>
      <c r="P20" s="67" t="inlineStr">
        <is>
          <t>●</t>
        </is>
      </c>
      <c r="Q20" s="67" t="inlineStr">
        <is>
          <t>●</t>
        </is>
      </c>
      <c r="R20" s="67" t="inlineStr">
        <is>
          <t>●</t>
        </is>
      </c>
      <c r="S20" s="68" t="inlineStr">
        <is>
          <t>Problème</t>
        </is>
      </c>
      <c r="T20" s="68" t="inlineStr">
        <is>
          <t>—</t>
        </is>
      </c>
      <c r="U20" s="68" t="inlineStr">
        <is>
          <t>—</t>
        </is>
      </c>
      <c r="V20" s="68" t="inlineStr">
        <is>
          <t>FIN-05.10</t>
        </is>
      </c>
      <c r="W20" s="83" t="n"/>
    </row>
    <row r="21" ht="35.05" customHeight="1" s="53">
      <c r="A21" s="94" t="inlineStr">
        <is>
          <t>FIN-05.04</t>
        </is>
      </c>
      <c r="B21" s="67" t="inlineStr">
        <is>
          <t>FIN-05</t>
        </is>
      </c>
      <c r="C21" s="95">
        <f>IFERROR(INDEX(Thèmes!$D$2:$D$190,MATCH(B21,Thèmes!$A$2:$A$190,0)),"")</f>
        <v/>
      </c>
      <c r="D21" s="68" t="inlineStr">
        <is>
          <t>F01 · Vos charges fixes (tableau par poste)</t>
        </is>
      </c>
      <c r="E21" s="68" t="inlineStr">
        <is>
          <t>Résultat de la dernière année : bénéfice ou perte</t>
        </is>
      </c>
      <c r="F21" s="68" t="inlineStr">
        <is>
          <t>€</t>
        </is>
      </c>
      <c r="G21" s="67" t="inlineStr">
        <is>
          <t>Demandée</t>
        </is>
      </c>
      <c r="H21" s="67" t="inlineStr">
        <is>
          <t>Essentiel</t>
        </is>
      </c>
      <c r="I21" s="99" t="inlineStr">
        <is>
          <t>D31 · sauf micro-entreprise</t>
        </is>
      </c>
      <c r="J21" s="68" t="inlineStr">
        <is>
          <t>Si un premier exercice est clos (sinon masquée)</t>
        </is>
      </c>
      <c r="K21" s="67" t="inlineStr">
        <is>
          <t>●</t>
        </is>
      </c>
      <c r="L21" s="67" t="inlineStr">
        <is>
          <t>●</t>
        </is>
      </c>
      <c r="M21" s="67" t="inlineStr">
        <is>
          <t>●</t>
        </is>
      </c>
      <c r="N21" s="67" t="inlineStr">
        <is>
          <t>●</t>
        </is>
      </c>
      <c r="O21" s="67" t="inlineStr">
        <is>
          <t>●</t>
        </is>
      </c>
      <c r="P21" s="67" t="inlineStr">
        <is>
          <t>●</t>
        </is>
      </c>
      <c r="Q21" s="67" t="inlineStr">
        <is>
          <t>●</t>
        </is>
      </c>
      <c r="R21" s="67" t="inlineStr">
        <is>
          <t>●</t>
        </is>
      </c>
      <c r="S21" s="68" t="inlineStr">
        <is>
          <t>Mesure</t>
        </is>
      </c>
      <c r="T21" s="68" t="inlineStr">
        <is>
          <t>—</t>
        </is>
      </c>
      <c r="U21" s="68" t="inlineStr">
        <is>
          <t>—</t>
        </is>
      </c>
      <c r="V21" s="68" t="inlineStr">
        <is>
          <t>FIN-05.15, FIN-12.07</t>
        </is>
      </c>
      <c r="W21" s="83" t="inlineStr">
        <is>
          <t>Condition d'affichage</t>
        </is>
      </c>
    </row>
    <row r="22" ht="23.85" customHeight="1" s="53">
      <c r="A22" s="81" t="inlineStr">
        <is>
          <t>FIN-05.05</t>
        </is>
      </c>
      <c r="B22" s="67" t="inlineStr">
        <is>
          <t>FIN-05</t>
        </is>
      </c>
      <c r="C22" s="95">
        <f>IFERROR(INDEX(Thèmes!$D$2:$D$190,MATCH(B22,Thèmes!$A$2:$A$190,0)),"")</f>
        <v/>
      </c>
      <c r="D22" s="68" t="inlineStr">
        <is>
          <t>F01 · Vos charges fixes (tableau par poste)</t>
        </is>
      </c>
      <c r="E22" s="68" t="inlineStr">
        <is>
          <t>Taux de marge que vous pensez faire</t>
        </is>
      </c>
      <c r="F22" s="68" t="inlineStr">
        <is>
          <t>%</t>
        </is>
      </c>
      <c r="G22" s="67" t="inlineStr">
        <is>
          <t>Demandée</t>
        </is>
      </c>
      <c r="H22" s="67" t="inlineStr">
        <is>
          <t>Essentiel</t>
        </is>
      </c>
      <c r="I22" s="68" t="inlineStr">
        <is>
          <t>—</t>
        </is>
      </c>
      <c r="J22" s="68" t="inlineStr">
        <is>
          <t>—</t>
        </is>
      </c>
      <c r="K22" s="67" t="inlineStr">
        <is>
          <t>●</t>
        </is>
      </c>
      <c r="L22" s="67" t="inlineStr">
        <is>
          <t>●</t>
        </is>
      </c>
      <c r="M22" s="67" t="inlineStr">
        <is>
          <t>●</t>
        </is>
      </c>
      <c r="N22" s="67" t="inlineStr">
        <is>
          <t>●</t>
        </is>
      </c>
      <c r="O22" s="67" t="inlineStr">
        <is>
          <t>●</t>
        </is>
      </c>
      <c r="P22" s="67" t="inlineStr">
        <is>
          <t>●</t>
        </is>
      </c>
      <c r="Q22" s="67" t="inlineStr">
        <is>
          <t>●</t>
        </is>
      </c>
      <c r="R22" s="67" t="inlineStr">
        <is>
          <t>●</t>
        </is>
      </c>
      <c r="S22" s="68" t="inlineStr">
        <is>
          <t>Problème</t>
        </is>
      </c>
      <c r="T22" s="68" t="inlineStr">
        <is>
          <t>—</t>
        </is>
      </c>
      <c r="U22" s="68" t="inlineStr">
        <is>
          <t>—</t>
        </is>
      </c>
      <c r="V22" s="68" t="inlineStr">
        <is>
          <t>FIN-05.16</t>
        </is>
      </c>
      <c r="W22" s="83" t="n"/>
    </row>
    <row r="23" ht="35.05" customHeight="1" s="53">
      <c r="A23" s="81" t="inlineStr">
        <is>
          <t>FIN-05.06</t>
        </is>
      </c>
      <c r="B23" s="67" t="inlineStr">
        <is>
          <t>FIN-05</t>
        </is>
      </c>
      <c r="C23" s="95">
        <f>IFERROR(INDEX(Thèmes!$D$2:$D$190,MATCH(B23,Thèmes!$A$2:$A$190,0)),"")</f>
        <v/>
      </c>
      <c r="D23" s="68" t="inlineStr">
        <is>
          <t>F01 · Vos charges fixes (tableau par poste)</t>
        </is>
      </c>
      <c r="E23" s="68" t="inlineStr">
        <is>
          <t>Poste de charges qui a le plus augmenté sur 12 mois, et de combien</t>
        </is>
      </c>
      <c r="F23" s="68" t="inlineStr">
        <is>
          <t>Poste et €</t>
        </is>
      </c>
      <c r="G23" s="67" t="inlineStr">
        <is>
          <t>Demandée</t>
        </is>
      </c>
      <c r="H23" s="67" t="inlineStr">
        <is>
          <t>Approfondi</t>
        </is>
      </c>
      <c r="I23" s="68" t="inlineStr">
        <is>
          <t>—</t>
        </is>
      </c>
      <c r="J23" s="68" t="inlineStr">
        <is>
          <t>Période adaptée : depuis la création si moins de 12 mois</t>
        </is>
      </c>
      <c r="K23" s="67" t="inlineStr">
        <is>
          <t>●</t>
        </is>
      </c>
      <c r="L23" s="67" t="inlineStr">
        <is>
          <t>●</t>
        </is>
      </c>
      <c r="M23" s="67" t="inlineStr">
        <is>
          <t>●</t>
        </is>
      </c>
      <c r="N23" s="67" t="inlineStr">
        <is>
          <t>●</t>
        </is>
      </c>
      <c r="O23" s="67" t="inlineStr">
        <is>
          <t>●</t>
        </is>
      </c>
      <c r="P23" s="67" t="inlineStr">
        <is>
          <t>●</t>
        </is>
      </c>
      <c r="Q23" s="67" t="inlineStr">
        <is>
          <t>●</t>
        </is>
      </c>
      <c r="R23" s="67" t="inlineStr">
        <is>
          <t>●</t>
        </is>
      </c>
      <c r="S23" s="68" t="inlineStr">
        <is>
          <t>Levier</t>
        </is>
      </c>
      <c r="T23" s="68" t="inlineStr">
        <is>
          <t>—</t>
        </is>
      </c>
      <c r="U23" s="68" t="inlineStr">
        <is>
          <t>—</t>
        </is>
      </c>
      <c r="V23" s="68" t="inlineStr">
        <is>
          <t>XF06</t>
        </is>
      </c>
      <c r="W23" s="83" t="n"/>
    </row>
    <row r="24" ht="23.85" customHeight="1" s="53">
      <c r="A24" s="81" t="inlineStr">
        <is>
          <t>FIN-05.07</t>
        </is>
      </c>
      <c r="B24" s="67" t="inlineStr">
        <is>
          <t>FIN-05</t>
        </is>
      </c>
      <c r="C24" s="95">
        <f>IFERROR(INDEX(Thèmes!$D$2:$D$190,MATCH(B24,Thèmes!$A$2:$A$190,0)),"")</f>
        <v/>
      </c>
      <c r="D24" s="68" t="inlineStr">
        <is>
          <t>A17 · Vos clients fidèles</t>
        </is>
      </c>
      <c r="E24" s="68" t="inlineStr">
        <is>
          <t>Revenu récurrent mensuel (abonnements) et nombre d'abonnés actifs</t>
        </is>
      </c>
      <c r="F24" s="68" t="inlineStr">
        <is>
          <t>€ et nombre</t>
        </is>
      </c>
      <c r="G24" s="66" t="inlineStr">
        <is>
          <t>Partagée</t>
        </is>
      </c>
      <c r="H24" s="67" t="inlineStr">
        <is>
          <t>Essentiel</t>
        </is>
      </c>
      <c r="I24" s="68" t="inlineStr">
        <is>
          <t>—</t>
        </is>
      </c>
      <c r="J24" s="68" t="inlineStr">
        <is>
          <t>—</t>
        </is>
      </c>
      <c r="K24" s="67" t="n"/>
      <c r="L24" s="67" t="n"/>
      <c r="M24" s="67" t="n"/>
      <c r="N24" s="67" t="n"/>
      <c r="O24" s="67" t="n"/>
      <c r="P24" s="67" t="n"/>
      <c r="Q24" s="67" t="inlineStr">
        <is>
          <t>●</t>
        </is>
      </c>
      <c r="R24" s="67" t="n"/>
      <c r="S24" s="68" t="inlineStr">
        <is>
          <t>Mesure</t>
        </is>
      </c>
      <c r="T24" s="68" t="inlineStr">
        <is>
          <t>Posée une seule fois, par le premier agent souscrit qui en a besoin (ACQ-17.11, ACQ-17.10), sinon ici</t>
        </is>
      </c>
      <c r="U24" s="68" t="inlineStr">
        <is>
          <t>ACQ-17.11, ACQ-17.10</t>
        </is>
      </c>
      <c r="V24" s="68" t="inlineStr">
        <is>
          <t>XF47</t>
        </is>
      </c>
      <c r="W24" s="83" t="n"/>
    </row>
    <row r="25" ht="79.84999999999999" customHeight="1" s="53">
      <c r="A25" s="81" t="inlineStr">
        <is>
          <t>FIN-05.08</t>
        </is>
      </c>
      <c r="B25" s="67" t="inlineStr">
        <is>
          <t>FIN-05</t>
        </is>
      </c>
      <c r="C25" s="95">
        <f>IFERROR(INDEX(Thèmes!$D$2:$D$190,MATCH(B25,Thèmes!$A$2:$A$190,0)),"")</f>
        <v/>
      </c>
      <c r="D25" s="68" t="inlineStr">
        <is>
          <t>—</t>
        </is>
      </c>
      <c r="E25" s="68" t="inlineStr">
        <is>
          <t>Charges fixes totales par mois</t>
        </is>
      </c>
      <c r="F25" s="68" t="inlineStr">
        <is>
          <t>€</t>
        </is>
      </c>
      <c r="G25" s="96" t="inlineStr">
        <is>
          <t>Calculée</t>
        </is>
      </c>
      <c r="H25" s="67" t="inlineStr">
        <is>
          <t>—</t>
        </is>
      </c>
      <c r="I25" s="68" t="inlineStr">
        <is>
          <t>—</t>
        </is>
      </c>
      <c r="J25" s="68" t="inlineStr">
        <is>
          <t>—</t>
        </is>
      </c>
      <c r="K25" s="67" t="inlineStr">
        <is>
          <t>●</t>
        </is>
      </c>
      <c r="L25" s="67" t="inlineStr">
        <is>
          <t>●</t>
        </is>
      </c>
      <c r="M25" s="67" t="inlineStr">
        <is>
          <t>●</t>
        </is>
      </c>
      <c r="N25" s="67" t="inlineStr">
        <is>
          <t>●</t>
        </is>
      </c>
      <c r="O25" s="67" t="inlineStr">
        <is>
          <t>●</t>
        </is>
      </c>
      <c r="P25" s="67" t="inlineStr">
        <is>
          <t>●</t>
        </is>
      </c>
      <c r="Q25" s="67" t="inlineStr">
        <is>
          <t>●</t>
        </is>
      </c>
      <c r="R25" s="67" t="inlineStr">
        <is>
          <t>●</t>
        </is>
      </c>
      <c r="S25" s="68" t="inlineStr">
        <is>
          <t>Mesure</t>
        </is>
      </c>
      <c r="T25" s="68" t="inlineStr">
        <is>
          <t>Postes du tableau + abonnements et contrats + masse salariale + budget marketing et communication. Les commissions sur ventes sont des charges variables (FIN-06), jamais comptées ici</t>
        </is>
      </c>
      <c r="U25" s="68" t="inlineStr">
        <is>
          <t>FIN-05.01, FIN-09.05, FIN-07.01, FIN-05.02</t>
        </is>
      </c>
      <c r="V25" s="68" t="inlineStr">
        <is>
          <t>FIN-03.02, FIN-05.09, FIN-05.10, FIN-05.11, FIN-05.12, FIN-11.05, FIN-11.06, FIN-13.04, FIN-14.02, FIN-15.03, FIN-23.02, FIN-31.01, XF04, XF33, XF47, S01, S05, S06, S10</t>
        </is>
      </c>
      <c r="W25" s="83" t="n"/>
    </row>
    <row r="26" ht="15" customHeight="1" s="53">
      <c r="A26" s="81" t="inlineStr">
        <is>
          <t>FIN-05.09</t>
        </is>
      </c>
      <c r="B26" s="67" t="inlineStr">
        <is>
          <t>FIN-05</t>
        </is>
      </c>
      <c r="C26" s="95">
        <f>IFERROR(INDEX(Thèmes!$D$2:$D$190,MATCH(B26,Thèmes!$A$2:$A$190,0)),"")</f>
        <v/>
      </c>
      <c r="D26" s="68" t="inlineStr">
        <is>
          <t>—</t>
        </is>
      </c>
      <c r="E26" s="68" t="inlineStr">
        <is>
          <t>Charges fixes annuelles</t>
        </is>
      </c>
      <c r="F26" s="68" t="inlineStr">
        <is>
          <t>€</t>
        </is>
      </c>
      <c r="G26" s="96" t="inlineStr">
        <is>
          <t>Calculée</t>
        </is>
      </c>
      <c r="H26" s="67" t="inlineStr">
        <is>
          <t>—</t>
        </is>
      </c>
      <c r="I26" s="68" t="inlineStr">
        <is>
          <t>—</t>
        </is>
      </c>
      <c r="J26" s="68" t="inlineStr">
        <is>
          <t>—</t>
        </is>
      </c>
      <c r="K26" s="67" t="inlineStr">
        <is>
          <t>●</t>
        </is>
      </c>
      <c r="L26" s="67" t="inlineStr">
        <is>
          <t>●</t>
        </is>
      </c>
      <c r="M26" s="67" t="inlineStr">
        <is>
          <t>●</t>
        </is>
      </c>
      <c r="N26" s="67" t="inlineStr">
        <is>
          <t>●</t>
        </is>
      </c>
      <c r="O26" s="67" t="inlineStr">
        <is>
          <t>●</t>
        </is>
      </c>
      <c r="P26" s="67" t="inlineStr">
        <is>
          <t>●</t>
        </is>
      </c>
      <c r="Q26" s="67" t="inlineStr">
        <is>
          <t>●</t>
        </is>
      </c>
      <c r="R26" s="67" t="inlineStr">
        <is>
          <t>●</t>
        </is>
      </c>
      <c r="S26" s="68" t="inlineStr">
        <is>
          <t>Mesure</t>
        </is>
      </c>
      <c r="T26" s="68" t="inlineStr">
        <is>
          <t>Charges fixes mensuelles × 12</t>
        </is>
      </c>
      <c r="U26" s="68" t="inlineStr">
        <is>
          <t>FIN-05.08</t>
        </is>
      </c>
      <c r="V26" s="68" t="inlineStr">
        <is>
          <t>Affichée dans le rapport</t>
        </is>
      </c>
      <c r="W26" s="83" t="n"/>
    </row>
    <row r="27" ht="23.85" customHeight="1" s="53">
      <c r="A27" s="81" t="inlineStr">
        <is>
          <t>FIN-05.10</t>
        </is>
      </c>
      <c r="B27" s="67" t="inlineStr">
        <is>
          <t>FIN-05</t>
        </is>
      </c>
      <c r="C27" s="95">
        <f>IFERROR(INDEX(Thèmes!$D$2:$D$190,MATCH(B27,Thèmes!$A$2:$A$190,0)),"")</f>
        <v/>
      </c>
      <c r="D27" s="68" t="inlineStr">
        <is>
          <t>—</t>
        </is>
      </c>
      <c r="E27" s="68" t="inlineStr">
        <is>
          <t>Évolution des charges fixes sur 12 mois</t>
        </is>
      </c>
      <c r="F27" s="68" t="inlineStr">
        <is>
          <t>€ et %</t>
        </is>
      </c>
      <c r="G27" s="96" t="inlineStr">
        <is>
          <t>Calculée</t>
        </is>
      </c>
      <c r="H27" s="67" t="inlineStr">
        <is>
          <t>—</t>
        </is>
      </c>
      <c r="I27" s="68" t="inlineStr">
        <is>
          <t>—</t>
        </is>
      </c>
      <c r="J27" s="68" t="inlineStr">
        <is>
          <t>—</t>
        </is>
      </c>
      <c r="K27" s="67" t="inlineStr">
        <is>
          <t>●</t>
        </is>
      </c>
      <c r="L27" s="67" t="inlineStr">
        <is>
          <t>●</t>
        </is>
      </c>
      <c r="M27" s="67" t="inlineStr">
        <is>
          <t>●</t>
        </is>
      </c>
      <c r="N27" s="67" t="inlineStr">
        <is>
          <t>●</t>
        </is>
      </c>
      <c r="O27" s="67" t="inlineStr">
        <is>
          <t>●</t>
        </is>
      </c>
      <c r="P27" s="67" t="inlineStr">
        <is>
          <t>●</t>
        </is>
      </c>
      <c r="Q27" s="67" t="inlineStr">
        <is>
          <t>●</t>
        </is>
      </c>
      <c r="R27" s="67" t="inlineStr">
        <is>
          <t>●</t>
        </is>
      </c>
      <c r="S27" s="68" t="inlineStr">
        <is>
          <t>Problème</t>
        </is>
      </c>
      <c r="T27" s="68" t="inlineStr">
        <is>
          <t>Charges actuelles − charges il y a 12 mois, puis ÷ charges il y a 12 mois</t>
        </is>
      </c>
      <c r="U27" s="68" t="inlineStr">
        <is>
          <t>FIN-05.08, FIN-05.03</t>
        </is>
      </c>
      <c r="V27" s="68" t="inlineStr">
        <is>
          <t>FIN-04.04, XF07</t>
        </is>
      </c>
      <c r="W27" s="83" t="n"/>
    </row>
    <row r="28" ht="23.85" customHeight="1" s="53">
      <c r="A28" s="81" t="inlineStr">
        <is>
          <t>FIN-05.11</t>
        </is>
      </c>
      <c r="B28" s="67" t="inlineStr">
        <is>
          <t>FIN-05</t>
        </is>
      </c>
      <c r="C28" s="95">
        <f>IFERROR(INDEX(Thèmes!$D$2:$D$190,MATCH(B28,Thèmes!$A$2:$A$190,0)),"")</f>
        <v/>
      </c>
      <c r="D28" s="68" t="inlineStr">
        <is>
          <t>—</t>
        </is>
      </c>
      <c r="E28" s="68" t="inlineStr">
        <is>
          <t>Poids des charges fixes dans le CA</t>
        </is>
      </c>
      <c r="F28" s="68" t="inlineStr">
        <is>
          <t>%</t>
        </is>
      </c>
      <c r="G28" s="96" t="inlineStr">
        <is>
          <t>Calculée</t>
        </is>
      </c>
      <c r="H28" s="67" t="inlineStr">
        <is>
          <t>—</t>
        </is>
      </c>
      <c r="I28" s="68" t="inlineStr">
        <is>
          <t>—</t>
        </is>
      </c>
      <c r="J28" s="68" t="inlineStr">
        <is>
          <t>—</t>
        </is>
      </c>
      <c r="K28" s="67" t="inlineStr">
        <is>
          <t>●</t>
        </is>
      </c>
      <c r="L28" s="67" t="inlineStr">
        <is>
          <t>●</t>
        </is>
      </c>
      <c r="M28" s="67" t="inlineStr">
        <is>
          <t>●</t>
        </is>
      </c>
      <c r="N28" s="67" t="inlineStr">
        <is>
          <t>●</t>
        </is>
      </c>
      <c r="O28" s="67" t="inlineStr">
        <is>
          <t>●</t>
        </is>
      </c>
      <c r="P28" s="67" t="inlineStr">
        <is>
          <t>●</t>
        </is>
      </c>
      <c r="Q28" s="67" t="inlineStr">
        <is>
          <t>●</t>
        </is>
      </c>
      <c r="R28" s="67" t="inlineStr">
        <is>
          <t>●</t>
        </is>
      </c>
      <c r="S28" s="68" t="inlineStr">
        <is>
          <t>Cible</t>
        </is>
      </c>
      <c r="T28" s="68" t="inlineStr">
        <is>
          <t>Charges fixes ÷ CA mensuel</t>
        </is>
      </c>
      <c r="U28" s="68" t="inlineStr">
        <is>
          <t>FIN-05.08, Inscription · CA mensuel</t>
        </is>
      </c>
      <c r="V28" s="68" t="inlineStr">
        <is>
          <t>XF01, XF05</t>
        </is>
      </c>
      <c r="W28" s="83" t="n"/>
    </row>
    <row r="29" ht="15" customHeight="1" s="53">
      <c r="A29" s="81" t="inlineStr">
        <is>
          <t>FIN-05.12</t>
        </is>
      </c>
      <c r="B29" s="67" t="inlineStr">
        <is>
          <t>FIN-05</t>
        </is>
      </c>
      <c r="C29" s="95">
        <f>IFERROR(INDEX(Thèmes!$D$2:$D$190,MATCH(B29,Thèmes!$A$2:$A$190,0)),"")</f>
        <v/>
      </c>
      <c r="D29" s="68" t="inlineStr">
        <is>
          <t>—</t>
        </is>
      </c>
      <c r="E29" s="68" t="inlineStr">
        <is>
          <t>Seuil de rentabilité mensuel</t>
        </is>
      </c>
      <c r="F29" s="68" t="inlineStr">
        <is>
          <t>€</t>
        </is>
      </c>
      <c r="G29" s="96" t="inlineStr">
        <is>
          <t>Calculée</t>
        </is>
      </c>
      <c r="H29" s="67" t="inlineStr">
        <is>
          <t>—</t>
        </is>
      </c>
      <c r="I29" s="68" t="inlineStr">
        <is>
          <t>—</t>
        </is>
      </c>
      <c r="J29" s="68" t="inlineStr">
        <is>
          <t>—</t>
        </is>
      </c>
      <c r="K29" s="67" t="inlineStr">
        <is>
          <t>●</t>
        </is>
      </c>
      <c r="L29" s="67" t="inlineStr">
        <is>
          <t>●</t>
        </is>
      </c>
      <c r="M29" s="67" t="inlineStr">
        <is>
          <t>●</t>
        </is>
      </c>
      <c r="N29" s="67" t="inlineStr">
        <is>
          <t>●</t>
        </is>
      </c>
      <c r="O29" s="67" t="inlineStr">
        <is>
          <t>●</t>
        </is>
      </c>
      <c r="P29" s="67" t="inlineStr">
        <is>
          <t>●</t>
        </is>
      </c>
      <c r="Q29" s="67" t="inlineStr">
        <is>
          <t>●</t>
        </is>
      </c>
      <c r="R29" s="67" t="inlineStr">
        <is>
          <t>●</t>
        </is>
      </c>
      <c r="S29" s="68" t="inlineStr">
        <is>
          <t>Cible</t>
        </is>
      </c>
      <c r="T29" s="68" t="inlineStr">
        <is>
          <t>Charges fixes ÷ taux de marge sur coûts variables</t>
        </is>
      </c>
      <c r="U29" s="68" t="inlineStr">
        <is>
          <t>FIN-05.08, FIN-06.08</t>
        </is>
      </c>
      <c r="V29" s="68" t="inlineStr">
        <is>
          <t>FIN-05.13, XF01, XF03</t>
        </is>
      </c>
      <c r="W29" s="83" t="n"/>
    </row>
    <row r="30" ht="23.85" customHeight="1" s="53">
      <c r="A30" s="81" t="inlineStr">
        <is>
          <t>FIN-05.13</t>
        </is>
      </c>
      <c r="B30" s="67" t="inlineStr">
        <is>
          <t>FIN-05</t>
        </is>
      </c>
      <c r="C30" s="95">
        <f>IFERROR(INDEX(Thèmes!$D$2:$D$190,MATCH(B30,Thèmes!$A$2:$A$190,0)),"")</f>
        <v/>
      </c>
      <c r="D30" s="68" t="inlineStr">
        <is>
          <t>—</t>
        </is>
      </c>
      <c r="E30" s="68" t="inlineStr">
        <is>
          <t>Marge de sécurité : CA au-dessus du seuil</t>
        </is>
      </c>
      <c r="F30" s="68" t="inlineStr">
        <is>
          <t>€ et %</t>
        </is>
      </c>
      <c r="G30" s="96" t="inlineStr">
        <is>
          <t>Calculée</t>
        </is>
      </c>
      <c r="H30" s="67" t="inlineStr">
        <is>
          <t>—</t>
        </is>
      </c>
      <c r="I30" s="68" t="inlineStr">
        <is>
          <t>—</t>
        </is>
      </c>
      <c r="J30" s="68" t="inlineStr">
        <is>
          <t>—</t>
        </is>
      </c>
      <c r="K30" s="67" t="inlineStr">
        <is>
          <t>●</t>
        </is>
      </c>
      <c r="L30" s="67" t="inlineStr">
        <is>
          <t>●</t>
        </is>
      </c>
      <c r="M30" s="67" t="inlineStr">
        <is>
          <t>●</t>
        </is>
      </c>
      <c r="N30" s="67" t="inlineStr">
        <is>
          <t>●</t>
        </is>
      </c>
      <c r="O30" s="67" t="inlineStr">
        <is>
          <t>●</t>
        </is>
      </c>
      <c r="P30" s="67" t="inlineStr">
        <is>
          <t>●</t>
        </is>
      </c>
      <c r="Q30" s="67" t="inlineStr">
        <is>
          <t>●</t>
        </is>
      </c>
      <c r="R30" s="67" t="inlineStr">
        <is>
          <t>●</t>
        </is>
      </c>
      <c r="S30" s="68" t="inlineStr">
        <is>
          <t>Risque</t>
        </is>
      </c>
      <c r="T30" s="68" t="inlineStr">
        <is>
          <t>CA mensuel − seuil, puis ÷ CA mensuel</t>
        </is>
      </c>
      <c r="U30" s="68" t="inlineStr">
        <is>
          <t>Inscription · CA mensuel, FIN-05.12</t>
        </is>
      </c>
      <c r="V30" s="68" t="inlineStr">
        <is>
          <t>XF02, XF38</t>
        </is>
      </c>
      <c r="W30" s="83" t="n"/>
    </row>
    <row r="31" ht="15" customHeight="1" s="53">
      <c r="A31" s="81" t="inlineStr">
        <is>
          <t>FIN-05.14</t>
        </is>
      </c>
      <c r="B31" s="67" t="inlineStr">
        <is>
          <t>FIN-05</t>
        </is>
      </c>
      <c r="C31" s="95">
        <f>IFERROR(INDEX(Thèmes!$D$2:$D$190,MATCH(B31,Thèmes!$A$2:$A$190,0)),"")</f>
        <v/>
      </c>
      <c r="D31" s="68" t="inlineStr">
        <is>
          <t>—</t>
        </is>
      </c>
      <c r="E31" s="68" t="inlineStr">
        <is>
          <t>Marge moyenne par vente</t>
        </is>
      </c>
      <c r="F31" s="68" t="inlineStr">
        <is>
          <t>€</t>
        </is>
      </c>
      <c r="G31" s="96" t="inlineStr">
        <is>
          <t>Calculée</t>
        </is>
      </c>
      <c r="H31" s="67" t="inlineStr">
        <is>
          <t>—</t>
        </is>
      </c>
      <c r="I31" s="68" t="inlineStr">
        <is>
          <t>—</t>
        </is>
      </c>
      <c r="J31" s="68" t="inlineStr">
        <is>
          <t>—</t>
        </is>
      </c>
      <c r="K31" s="67" t="inlineStr">
        <is>
          <t>●</t>
        </is>
      </c>
      <c r="L31" s="67" t="inlineStr">
        <is>
          <t>●</t>
        </is>
      </c>
      <c r="M31" s="67" t="inlineStr">
        <is>
          <t>●</t>
        </is>
      </c>
      <c r="N31" s="67" t="inlineStr">
        <is>
          <t>●</t>
        </is>
      </c>
      <c r="O31" s="67" t="inlineStr">
        <is>
          <t>●</t>
        </is>
      </c>
      <c r="P31" s="67" t="inlineStr">
        <is>
          <t>●</t>
        </is>
      </c>
      <c r="Q31" s="67" t="inlineStr">
        <is>
          <t>●</t>
        </is>
      </c>
      <c r="R31" s="67" t="n"/>
      <c r="S31" s="68" t="inlineStr">
        <is>
          <t>Levier</t>
        </is>
      </c>
      <c r="T31" s="68" t="inlineStr">
        <is>
          <t>Panier moyen × taux de marge sur coûts variables</t>
        </is>
      </c>
      <c r="U31" s="68" t="inlineStr">
        <is>
          <t>ACQ-15.06, FIN-06.08</t>
        </is>
      </c>
      <c r="V31" s="68" t="inlineStr">
        <is>
          <t>XF49</t>
        </is>
      </c>
      <c r="W31" s="83" t="n"/>
    </row>
    <row r="32" ht="23.85" customHeight="1" s="53">
      <c r="A32" s="81" t="inlineStr">
        <is>
          <t>FIN-05.15</t>
        </is>
      </c>
      <c r="B32" s="67" t="inlineStr">
        <is>
          <t>FIN-05</t>
        </is>
      </c>
      <c r="C32" s="95">
        <f>IFERROR(INDEX(Thèmes!$D$2:$D$190,MATCH(B32,Thèmes!$A$2:$A$190,0)),"")</f>
        <v/>
      </c>
      <c r="D32" s="68" t="inlineStr">
        <is>
          <t>—</t>
        </is>
      </c>
      <c r="E32" s="68" t="inlineStr">
        <is>
          <t>Taux de marge nette</t>
        </is>
      </c>
      <c r="F32" s="68" t="inlineStr">
        <is>
          <t>%</t>
        </is>
      </c>
      <c r="G32" s="96" t="inlineStr">
        <is>
          <t>Calculée</t>
        </is>
      </c>
      <c r="H32" s="67" t="inlineStr">
        <is>
          <t>—</t>
        </is>
      </c>
      <c r="I32" s="68" t="inlineStr">
        <is>
          <t>—</t>
        </is>
      </c>
      <c r="J32" s="68" t="inlineStr">
        <is>
          <t>—</t>
        </is>
      </c>
      <c r="K32" s="67" t="inlineStr">
        <is>
          <t>●</t>
        </is>
      </c>
      <c r="L32" s="67" t="inlineStr">
        <is>
          <t>●</t>
        </is>
      </c>
      <c r="M32" s="67" t="inlineStr">
        <is>
          <t>●</t>
        </is>
      </c>
      <c r="N32" s="67" t="inlineStr">
        <is>
          <t>●</t>
        </is>
      </c>
      <c r="O32" s="67" t="inlineStr">
        <is>
          <t>●</t>
        </is>
      </c>
      <c r="P32" s="67" t="inlineStr">
        <is>
          <t>●</t>
        </is>
      </c>
      <c r="Q32" s="67" t="inlineStr">
        <is>
          <t>●</t>
        </is>
      </c>
      <c r="R32" s="67" t="inlineStr">
        <is>
          <t>●</t>
        </is>
      </c>
      <c r="S32" s="68" t="inlineStr">
        <is>
          <t>Mesure</t>
        </is>
      </c>
      <c r="T32" s="68" t="inlineStr">
        <is>
          <t>Résultat ÷ (CA mensuel × 12)</t>
        </is>
      </c>
      <c r="U32" s="68" t="inlineStr">
        <is>
          <t>FIN-05.04, Inscription · CA mensuel</t>
        </is>
      </c>
      <c r="V32" s="68" t="inlineStr">
        <is>
          <t>Affichée dans le rapport</t>
        </is>
      </c>
      <c r="W32" s="83" t="n"/>
    </row>
    <row r="33" ht="15" customHeight="1" s="53">
      <c r="A33" s="81" t="inlineStr">
        <is>
          <t>FIN-05.16</t>
        </is>
      </c>
      <c r="B33" s="67" t="inlineStr">
        <is>
          <t>FIN-05</t>
        </is>
      </c>
      <c r="C33" s="95">
        <f>IFERROR(INDEX(Thèmes!$D$2:$D$190,MATCH(B33,Thèmes!$A$2:$A$190,0)),"")</f>
        <v/>
      </c>
      <c r="D33" s="68" t="inlineStr">
        <is>
          <t>—</t>
        </is>
      </c>
      <c r="E33" s="68" t="inlineStr">
        <is>
          <t>Écart entre la marge pensée et la marge réelle</t>
        </is>
      </c>
      <c r="F33" s="68" t="inlineStr">
        <is>
          <t>Points de %</t>
        </is>
      </c>
      <c r="G33" s="96" t="inlineStr">
        <is>
          <t>Calculée</t>
        </is>
      </c>
      <c r="H33" s="67" t="inlineStr">
        <is>
          <t>—</t>
        </is>
      </c>
      <c r="I33" s="68" t="inlineStr">
        <is>
          <t>—</t>
        </is>
      </c>
      <c r="J33" s="68" t="inlineStr">
        <is>
          <t>—</t>
        </is>
      </c>
      <c r="K33" s="67" t="inlineStr">
        <is>
          <t>●</t>
        </is>
      </c>
      <c r="L33" s="67" t="inlineStr">
        <is>
          <t>●</t>
        </is>
      </c>
      <c r="M33" s="67" t="inlineStr">
        <is>
          <t>●</t>
        </is>
      </c>
      <c r="N33" s="67" t="inlineStr">
        <is>
          <t>●</t>
        </is>
      </c>
      <c r="O33" s="67" t="inlineStr">
        <is>
          <t>●</t>
        </is>
      </c>
      <c r="P33" s="67" t="inlineStr">
        <is>
          <t>●</t>
        </is>
      </c>
      <c r="Q33" s="67" t="inlineStr">
        <is>
          <t>●</t>
        </is>
      </c>
      <c r="R33" s="67" t="inlineStr">
        <is>
          <t>●</t>
        </is>
      </c>
      <c r="S33" s="68" t="inlineStr">
        <is>
          <t>Problème</t>
        </is>
      </c>
      <c r="T33" s="68" t="inlineStr">
        <is>
          <t>Marge pensée − taux de marge calculé</t>
        </is>
      </c>
      <c r="U33" s="68" t="inlineStr">
        <is>
          <t>FIN-05.05, FIN-06.08</t>
        </is>
      </c>
      <c r="V33" s="68" t="inlineStr">
        <is>
          <t>XF39</t>
        </is>
      </c>
      <c r="W33" s="83" t="n"/>
    </row>
    <row r="34" ht="79.84999999999999" customHeight="1" s="53">
      <c r="A34" s="85" t="inlineStr">
        <is>
          <t>FIN-06.01</t>
        </is>
      </c>
      <c r="B34" s="89" t="inlineStr">
        <is>
          <t>FIN-06</t>
        </is>
      </c>
      <c r="C34" s="97">
        <f>IFERROR(INDEX(Thèmes!$D$2:$D$190,MATCH(B34,Thèmes!$A$2:$A$190,0)),"")</f>
        <v/>
      </c>
      <c r="D34" s="86" t="inlineStr">
        <is>
          <t>F02 · Vos charges variables (tableau par poste)</t>
        </is>
      </c>
      <c r="E34" s="86" t="inlineStr">
        <is>
          <t>Charges variables par mois, par poste : commissions (plateformes, apporteurs d'affaires), livraison, frais de paiement (carte, plateformes), consommables, intérim, extras et freelances. Achats et sous-traitance sont repris de l'écran fournisseurs ; les commissions des plateformes sont reprises du calcul de l'agent Acquisition s'il est souscrit</t>
        </is>
      </c>
      <c r="F34" s="86" t="inlineStr">
        <is>
          <t>Tableau par poste (€)</t>
        </is>
      </c>
      <c r="G34" s="89" t="inlineStr">
        <is>
          <t>Demandée</t>
        </is>
      </c>
      <c r="H34" s="89" t="inlineStr">
        <is>
          <t>Essentiel</t>
        </is>
      </c>
      <c r="I34" s="86" t="inlineStr">
        <is>
          <t>—</t>
        </is>
      </c>
      <c r="J34" s="86" t="inlineStr">
        <is>
          <t>Période adaptée : depuis la création si moins de 3 mois</t>
        </is>
      </c>
      <c r="K34" s="89" t="inlineStr">
        <is>
          <t>●</t>
        </is>
      </c>
      <c r="L34" s="89" t="inlineStr">
        <is>
          <t>●</t>
        </is>
      </c>
      <c r="M34" s="89" t="inlineStr">
        <is>
          <t>●</t>
        </is>
      </c>
      <c r="N34" s="89" t="inlineStr">
        <is>
          <t>●</t>
        </is>
      </c>
      <c r="O34" s="89" t="inlineStr">
        <is>
          <t>●</t>
        </is>
      </c>
      <c r="P34" s="89" t="inlineStr">
        <is>
          <t>●</t>
        </is>
      </c>
      <c r="Q34" s="89" t="inlineStr">
        <is>
          <t>●</t>
        </is>
      </c>
      <c r="R34" s="89" t="inlineStr">
        <is>
          <t>●</t>
        </is>
      </c>
      <c r="S34" s="86" t="inlineStr">
        <is>
          <t>Perte, Levier</t>
        </is>
      </c>
      <c r="T34" s="86" t="inlineStr">
        <is>
          <t>—</t>
        </is>
      </c>
      <c r="U34" s="86" t="inlineStr">
        <is>
          <t>—</t>
        </is>
      </c>
      <c r="V34" s="86" t="inlineStr">
        <is>
          <t>FIN-06.05, XF06</t>
        </is>
      </c>
      <c r="W34" s="91" t="n"/>
    </row>
    <row r="35" ht="35.05" customHeight="1" s="53">
      <c r="A35" s="81" t="inlineStr">
        <is>
          <t>FIN-06.02</t>
        </is>
      </c>
      <c r="B35" s="67" t="inlineStr">
        <is>
          <t>FIN-06</t>
        </is>
      </c>
      <c r="C35" s="95">
        <f>IFERROR(INDEX(Thèmes!$D$2:$D$190,MATCH(B35,Thèmes!$A$2:$A$190,0)),"")</f>
        <v/>
      </c>
      <c r="D35" s="68" t="inlineStr">
        <is>
          <t>A12 · Vos ventes</t>
        </is>
      </c>
      <c r="E35" s="68" t="inlineStr">
        <is>
          <t>Ventes par mois : prestations, tickets, couverts, commandes ou chantiers selon le métier</t>
        </is>
      </c>
      <c r="F35" s="68" t="inlineStr">
        <is>
          <t>Nombre</t>
        </is>
      </c>
      <c r="G35" s="66" t="inlineStr">
        <is>
          <t>Partagée</t>
        </is>
      </c>
      <c r="H35" s="67" t="inlineStr">
        <is>
          <t>Essentiel</t>
        </is>
      </c>
      <c r="I35" s="68" t="inlineStr">
        <is>
          <t>—</t>
        </is>
      </c>
      <c r="J35" s="68" t="inlineStr">
        <is>
          <t>—</t>
        </is>
      </c>
      <c r="K35" s="67" t="inlineStr">
        <is>
          <t>●</t>
        </is>
      </c>
      <c r="L35" s="67" t="inlineStr">
        <is>
          <t>●</t>
        </is>
      </c>
      <c r="M35" s="67" t="inlineStr">
        <is>
          <t>●</t>
        </is>
      </c>
      <c r="N35" s="67" t="inlineStr">
        <is>
          <t>●</t>
        </is>
      </c>
      <c r="O35" s="67" t="inlineStr">
        <is>
          <t>●</t>
        </is>
      </c>
      <c r="P35" s="67" t="inlineStr">
        <is>
          <t>●</t>
        </is>
      </c>
      <c r="Q35" s="67" t="n"/>
      <c r="R35" s="67" t="inlineStr">
        <is>
          <t>●</t>
        </is>
      </c>
      <c r="S35" s="68" t="inlineStr">
        <is>
          <t>Mesure</t>
        </is>
      </c>
      <c r="T35" s="68" t="inlineStr">
        <is>
          <t>Posée une seule fois, par le premier agent souscrit qui en a besoin (ACQ-21.02, ACQ-11.06, ACQ-11.07, ACQ-11.14), sinon ici</t>
        </is>
      </c>
      <c r="U35" s="68" t="inlineStr">
        <is>
          <t>ACQ-21.02, ACQ-11.06, ACQ-11.07, ACQ-11.14</t>
        </is>
      </c>
      <c r="V35" s="68" t="inlineStr">
        <is>
          <t>FIN-03.02, FIN-06.07, FIN-10.08, FIN-19.03, FIN-19.04</t>
        </is>
      </c>
      <c r="W35" s="83" t="n"/>
    </row>
    <row r="36" ht="35.05" customHeight="1" s="53">
      <c r="A36" s="94" t="inlineStr">
        <is>
          <t>FIN-06.03</t>
        </is>
      </c>
      <c r="B36" s="67" t="inlineStr">
        <is>
          <t>FIN-06</t>
        </is>
      </c>
      <c r="C36" s="95">
        <f>IFERROR(INDEX(Thèmes!$D$2:$D$190,MATCH(B36,Thèmes!$A$2:$A$190,0)),"")</f>
        <v/>
      </c>
      <c r="D36" s="68" t="inlineStr">
        <is>
          <t>F02 · Vos charges variables (tableau par poste)</t>
        </is>
      </c>
      <c r="E36" s="68" t="inlineStr">
        <is>
          <t>Total des charges variables il y a 12 mois (achats compris)</t>
        </is>
      </c>
      <c r="F36" s="68" t="inlineStr">
        <is>
          <t>€</t>
        </is>
      </c>
      <c r="G36" s="67" t="inlineStr">
        <is>
          <t>Demandée</t>
        </is>
      </c>
      <c r="H36" s="67" t="inlineStr">
        <is>
          <t>Essentiel</t>
        </is>
      </c>
      <c r="I36" s="68" t="inlineStr">
        <is>
          <t>—</t>
        </is>
      </c>
      <c r="J36" s="68" t="inlineStr">
        <is>
          <t>Mêmes 3 mois, un an plus tôt (masquée avant 15 mois d'existence)</t>
        </is>
      </c>
      <c r="K36" s="67" t="inlineStr">
        <is>
          <t>●</t>
        </is>
      </c>
      <c r="L36" s="67" t="inlineStr">
        <is>
          <t>●</t>
        </is>
      </c>
      <c r="M36" s="67" t="inlineStr">
        <is>
          <t>●</t>
        </is>
      </c>
      <c r="N36" s="67" t="inlineStr">
        <is>
          <t>●</t>
        </is>
      </c>
      <c r="O36" s="67" t="inlineStr">
        <is>
          <t>●</t>
        </is>
      </c>
      <c r="P36" s="67" t="inlineStr">
        <is>
          <t>●</t>
        </is>
      </c>
      <c r="Q36" s="67" t="inlineStr">
        <is>
          <t>●</t>
        </is>
      </c>
      <c r="R36" s="67" t="inlineStr">
        <is>
          <t>●</t>
        </is>
      </c>
      <c r="S36" s="68" t="inlineStr">
        <is>
          <t>Problème</t>
        </is>
      </c>
      <c r="T36" s="68" t="inlineStr">
        <is>
          <t>—</t>
        </is>
      </c>
      <c r="U36" s="68" t="inlineStr">
        <is>
          <t>—</t>
        </is>
      </c>
      <c r="V36" s="68" t="inlineStr">
        <is>
          <t>FIN-04.02</t>
        </is>
      </c>
      <c r="W36" s="83" t="inlineStr">
        <is>
          <t>Niveau</t>
        </is>
      </c>
    </row>
    <row r="37" ht="35.05" customHeight="1" s="53">
      <c r="A37" s="81" t="inlineStr">
        <is>
          <t>FIN-06.04</t>
        </is>
      </c>
      <c r="B37" s="67" t="inlineStr">
        <is>
          <t>FIN-06</t>
        </is>
      </c>
      <c r="C37" s="95">
        <f>IFERROR(INDEX(Thèmes!$D$2:$D$190,MATCH(B37,Thèmes!$A$2:$A$190,0)),"")</f>
        <v/>
      </c>
      <c r="D37" s="68" t="inlineStr">
        <is>
          <t>F02 · Vos charges variables (tableau par poste)</t>
        </is>
      </c>
      <c r="E37" s="68" t="inlineStr">
        <is>
          <t>Charges variables de votre mois le plus fort et de votre mois le plus faible (achats compris)</t>
        </is>
      </c>
      <c r="F37" s="68" t="inlineStr">
        <is>
          <t>€ (2 colonnes)</t>
        </is>
      </c>
      <c r="G37" s="67" t="inlineStr">
        <is>
          <t>Demandée</t>
        </is>
      </c>
      <c r="H37" s="67" t="inlineStr">
        <is>
          <t>Approfondi</t>
        </is>
      </c>
      <c r="I37" s="68" t="inlineStr">
        <is>
          <t>—</t>
        </is>
      </c>
      <c r="J37" s="68" t="inlineStr">
        <is>
          <t>—</t>
        </is>
      </c>
      <c r="K37" s="67" t="inlineStr">
        <is>
          <t>●</t>
        </is>
      </c>
      <c r="L37" s="67" t="inlineStr">
        <is>
          <t>●</t>
        </is>
      </c>
      <c r="M37" s="67" t="inlineStr">
        <is>
          <t>●</t>
        </is>
      </c>
      <c r="N37" s="67" t="inlineStr">
        <is>
          <t>●</t>
        </is>
      </c>
      <c r="O37" s="67" t="inlineStr">
        <is>
          <t>●</t>
        </is>
      </c>
      <c r="P37" s="67" t="inlineStr">
        <is>
          <t>●</t>
        </is>
      </c>
      <c r="Q37" s="67" t="inlineStr">
        <is>
          <t>●</t>
        </is>
      </c>
      <c r="R37" s="67" t="inlineStr">
        <is>
          <t>●</t>
        </is>
      </c>
      <c r="S37" s="68" t="inlineStr">
        <is>
          <t>Problème</t>
        </is>
      </c>
      <c r="T37" s="68" t="inlineStr">
        <is>
          <t>—</t>
        </is>
      </c>
      <c r="U37" s="68" t="inlineStr">
        <is>
          <t>—</t>
        </is>
      </c>
      <c r="V37" s="68" t="inlineStr">
        <is>
          <t>FIN-06.09</t>
        </is>
      </c>
      <c r="W37" s="83" t="n"/>
    </row>
    <row r="38" ht="46.25" customHeight="1" s="53">
      <c r="A38" s="81" t="inlineStr">
        <is>
          <t>FIN-06.05</t>
        </is>
      </c>
      <c r="B38" s="67" t="inlineStr">
        <is>
          <t>FIN-06</t>
        </is>
      </c>
      <c r="C38" s="95">
        <f>IFERROR(INDEX(Thèmes!$D$2:$D$190,MATCH(B38,Thèmes!$A$2:$A$190,0)),"")</f>
        <v/>
      </c>
      <c r="D38" s="68" t="inlineStr">
        <is>
          <t>—</t>
        </is>
      </c>
      <c r="E38" s="68" t="inlineStr">
        <is>
          <t>Charges variables totales par mois</t>
        </is>
      </c>
      <c r="F38" s="68" t="inlineStr">
        <is>
          <t>€</t>
        </is>
      </c>
      <c r="G38" s="96" t="inlineStr">
        <is>
          <t>Calculée</t>
        </is>
      </c>
      <c r="H38" s="67" t="inlineStr">
        <is>
          <t>—</t>
        </is>
      </c>
      <c r="I38" s="68" t="inlineStr">
        <is>
          <t>—</t>
        </is>
      </c>
      <c r="J38" s="68" t="inlineStr">
        <is>
          <t>—</t>
        </is>
      </c>
      <c r="K38" s="67" t="inlineStr">
        <is>
          <t>●</t>
        </is>
      </c>
      <c r="L38" s="67" t="inlineStr">
        <is>
          <t>●</t>
        </is>
      </c>
      <c r="M38" s="67" t="inlineStr">
        <is>
          <t>●</t>
        </is>
      </c>
      <c r="N38" s="67" t="inlineStr">
        <is>
          <t>●</t>
        </is>
      </c>
      <c r="O38" s="67" t="inlineStr">
        <is>
          <t>●</t>
        </is>
      </c>
      <c r="P38" s="67" t="inlineStr">
        <is>
          <t>●</t>
        </is>
      </c>
      <c r="Q38" s="67" t="inlineStr">
        <is>
          <t>●</t>
        </is>
      </c>
      <c r="R38" s="67" t="inlineStr">
        <is>
          <t>●</t>
        </is>
      </c>
      <c r="S38" s="68" t="inlineStr">
        <is>
          <t>Mesure</t>
        </is>
      </c>
      <c r="T38" s="68" t="inlineStr">
        <is>
          <t>Postes du tableau + achats + sous-traitance. Commissions des plateformes : calcul de l'agent Acquisition (ACQ-07) s'il est souscrit, sinon ligne du tableau</t>
        </is>
      </c>
      <c r="U38" s="68" t="inlineStr">
        <is>
          <t>FIN-06.01, FIN-08.01, FIN-08.02, ACQ-07.07</t>
        </is>
      </c>
      <c r="V38" s="68" t="inlineStr">
        <is>
          <t>FIN-06.06, FIN-06.07, FIN-06.08, FIN-07.14, FIN-11.06</t>
        </is>
      </c>
      <c r="W38" s="83" t="n"/>
    </row>
    <row r="39" ht="23.85" customHeight="1" s="53">
      <c r="A39" s="81" t="inlineStr">
        <is>
          <t>FIN-06.06</t>
        </is>
      </c>
      <c r="B39" s="67" t="inlineStr">
        <is>
          <t>FIN-06</t>
        </is>
      </c>
      <c r="C39" s="95">
        <f>IFERROR(INDEX(Thèmes!$D$2:$D$190,MATCH(B39,Thèmes!$A$2:$A$190,0)),"")</f>
        <v/>
      </c>
      <c r="D39" s="68" t="inlineStr">
        <is>
          <t>—</t>
        </is>
      </c>
      <c r="E39" s="68" t="inlineStr">
        <is>
          <t>Charges variables en % du CA</t>
        </is>
      </c>
      <c r="F39" s="68" t="inlineStr">
        <is>
          <t>%</t>
        </is>
      </c>
      <c r="G39" s="96" t="inlineStr">
        <is>
          <t>Calculée</t>
        </is>
      </c>
      <c r="H39" s="67" t="inlineStr">
        <is>
          <t>—</t>
        </is>
      </c>
      <c r="I39" s="68" t="inlineStr">
        <is>
          <t>—</t>
        </is>
      </c>
      <c r="J39" s="68" t="inlineStr">
        <is>
          <t>—</t>
        </is>
      </c>
      <c r="K39" s="67" t="inlineStr">
        <is>
          <t>●</t>
        </is>
      </c>
      <c r="L39" s="67" t="inlineStr">
        <is>
          <t>●</t>
        </is>
      </c>
      <c r="M39" s="67" t="inlineStr">
        <is>
          <t>●</t>
        </is>
      </c>
      <c r="N39" s="67" t="inlineStr">
        <is>
          <t>●</t>
        </is>
      </c>
      <c r="O39" s="67" t="inlineStr">
        <is>
          <t>●</t>
        </is>
      </c>
      <c r="P39" s="67" t="inlineStr">
        <is>
          <t>●</t>
        </is>
      </c>
      <c r="Q39" s="67" t="inlineStr">
        <is>
          <t>●</t>
        </is>
      </c>
      <c r="R39" s="67" t="inlineStr">
        <is>
          <t>●</t>
        </is>
      </c>
      <c r="S39" s="68" t="inlineStr">
        <is>
          <t>Cible</t>
        </is>
      </c>
      <c r="T39" s="68" t="inlineStr">
        <is>
          <t>Charges variables ÷ CA mensuel</t>
        </is>
      </c>
      <c r="U39" s="68" t="inlineStr">
        <is>
          <t>FIN-06.05, Inscription · CA mensuel</t>
        </is>
      </c>
      <c r="V39" s="68" t="inlineStr">
        <is>
          <t>Affichée dans le rapport</t>
        </is>
      </c>
      <c r="W39" s="83" t="n"/>
    </row>
    <row r="40" ht="23.85" customHeight="1" s="53">
      <c r="A40" s="81" t="inlineStr">
        <is>
          <t>FIN-06.07</t>
        </is>
      </c>
      <c r="B40" s="67" t="inlineStr">
        <is>
          <t>FIN-06</t>
        </is>
      </c>
      <c r="C40" s="95">
        <f>IFERROR(INDEX(Thèmes!$D$2:$D$190,MATCH(B40,Thèmes!$A$2:$A$190,0)),"")</f>
        <v/>
      </c>
      <c r="D40" s="68" t="inlineStr">
        <is>
          <t>—</t>
        </is>
      </c>
      <c r="E40" s="68" t="inlineStr">
        <is>
          <t>Coût variable moyen par vente</t>
        </is>
      </c>
      <c r="F40" s="68" t="inlineStr">
        <is>
          <t>€</t>
        </is>
      </c>
      <c r="G40" s="96" t="inlineStr">
        <is>
          <t>Calculée</t>
        </is>
      </c>
      <c r="H40" s="67" t="inlineStr">
        <is>
          <t>—</t>
        </is>
      </c>
      <c r="I40" s="68" t="inlineStr">
        <is>
          <t>—</t>
        </is>
      </c>
      <c r="J40" s="68" t="inlineStr">
        <is>
          <t>—</t>
        </is>
      </c>
      <c r="K40" s="67" t="inlineStr">
        <is>
          <t>●</t>
        </is>
      </c>
      <c r="L40" s="67" t="inlineStr">
        <is>
          <t>●</t>
        </is>
      </c>
      <c r="M40" s="67" t="inlineStr">
        <is>
          <t>●</t>
        </is>
      </c>
      <c r="N40" s="67" t="inlineStr">
        <is>
          <t>●</t>
        </is>
      </c>
      <c r="O40" s="67" t="inlineStr">
        <is>
          <t>●</t>
        </is>
      </c>
      <c r="P40" s="67" t="inlineStr">
        <is>
          <t>●</t>
        </is>
      </c>
      <c r="Q40" s="67" t="inlineStr">
        <is>
          <t>●</t>
        </is>
      </c>
      <c r="R40" s="67" t="inlineStr">
        <is>
          <t>●</t>
        </is>
      </c>
      <c r="S40" s="68" t="inlineStr">
        <is>
          <t>Levier</t>
        </is>
      </c>
      <c r="T40" s="68" t="inlineStr">
        <is>
          <t>Charges variables ÷ ventes du mois</t>
        </is>
      </c>
      <c r="U40" s="68" t="inlineStr">
        <is>
          <t>FIN-06.05, FIN-06.02</t>
        </is>
      </c>
      <c r="V40" s="68" t="inlineStr">
        <is>
          <t>XF48, XF50</t>
        </is>
      </c>
      <c r="W40" s="83" t="n"/>
    </row>
    <row r="41" ht="79.84999999999999" customHeight="1" s="53">
      <c r="A41" s="81" t="inlineStr">
        <is>
          <t>FIN-06.08</t>
        </is>
      </c>
      <c r="B41" s="67" t="inlineStr">
        <is>
          <t>FIN-06</t>
        </is>
      </c>
      <c r="C41" s="95">
        <f>IFERROR(INDEX(Thèmes!$D$2:$D$190,MATCH(B41,Thèmes!$A$2:$A$190,0)),"")</f>
        <v/>
      </c>
      <c r="D41" s="68" t="inlineStr">
        <is>
          <t>—</t>
        </is>
      </c>
      <c r="E41" s="68" t="inlineStr">
        <is>
          <t>Taux de marge sur coûts variables</t>
        </is>
      </c>
      <c r="F41" s="68" t="inlineStr">
        <is>
          <t>%</t>
        </is>
      </c>
      <c r="G41" s="96" t="inlineStr">
        <is>
          <t>Calculée</t>
        </is>
      </c>
      <c r="H41" s="67" t="inlineStr">
        <is>
          <t>—</t>
        </is>
      </c>
      <c r="I41" s="68" t="inlineStr">
        <is>
          <t>—</t>
        </is>
      </c>
      <c r="J41" s="68" t="inlineStr">
        <is>
          <t>—</t>
        </is>
      </c>
      <c r="K41" s="67" t="inlineStr">
        <is>
          <t>●</t>
        </is>
      </c>
      <c r="L41" s="67" t="inlineStr">
        <is>
          <t>●</t>
        </is>
      </c>
      <c r="M41" s="67" t="inlineStr">
        <is>
          <t>●</t>
        </is>
      </c>
      <c r="N41" s="67" t="inlineStr">
        <is>
          <t>●</t>
        </is>
      </c>
      <c r="O41" s="67" t="inlineStr">
        <is>
          <t>●</t>
        </is>
      </c>
      <c r="P41" s="67" t="inlineStr">
        <is>
          <t>●</t>
        </is>
      </c>
      <c r="Q41" s="67" t="inlineStr">
        <is>
          <t>●</t>
        </is>
      </c>
      <c r="R41" s="67" t="inlineStr">
        <is>
          <t>●</t>
        </is>
      </c>
      <c r="S41" s="68" t="inlineStr">
        <is>
          <t>Mesure</t>
        </is>
      </c>
      <c r="T41" s="68" t="inlineStr">
        <is>
          <t>(CA − charges variables) ÷ CA</t>
        </is>
      </c>
      <c r="U41" s="68" t="inlineStr">
        <is>
          <t>Inscription · CA mensuel, FIN-06.05</t>
        </is>
      </c>
      <c r="V41" s="68" t="inlineStr">
        <is>
          <t>FIN-02.03, FIN-04.03, FIN-05.12, FIN-05.14, FIN-05.16, FIN-07.11, FIN-14.02, FIN-22.05, FIN-27.02, FIN-28.03, FIN-31.01, FIN-41.03, XF04, XF08, XF47, S01, S03, S04, S06, S09, S10</t>
        </is>
      </c>
      <c r="W41" s="83" t="n"/>
    </row>
    <row r="42" ht="23.85" customHeight="1" s="53">
      <c r="A42" s="81" t="inlineStr">
        <is>
          <t>FIN-06.09</t>
        </is>
      </c>
      <c r="B42" s="67" t="inlineStr">
        <is>
          <t>FIN-06</t>
        </is>
      </c>
      <c r="C42" s="95">
        <f>IFERROR(INDEX(Thèmes!$D$2:$D$190,MATCH(B42,Thèmes!$A$2:$A$190,0)),"")</f>
        <v/>
      </c>
      <c r="D42" s="68" t="inlineStr">
        <is>
          <t>—</t>
        </is>
      </c>
      <c r="E42" s="68" t="inlineStr">
        <is>
          <t>Les coûts variables suivent-ils le CA ? (croissance rentable)</t>
        </is>
      </c>
      <c r="F42" s="68" t="inlineStr">
        <is>
          <t>Ratio</t>
        </is>
      </c>
      <c r="G42" s="96" t="inlineStr">
        <is>
          <t>Calculée</t>
        </is>
      </c>
      <c r="H42" s="67" t="inlineStr">
        <is>
          <t>—</t>
        </is>
      </c>
      <c r="I42" s="68" t="inlineStr">
        <is>
          <t>—</t>
        </is>
      </c>
      <c r="J42" s="68" t="inlineStr">
        <is>
          <t>—</t>
        </is>
      </c>
      <c r="K42" s="67" t="inlineStr">
        <is>
          <t>●</t>
        </is>
      </c>
      <c r="L42" s="67" t="inlineStr">
        <is>
          <t>●</t>
        </is>
      </c>
      <c r="M42" s="67" t="inlineStr">
        <is>
          <t>●</t>
        </is>
      </c>
      <c r="N42" s="67" t="inlineStr">
        <is>
          <t>●</t>
        </is>
      </c>
      <c r="O42" s="67" t="inlineStr">
        <is>
          <t>●</t>
        </is>
      </c>
      <c r="P42" s="67" t="inlineStr">
        <is>
          <t>●</t>
        </is>
      </c>
      <c r="Q42" s="67" t="inlineStr">
        <is>
          <t>●</t>
        </is>
      </c>
      <c r="R42" s="67" t="inlineStr">
        <is>
          <t>●</t>
        </is>
      </c>
      <c r="S42" s="68" t="inlineStr">
        <is>
          <t>Problème</t>
        </is>
      </c>
      <c r="T42" s="68" t="inlineStr">
        <is>
          <t>Écart de charges variables entre mois fort et mois faible ÷ écart de CA entre ces deux mois</t>
        </is>
      </c>
      <c r="U42" s="68" t="inlineStr">
        <is>
          <t>FIN-06.04, ACQ-23.05, ACQ-23.06</t>
        </is>
      </c>
      <c r="V42" s="68" t="inlineStr">
        <is>
          <t>XF08</t>
        </is>
      </c>
      <c r="W42" s="83" t="n"/>
    </row>
    <row r="43" ht="23.85" customHeight="1" s="53">
      <c r="A43" s="85" t="inlineStr">
        <is>
          <t>FIN-07.01</t>
        </is>
      </c>
      <c r="B43" s="89" t="inlineStr">
        <is>
          <t>FIN-07</t>
        </is>
      </c>
      <c r="C43" s="97">
        <f>IFERROR(INDEX(Thèmes!$D$2:$D$190,MATCH(B43,Thèmes!$A$2:$A$190,0)),"")</f>
        <v/>
      </c>
      <c r="D43" s="86" t="inlineStr">
        <is>
          <t>F03 · Votre masse salariale</t>
        </is>
      </c>
      <c r="E43" s="86" t="inlineStr">
        <is>
          <t>Masse salariale chargée par mois (salaires + charges patronales, hors dirigeant)</t>
        </is>
      </c>
      <c r="F43" s="86" t="inlineStr">
        <is>
          <t>€</t>
        </is>
      </c>
      <c r="G43" s="89" t="inlineStr">
        <is>
          <t>Demandée</t>
        </is>
      </c>
      <c r="H43" s="89" t="inlineStr">
        <is>
          <t>Essentiel</t>
        </is>
      </c>
      <c r="I43" s="100" t="inlineStr">
        <is>
          <t>D02 · si au moins un salarié</t>
        </is>
      </c>
      <c r="J43" s="86" t="inlineStr">
        <is>
          <t>Période adaptée : depuis la création si moins de 3 mois</t>
        </is>
      </c>
      <c r="K43" s="89" t="inlineStr">
        <is>
          <t>●</t>
        </is>
      </c>
      <c r="L43" s="89" t="inlineStr">
        <is>
          <t>●</t>
        </is>
      </c>
      <c r="M43" s="89" t="inlineStr">
        <is>
          <t>●</t>
        </is>
      </c>
      <c r="N43" s="89" t="inlineStr">
        <is>
          <t>●</t>
        </is>
      </c>
      <c r="O43" s="89" t="inlineStr">
        <is>
          <t>●</t>
        </is>
      </c>
      <c r="P43" s="89" t="inlineStr">
        <is>
          <t>●</t>
        </is>
      </c>
      <c r="Q43" s="89" t="inlineStr">
        <is>
          <t>●</t>
        </is>
      </c>
      <c r="R43" s="89" t="inlineStr">
        <is>
          <t>●</t>
        </is>
      </c>
      <c r="S43" s="86" t="inlineStr">
        <is>
          <t>Perte</t>
        </is>
      </c>
      <c r="T43" s="86" t="inlineStr">
        <is>
          <t>—</t>
        </is>
      </c>
      <c r="U43" s="86" t="inlineStr">
        <is>
          <t>—</t>
        </is>
      </c>
      <c r="V43" s="86" t="inlineStr">
        <is>
          <t>FIN-05.08, FIN-07.08, FIN-07.09, FIN-07.12, FIN-07.15</t>
        </is>
      </c>
      <c r="W43" s="91" t="n"/>
    </row>
    <row r="44" ht="35.05" customHeight="1" s="53">
      <c r="A44" s="81" t="inlineStr">
        <is>
          <t>FIN-07.02</t>
        </is>
      </c>
      <c r="B44" s="67" t="inlineStr">
        <is>
          <t>FIN-07</t>
        </is>
      </c>
      <c r="C44" s="95">
        <f>IFERROR(INDEX(Thèmes!$D$2:$D$190,MATCH(B44,Thèmes!$A$2:$A$190,0)),"")</f>
        <v/>
      </c>
      <c r="D44" s="68" t="inlineStr">
        <is>
          <t>F03 · Votre masse salariale</t>
        </is>
      </c>
      <c r="E44" s="68" t="inlineStr">
        <is>
          <t>Masse salariale chargée il y a 12 mois</t>
        </is>
      </c>
      <c r="F44" s="68" t="inlineStr">
        <is>
          <t>€</t>
        </is>
      </c>
      <c r="G44" s="67" t="inlineStr">
        <is>
          <t>Demandée</t>
        </is>
      </c>
      <c r="H44" s="67" t="inlineStr">
        <is>
          <t>Essentiel</t>
        </is>
      </c>
      <c r="I44" s="99" t="inlineStr">
        <is>
          <t>D02 · si au moins un salarié</t>
        </is>
      </c>
      <c r="J44" s="68" t="inlineStr">
        <is>
          <t>Mêmes 3 mois, un an plus tôt (masquée avant 15 mois d'existence)</t>
        </is>
      </c>
      <c r="K44" s="67" t="inlineStr">
        <is>
          <t>●</t>
        </is>
      </c>
      <c r="L44" s="67" t="inlineStr">
        <is>
          <t>●</t>
        </is>
      </c>
      <c r="M44" s="67" t="inlineStr">
        <is>
          <t>●</t>
        </is>
      </c>
      <c r="N44" s="67" t="inlineStr">
        <is>
          <t>●</t>
        </is>
      </c>
      <c r="O44" s="67" t="inlineStr">
        <is>
          <t>●</t>
        </is>
      </c>
      <c r="P44" s="67" t="inlineStr">
        <is>
          <t>●</t>
        </is>
      </c>
      <c r="Q44" s="67" t="inlineStr">
        <is>
          <t>●</t>
        </is>
      </c>
      <c r="R44" s="67" t="inlineStr">
        <is>
          <t>●</t>
        </is>
      </c>
      <c r="S44" s="68" t="inlineStr">
        <is>
          <t>Problème</t>
        </is>
      </c>
      <c r="T44" s="68" t="inlineStr">
        <is>
          <t>—</t>
        </is>
      </c>
      <c r="U44" s="68" t="inlineStr">
        <is>
          <t>—</t>
        </is>
      </c>
      <c r="V44" s="68" t="inlineStr">
        <is>
          <t>FIN-07.15</t>
        </is>
      </c>
      <c r="W44" s="83" t="n"/>
    </row>
    <row r="45" ht="23.85" customHeight="1" s="53">
      <c r="A45" s="81" t="inlineStr">
        <is>
          <t>FIN-07.17</t>
        </is>
      </c>
      <c r="B45" s="67" t="inlineStr">
        <is>
          <t>FIN-07</t>
        </is>
      </c>
      <c r="C45" s="95">
        <f>IFERROR(INDEX(Thèmes!$D$2:$D$190,MATCH(B45,Thèmes!$A$2:$A$190,0)),"")</f>
        <v/>
      </c>
      <c r="D45" s="68" t="inlineStr">
        <is>
          <t>F03 · Votre masse salariale</t>
        </is>
      </c>
      <c r="E45" s="68" t="inlineStr">
        <is>
          <t>Nombre de personnes dans l'entreprise il y a 12 mois, vous compris (même définition que le dossier d'entreprise)</t>
        </is>
      </c>
      <c r="F45" s="68" t="inlineStr">
        <is>
          <t>Nombre</t>
        </is>
      </c>
      <c r="G45" s="67" t="inlineStr">
        <is>
          <t>Demandée</t>
        </is>
      </c>
      <c r="H45" s="67" t="inlineStr">
        <is>
          <t>Essentiel</t>
        </is>
      </c>
      <c r="I45" s="99" t="inlineStr">
        <is>
          <t>D02 · si au moins un salarié</t>
        </is>
      </c>
      <c r="J45" s="68" t="inlineStr">
        <is>
          <t>Il y a 12 mois (masquée avant 12 mois d'existence)</t>
        </is>
      </c>
      <c r="K45" s="67" t="inlineStr">
        <is>
          <t>●</t>
        </is>
      </c>
      <c r="L45" s="67" t="inlineStr">
        <is>
          <t>●</t>
        </is>
      </c>
      <c r="M45" s="67" t="inlineStr">
        <is>
          <t>●</t>
        </is>
      </c>
      <c r="N45" s="67" t="inlineStr">
        <is>
          <t>●</t>
        </is>
      </c>
      <c r="O45" s="67" t="inlineStr">
        <is>
          <t>●</t>
        </is>
      </c>
      <c r="P45" s="67" t="inlineStr">
        <is>
          <t>●</t>
        </is>
      </c>
      <c r="Q45" s="67" t="inlineStr">
        <is>
          <t>●</t>
        </is>
      </c>
      <c r="R45" s="67" t="inlineStr">
        <is>
          <t>●</t>
        </is>
      </c>
      <c r="S45" s="68" t="inlineStr">
        <is>
          <t>Problème</t>
        </is>
      </c>
      <c r="T45" s="68" t="inlineStr">
        <is>
          <t>—</t>
        </is>
      </c>
      <c r="U45" s="68" t="inlineStr">
        <is>
          <t>—</t>
        </is>
      </c>
      <c r="V45" s="68" t="inlineStr">
        <is>
          <t>FIN-07.15</t>
        </is>
      </c>
      <c r="W45" s="83" t="inlineStr">
        <is>
          <t>Nouveau (28 oct.) : vérification de l'historique</t>
        </is>
      </c>
    </row>
    <row r="46" ht="23.85" customHeight="1" s="53">
      <c r="A46" s="81" t="inlineStr">
        <is>
          <t>FIN-07.03</t>
        </is>
      </c>
      <c r="B46" s="67" t="inlineStr">
        <is>
          <t>FIN-07</t>
        </is>
      </c>
      <c r="C46" s="95">
        <f>IFERROR(INDEX(Thèmes!$D$2:$D$190,MATCH(B46,Thèmes!$A$2:$A$190,0)),"")</f>
        <v/>
      </c>
      <c r="D46" s="68" t="inlineStr">
        <is>
          <t>A20 · Votre équipe et sa capacité</t>
        </is>
      </c>
      <c r="E46" s="68" t="inlineStr">
        <is>
          <t>Heures travaillées et heures facturées par mois</t>
        </is>
      </c>
      <c r="F46" s="68" t="inlineStr">
        <is>
          <t>Heures (2 colonnes)</t>
        </is>
      </c>
      <c r="G46" s="66" t="inlineStr">
        <is>
          <t>Partagée</t>
        </is>
      </c>
      <c r="H46" s="67" t="inlineStr">
        <is>
          <t>Essentiel</t>
        </is>
      </c>
      <c r="I46" s="99" t="inlineStr">
        <is>
          <t>D18 · si facturation au temps</t>
        </is>
      </c>
      <c r="J46" s="68" t="inlineStr">
        <is>
          <t>—</t>
        </is>
      </c>
      <c r="K46" s="67" t="inlineStr">
        <is>
          <t>●</t>
        </is>
      </c>
      <c r="L46" s="67" t="n"/>
      <c r="M46" s="67" t="n"/>
      <c r="N46" s="67" t="n"/>
      <c r="O46" s="67" t="inlineStr">
        <is>
          <t>●</t>
        </is>
      </c>
      <c r="P46" s="67" t="inlineStr">
        <is>
          <t>●</t>
        </is>
      </c>
      <c r="Q46" s="67" t="n"/>
      <c r="R46" s="67" t="n"/>
      <c r="S46" s="68" t="inlineStr">
        <is>
          <t>Capacité</t>
        </is>
      </c>
      <c r="T46" s="68" t="inlineStr">
        <is>
          <t>Posée une seule fois, par le premier agent souscrit qui en a besoin (ACQ-21.04, ACQ-21.05), sinon ici</t>
        </is>
      </c>
      <c r="U46" s="68" t="inlineStr">
        <is>
          <t>ACQ-21.04, ACQ-21.05</t>
        </is>
      </c>
      <c r="V46" s="68" t="inlineStr">
        <is>
          <t>FIN-07.12, FIN-07.13, FIN-07.14</t>
        </is>
      </c>
      <c r="W46" s="83" t="n"/>
    </row>
    <row r="47" ht="23.85" customHeight="1" s="53">
      <c r="A47" s="94" t="inlineStr">
        <is>
          <t>FIN-07.04</t>
        </is>
      </c>
      <c r="B47" s="67" t="inlineStr">
        <is>
          <t>FIN-07</t>
        </is>
      </c>
      <c r="C47" s="95">
        <f>IFERROR(INDEX(Thèmes!$D$2:$D$190,MATCH(B47,Thèmes!$A$2:$A$190,0)),"")</f>
        <v/>
      </c>
      <c r="D47" s="68" t="inlineStr">
        <is>
          <t>A14 · Vos prix et remises</t>
        </is>
      </c>
      <c r="E47" s="68" t="inlineStr">
        <is>
          <t>Taux horaire ou journalier facturé</t>
        </is>
      </c>
      <c r="F47" s="68" t="inlineStr">
        <is>
          <t>Plusieurs champs : Tarif · Par</t>
        </is>
      </c>
      <c r="G47" s="66" t="inlineStr">
        <is>
          <t>Partagée</t>
        </is>
      </c>
      <c r="H47" s="67" t="inlineStr">
        <is>
          <t>Essentiel</t>
        </is>
      </c>
      <c r="I47" s="99" t="inlineStr">
        <is>
          <t>D18 · si facturation au temps</t>
        </is>
      </c>
      <c r="J47" s="68" t="inlineStr">
        <is>
          <t>—</t>
        </is>
      </c>
      <c r="K47" s="67" t="inlineStr">
        <is>
          <t>●</t>
        </is>
      </c>
      <c r="L47" s="67" t="n"/>
      <c r="M47" s="67" t="n"/>
      <c r="N47" s="67" t="n"/>
      <c r="O47" s="67" t="inlineStr">
        <is>
          <t>●</t>
        </is>
      </c>
      <c r="P47" s="67" t="inlineStr">
        <is>
          <t>●</t>
        </is>
      </c>
      <c r="Q47" s="67" t="n"/>
      <c r="R47" s="67" t="n"/>
      <c r="S47" s="68" t="inlineStr">
        <is>
          <t>Cible</t>
        </is>
      </c>
      <c r="T47" s="68" t="inlineStr">
        <is>
          <t>Posée une seule fois, par le premier agent souscrit qui en a besoin (ACQ-13.03), sinon ici</t>
        </is>
      </c>
      <c r="U47" s="68" t="inlineStr">
        <is>
          <t>ACQ-13.03</t>
        </is>
      </c>
      <c r="V47" s="68" t="inlineStr">
        <is>
          <t>FIN-07.14</t>
        </is>
      </c>
      <c r="W47" s="83" t="inlineStr">
        <is>
          <t>Format de réponse (la banque l'emporte)</t>
        </is>
      </c>
    </row>
    <row r="48" ht="35.05" customHeight="1" s="53">
      <c r="A48" s="81" t="inlineStr">
        <is>
          <t>FIN-07.05</t>
        </is>
      </c>
      <c r="B48" s="67" t="inlineStr">
        <is>
          <t>FIN-07</t>
        </is>
      </c>
      <c r="C48" s="95">
        <f>IFERROR(INDEX(Thèmes!$D$2:$D$190,MATCH(B48,Thèmes!$A$2:$A$190,0)),"")</f>
        <v/>
      </c>
      <c r="D48" s="68" t="inlineStr">
        <is>
          <t>F03 · Votre masse salariale</t>
        </is>
      </c>
      <c r="E48" s="68" t="inlineStr">
        <is>
          <t>Heures supplémentaires payées par mois, et leur coût</t>
        </is>
      </c>
      <c r="F48" s="68" t="inlineStr">
        <is>
          <t>Heures et €</t>
        </is>
      </c>
      <c r="G48" s="67" t="inlineStr">
        <is>
          <t>Demandée</t>
        </is>
      </c>
      <c r="H48" s="67" t="inlineStr">
        <is>
          <t>Essentiel</t>
        </is>
      </c>
      <c r="I48" s="99" t="inlineStr">
        <is>
          <t>D02 · si au moins un salarié</t>
        </is>
      </c>
      <c r="J48" s="68" t="inlineStr">
        <is>
          <t>—</t>
        </is>
      </c>
      <c r="K48" s="67" t="inlineStr">
        <is>
          <t>●</t>
        </is>
      </c>
      <c r="L48" s="67" t="inlineStr">
        <is>
          <t>●</t>
        </is>
      </c>
      <c r="M48" s="67" t="inlineStr">
        <is>
          <t>●</t>
        </is>
      </c>
      <c r="N48" s="67" t="inlineStr">
        <is>
          <t>●</t>
        </is>
      </c>
      <c r="O48" s="67" t="inlineStr">
        <is>
          <t>●</t>
        </is>
      </c>
      <c r="P48" s="67" t="inlineStr">
        <is>
          <t>●</t>
        </is>
      </c>
      <c r="Q48" s="67" t="inlineStr">
        <is>
          <t>●</t>
        </is>
      </c>
      <c r="R48" s="67" t="inlineStr">
        <is>
          <t>●</t>
        </is>
      </c>
      <c r="S48" s="68" t="inlineStr">
        <is>
          <t>Capacité</t>
        </is>
      </c>
      <c r="T48" s="68" t="inlineStr">
        <is>
          <t>—</t>
        </is>
      </c>
      <c r="U48" s="68" t="inlineStr">
        <is>
          <t>—</t>
        </is>
      </c>
      <c r="V48" s="68" t="inlineStr">
        <is>
          <t>FIN-07.07</t>
        </is>
      </c>
      <c r="W48" s="83" t="n"/>
    </row>
    <row r="49" ht="23.85" customHeight="1" s="53">
      <c r="A49" s="81" t="inlineStr">
        <is>
          <t>FIN-07.06</t>
        </is>
      </c>
      <c r="B49" s="67" t="inlineStr">
        <is>
          <t>FIN-07</t>
        </is>
      </c>
      <c r="C49" s="95">
        <f>IFERROR(INDEX(Thèmes!$D$2:$D$190,MATCH(B49,Thèmes!$A$2:$A$190,0)),"")</f>
        <v/>
      </c>
      <c r="D49" s="68" t="inlineStr">
        <is>
          <t>F03 · Votre masse salariale</t>
        </is>
      </c>
      <c r="E49" s="68" t="inlineStr">
        <is>
          <t>Coût des remplacements (absences, congés) sur 12 mois</t>
        </is>
      </c>
      <c r="F49" s="68" t="inlineStr">
        <is>
          <t>€</t>
        </is>
      </c>
      <c r="G49" s="67" t="inlineStr">
        <is>
          <t>Demandée</t>
        </is>
      </c>
      <c r="H49" s="67" t="inlineStr">
        <is>
          <t>Approfondi</t>
        </is>
      </c>
      <c r="I49" s="99" t="inlineStr">
        <is>
          <t>D02 · si au moins un salarié</t>
        </is>
      </c>
      <c r="J49" s="68" t="inlineStr">
        <is>
          <t>Période adaptée : depuis la création si moins de 12 mois</t>
        </is>
      </c>
      <c r="K49" s="67" t="inlineStr">
        <is>
          <t>●</t>
        </is>
      </c>
      <c r="L49" s="67" t="inlineStr">
        <is>
          <t>●</t>
        </is>
      </c>
      <c r="M49" s="67" t="inlineStr">
        <is>
          <t>●</t>
        </is>
      </c>
      <c r="N49" s="67" t="inlineStr">
        <is>
          <t>●</t>
        </is>
      </c>
      <c r="O49" s="67" t="inlineStr">
        <is>
          <t>●</t>
        </is>
      </c>
      <c r="P49" s="67" t="inlineStr">
        <is>
          <t>●</t>
        </is>
      </c>
      <c r="Q49" s="67" t="inlineStr">
        <is>
          <t>●</t>
        </is>
      </c>
      <c r="R49" s="67" t="inlineStr">
        <is>
          <t>●</t>
        </is>
      </c>
      <c r="S49" s="68" t="inlineStr">
        <is>
          <t>Perte</t>
        </is>
      </c>
      <c r="T49" s="68" t="inlineStr">
        <is>
          <t>—</t>
        </is>
      </c>
      <c r="U49" s="68" t="inlineStr">
        <is>
          <t>—</t>
        </is>
      </c>
      <c r="V49" s="68" t="inlineStr">
        <is>
          <t>XR26</t>
        </is>
      </c>
      <c r="W49" s="83" t="n"/>
    </row>
    <row r="50" ht="23.85" customHeight="1" s="53">
      <c r="A50" s="81" t="inlineStr">
        <is>
          <t>FIN-07.07</t>
        </is>
      </c>
      <c r="B50" s="67" t="inlineStr">
        <is>
          <t>FIN-07</t>
        </is>
      </c>
      <c r="C50" s="95">
        <f>IFERROR(INDEX(Thèmes!$D$2:$D$190,MATCH(B50,Thèmes!$A$2:$A$190,0)),"")</f>
        <v/>
      </c>
      <c r="D50" s="68" t="inlineStr">
        <is>
          <t>—</t>
        </is>
      </c>
      <c r="E50" s="68" t="inlineStr">
        <is>
          <t>Heures supplémentaires converties en équivalent temps plein, et leur coût annuel</t>
        </is>
      </c>
      <c r="F50" s="68" t="inlineStr">
        <is>
          <t>ETP et €</t>
        </is>
      </c>
      <c r="G50" s="96" t="inlineStr">
        <is>
          <t>Calculée</t>
        </is>
      </c>
      <c r="H50" s="67" t="inlineStr">
        <is>
          <t>—</t>
        </is>
      </c>
      <c r="I50" s="68" t="inlineStr">
        <is>
          <t>—</t>
        </is>
      </c>
      <c r="J50" s="68" t="inlineStr">
        <is>
          <t>—</t>
        </is>
      </c>
      <c r="K50" s="67" t="inlineStr">
        <is>
          <t>●</t>
        </is>
      </c>
      <c r="L50" s="67" t="inlineStr">
        <is>
          <t>●</t>
        </is>
      </c>
      <c r="M50" s="67" t="inlineStr">
        <is>
          <t>●</t>
        </is>
      </c>
      <c r="N50" s="67" t="inlineStr">
        <is>
          <t>●</t>
        </is>
      </c>
      <c r="O50" s="67" t="inlineStr">
        <is>
          <t>●</t>
        </is>
      </c>
      <c r="P50" s="67" t="inlineStr">
        <is>
          <t>●</t>
        </is>
      </c>
      <c r="Q50" s="67" t="inlineStr">
        <is>
          <t>●</t>
        </is>
      </c>
      <c r="R50" s="67" t="inlineStr">
        <is>
          <t>●</t>
        </is>
      </c>
      <c r="S50" s="68" t="inlineStr">
        <is>
          <t>Capacité</t>
        </is>
      </c>
      <c r="T50" s="68" t="inlineStr">
        <is>
          <t>Heures supplémentaires par mois ÷ 151,67 ; coût × 12</t>
        </is>
      </c>
      <c r="U50" s="68" t="inlineStr">
        <is>
          <t>FIN-07.05</t>
        </is>
      </c>
      <c r="V50" s="68" t="inlineStr">
        <is>
          <t>XR28, S04</t>
        </is>
      </c>
      <c r="W50" s="83" t="n"/>
    </row>
    <row r="51" ht="23.85" customHeight="1" s="53">
      <c r="A51" s="81" t="inlineStr">
        <is>
          <t>FIN-07.08</t>
        </is>
      </c>
      <c r="B51" s="67" t="inlineStr">
        <is>
          <t>FIN-07</t>
        </is>
      </c>
      <c r="C51" s="95">
        <f>IFERROR(INDEX(Thèmes!$D$2:$D$190,MATCH(B51,Thèmes!$A$2:$A$190,0)),"")</f>
        <v/>
      </c>
      <c r="D51" s="68" t="inlineStr">
        <is>
          <t>—</t>
        </is>
      </c>
      <c r="E51" s="68" t="inlineStr">
        <is>
          <t>Poids de la masse salariale dans le CA</t>
        </is>
      </c>
      <c r="F51" s="68" t="inlineStr">
        <is>
          <t>%</t>
        </is>
      </c>
      <c r="G51" s="96" t="inlineStr">
        <is>
          <t>Calculée</t>
        </is>
      </c>
      <c r="H51" s="67" t="inlineStr">
        <is>
          <t>—</t>
        </is>
      </c>
      <c r="I51" s="68" t="inlineStr">
        <is>
          <t>—</t>
        </is>
      </c>
      <c r="J51" s="68" t="inlineStr">
        <is>
          <t>—</t>
        </is>
      </c>
      <c r="K51" s="67" t="inlineStr">
        <is>
          <t>●</t>
        </is>
      </c>
      <c r="L51" s="67" t="inlineStr">
        <is>
          <t>●</t>
        </is>
      </c>
      <c r="M51" s="67" t="inlineStr">
        <is>
          <t>●</t>
        </is>
      </c>
      <c r="N51" s="67" t="inlineStr">
        <is>
          <t>●</t>
        </is>
      </c>
      <c r="O51" s="67" t="inlineStr">
        <is>
          <t>●</t>
        </is>
      </c>
      <c r="P51" s="67" t="inlineStr">
        <is>
          <t>●</t>
        </is>
      </c>
      <c r="Q51" s="67" t="inlineStr">
        <is>
          <t>●</t>
        </is>
      </c>
      <c r="R51" s="67" t="inlineStr">
        <is>
          <t>●</t>
        </is>
      </c>
      <c r="S51" s="68" t="inlineStr">
        <is>
          <t>Cible</t>
        </is>
      </c>
      <c r="T51" s="68" t="inlineStr">
        <is>
          <t>Masse salariale ÷ CA mensuel</t>
        </is>
      </c>
      <c r="U51" s="68" t="inlineStr">
        <is>
          <t>FIN-07.01, Inscription · CA mensuel</t>
        </is>
      </c>
      <c r="V51" s="68" t="inlineStr">
        <is>
          <t>XF05</t>
        </is>
      </c>
      <c r="W51" s="83" t="n"/>
    </row>
    <row r="52" ht="23.85" customHeight="1" s="53">
      <c r="A52" s="81" t="inlineStr">
        <is>
          <t>FIN-07.09</t>
        </is>
      </c>
      <c r="B52" s="67" t="inlineStr">
        <is>
          <t>FIN-07</t>
        </is>
      </c>
      <c r="C52" s="95">
        <f>IFERROR(INDEX(Thèmes!$D$2:$D$190,MATCH(B52,Thèmes!$A$2:$A$190,0)),"")</f>
        <v/>
      </c>
      <c r="D52" s="68" t="inlineStr">
        <is>
          <t>—</t>
        </is>
      </c>
      <c r="E52" s="68" t="inlineStr">
        <is>
          <t>Coût moyen chargé par salarié</t>
        </is>
      </c>
      <c r="F52" s="68" t="inlineStr">
        <is>
          <t>€</t>
        </is>
      </c>
      <c r="G52" s="96" t="inlineStr">
        <is>
          <t>Calculée</t>
        </is>
      </c>
      <c r="H52" s="67" t="inlineStr">
        <is>
          <t>—</t>
        </is>
      </c>
      <c r="I52" s="68" t="inlineStr">
        <is>
          <t>—</t>
        </is>
      </c>
      <c r="J52" s="68" t="inlineStr">
        <is>
          <t>—</t>
        </is>
      </c>
      <c r="K52" s="67" t="inlineStr">
        <is>
          <t>●</t>
        </is>
      </c>
      <c r="L52" s="67" t="inlineStr">
        <is>
          <t>●</t>
        </is>
      </c>
      <c r="M52" s="67" t="inlineStr">
        <is>
          <t>●</t>
        </is>
      </c>
      <c r="N52" s="67" t="inlineStr">
        <is>
          <t>●</t>
        </is>
      </c>
      <c r="O52" s="67" t="inlineStr">
        <is>
          <t>●</t>
        </is>
      </c>
      <c r="P52" s="67" t="inlineStr">
        <is>
          <t>●</t>
        </is>
      </c>
      <c r="Q52" s="67" t="inlineStr">
        <is>
          <t>●</t>
        </is>
      </c>
      <c r="R52" s="67" t="inlineStr">
        <is>
          <t>●</t>
        </is>
      </c>
      <c r="S52" s="68" t="inlineStr">
        <is>
          <t>Mesure</t>
        </is>
      </c>
      <c r="T52" s="68" t="inlineStr">
        <is>
          <t>Masse salariale ÷ salariés (effectif hors dirigeant)</t>
        </is>
      </c>
      <c r="U52" s="68" t="inlineStr">
        <is>
          <t>FIN-07.01, Inscription · effectif</t>
        </is>
      </c>
      <c r="V52" s="68" t="inlineStr">
        <is>
          <t>RH-31.05, XR28, S04</t>
        </is>
      </c>
      <c r="W52" s="83" t="n"/>
    </row>
    <row r="53" ht="35.05" customHeight="1" s="53">
      <c r="A53" s="81" t="inlineStr">
        <is>
          <t>FIN-07.10</t>
        </is>
      </c>
      <c r="B53" s="67" t="inlineStr">
        <is>
          <t>FIN-07</t>
        </is>
      </c>
      <c r="C53" s="95">
        <f>IFERROR(INDEX(Thèmes!$D$2:$D$190,MATCH(B53,Thèmes!$A$2:$A$190,0)),"")</f>
        <v/>
      </c>
      <c r="D53" s="68" t="inlineStr">
        <is>
          <t>—</t>
        </is>
      </c>
      <c r="E53" s="68" t="inlineStr">
        <is>
          <t>CA par personne de l'effectif total</t>
        </is>
      </c>
      <c r="F53" s="68" t="inlineStr">
        <is>
          <t>€</t>
        </is>
      </c>
      <c r="G53" s="96" t="inlineStr">
        <is>
          <t>Calculée</t>
        </is>
      </c>
      <c r="H53" s="67" t="inlineStr">
        <is>
          <t>—</t>
        </is>
      </c>
      <c r="I53" s="68" t="inlineStr">
        <is>
          <t>—</t>
        </is>
      </c>
      <c r="J53" s="68" t="inlineStr">
        <is>
          <t>—</t>
        </is>
      </c>
      <c r="K53" s="67" t="inlineStr">
        <is>
          <t>●</t>
        </is>
      </c>
      <c r="L53" s="67" t="inlineStr">
        <is>
          <t>●</t>
        </is>
      </c>
      <c r="M53" s="67" t="inlineStr">
        <is>
          <t>●</t>
        </is>
      </c>
      <c r="N53" s="67" t="inlineStr">
        <is>
          <t>●</t>
        </is>
      </c>
      <c r="O53" s="67" t="inlineStr">
        <is>
          <t>●</t>
        </is>
      </c>
      <c r="P53" s="67" t="inlineStr">
        <is>
          <t>●</t>
        </is>
      </c>
      <c r="Q53" s="67" t="inlineStr">
        <is>
          <t>●</t>
        </is>
      </c>
      <c r="R53" s="67" t="inlineStr">
        <is>
          <t>●</t>
        </is>
      </c>
      <c r="S53" s="68" t="inlineStr">
        <is>
          <t>Cible</t>
        </is>
      </c>
      <c r="T53" s="68" t="inlineStr">
        <is>
          <t>CA mensuel ÷ effectif total (inscription). Différent du CA par personne en production (ACQ-21)</t>
        </is>
      </c>
      <c r="U53" s="68" t="inlineStr">
        <is>
          <t>Inscription · CA mensuel, Inscription · effectif</t>
        </is>
      </c>
      <c r="V53" s="68" t="inlineStr">
        <is>
          <t>Affichée dans le rapport</t>
        </is>
      </c>
      <c r="W53" s="83" t="n"/>
    </row>
    <row r="54" ht="46.25" customHeight="1" s="53">
      <c r="A54" s="81" t="inlineStr">
        <is>
          <t>FIN-07.11</t>
        </is>
      </c>
      <c r="B54" s="67" t="inlineStr">
        <is>
          <t>FIN-07</t>
        </is>
      </c>
      <c r="C54" s="95">
        <f>IFERROR(INDEX(Thèmes!$D$2:$D$190,MATCH(B54,Thèmes!$A$2:$A$190,0)),"")</f>
        <v/>
      </c>
      <c r="D54" s="68" t="inlineStr">
        <is>
          <t>—</t>
        </is>
      </c>
      <c r="E54" s="68" t="inlineStr">
        <is>
          <t>Marge générée par personne de l'effectif total</t>
        </is>
      </c>
      <c r="F54" s="68" t="inlineStr">
        <is>
          <t>€</t>
        </is>
      </c>
      <c r="G54" s="96" t="inlineStr">
        <is>
          <t>Calculée</t>
        </is>
      </c>
      <c r="H54" s="67" t="inlineStr">
        <is>
          <t>—</t>
        </is>
      </c>
      <c r="I54" s="68" t="inlineStr">
        <is>
          <t>—</t>
        </is>
      </c>
      <c r="J54" s="68" t="inlineStr">
        <is>
          <t>—</t>
        </is>
      </c>
      <c r="K54" s="67" t="inlineStr">
        <is>
          <t>●</t>
        </is>
      </c>
      <c r="L54" s="67" t="inlineStr">
        <is>
          <t>●</t>
        </is>
      </c>
      <c r="M54" s="67" t="inlineStr">
        <is>
          <t>●</t>
        </is>
      </c>
      <c r="N54" s="67" t="inlineStr">
        <is>
          <t>●</t>
        </is>
      </c>
      <c r="O54" s="67" t="inlineStr">
        <is>
          <t>●</t>
        </is>
      </c>
      <c r="P54" s="67" t="inlineStr">
        <is>
          <t>●</t>
        </is>
      </c>
      <c r="Q54" s="67" t="inlineStr">
        <is>
          <t>●</t>
        </is>
      </c>
      <c r="R54" s="67" t="inlineStr">
        <is>
          <t>●</t>
        </is>
      </c>
      <c r="S54" s="68" t="inlineStr">
        <is>
          <t>Levier</t>
        </is>
      </c>
      <c r="T54" s="68" t="inlineStr">
        <is>
          <t>CA × taux de marge sur coûts variables ÷ effectif total</t>
        </is>
      </c>
      <c r="U54" s="68" t="inlineStr">
        <is>
          <t>Inscription · CA mensuel, FIN-06.08, Inscription · effectif</t>
        </is>
      </c>
      <c r="V54" s="68" t="inlineStr">
        <is>
          <t>Affichée dans le rapport</t>
        </is>
      </c>
      <c r="W54" s="83" t="n"/>
    </row>
    <row r="55" ht="23.85" customHeight="1" s="53">
      <c r="A55" s="81" t="inlineStr">
        <is>
          <t>FIN-07.12</t>
        </is>
      </c>
      <c r="B55" s="67" t="inlineStr">
        <is>
          <t>FIN-07</t>
        </is>
      </c>
      <c r="C55" s="95">
        <f>IFERROR(INDEX(Thèmes!$D$2:$D$190,MATCH(B55,Thèmes!$A$2:$A$190,0)),"")</f>
        <v/>
      </c>
      <c r="D55" s="68" t="inlineStr">
        <is>
          <t>—</t>
        </is>
      </c>
      <c r="E55" s="68" t="inlineStr">
        <is>
          <t>Coût d'une heure de travail</t>
        </is>
      </c>
      <c r="F55" s="68" t="inlineStr">
        <is>
          <t>€</t>
        </is>
      </c>
      <c r="G55" s="96" t="inlineStr">
        <is>
          <t>Calculée</t>
        </is>
      </c>
      <c r="H55" s="67" t="inlineStr">
        <is>
          <t>—</t>
        </is>
      </c>
      <c r="I55" s="68" t="inlineStr">
        <is>
          <t>—</t>
        </is>
      </c>
      <c r="J55" s="68" t="inlineStr">
        <is>
          <t>—</t>
        </is>
      </c>
      <c r="K55" s="67" t="inlineStr">
        <is>
          <t>●</t>
        </is>
      </c>
      <c r="L55" s="67" t="inlineStr">
        <is>
          <t>●</t>
        </is>
      </c>
      <c r="M55" s="67" t="inlineStr">
        <is>
          <t>●</t>
        </is>
      </c>
      <c r="N55" s="67" t="inlineStr">
        <is>
          <t>●</t>
        </is>
      </c>
      <c r="O55" s="67" t="inlineStr">
        <is>
          <t>●</t>
        </is>
      </c>
      <c r="P55" s="67" t="inlineStr">
        <is>
          <t>●</t>
        </is>
      </c>
      <c r="Q55" s="67" t="inlineStr">
        <is>
          <t>●</t>
        </is>
      </c>
      <c r="R55" s="67" t="n"/>
      <c r="S55" s="68" t="inlineStr">
        <is>
          <t>Mesure</t>
        </is>
      </c>
      <c r="T55" s="68" t="inlineStr">
        <is>
          <t>Masse salariale ÷ heures travaillées ; sans heures déclarées : masse salariale ÷ (salariés × 151,67 h)</t>
        </is>
      </c>
      <c r="U55" s="68" t="inlineStr">
        <is>
          <t>FIN-07.01, ACQ-21.04, Inscription · effectif</t>
        </is>
      </c>
      <c r="V55" s="68" t="inlineStr">
        <is>
          <t>COM-31.08, FIN-02.02, FIN-07.14, FIN-10.06, FIN-27.02, FIN-28.03, RH-28.08, RH-31.05, XF37, XF50, XR29</t>
        </is>
      </c>
      <c r="W55" s="83" t="n"/>
    </row>
    <row r="56" ht="23.85" customHeight="1" s="53">
      <c r="A56" s="81" t="inlineStr">
        <is>
          <t>FIN-07.13</t>
        </is>
      </c>
      <c r="B56" s="67" t="inlineStr">
        <is>
          <t>FIN-07</t>
        </is>
      </c>
      <c r="C56" s="95">
        <f>IFERROR(INDEX(Thèmes!$D$2:$D$190,MATCH(B56,Thèmes!$A$2:$A$190,0)),"")</f>
        <v/>
      </c>
      <c r="D56" s="68" t="inlineStr">
        <is>
          <t>—</t>
        </is>
      </c>
      <c r="E56" s="68" t="inlineStr">
        <is>
          <t>CA par heure travaillée</t>
        </is>
      </c>
      <c r="F56" s="68" t="inlineStr">
        <is>
          <t>€</t>
        </is>
      </c>
      <c r="G56" s="96" t="inlineStr">
        <is>
          <t>Calculée</t>
        </is>
      </c>
      <c r="H56" s="67" t="inlineStr">
        <is>
          <t>—</t>
        </is>
      </c>
      <c r="I56" s="68" t="inlineStr">
        <is>
          <t>—</t>
        </is>
      </c>
      <c r="J56" s="68" t="inlineStr">
        <is>
          <t>—</t>
        </is>
      </c>
      <c r="K56" s="67" t="inlineStr">
        <is>
          <t>●</t>
        </is>
      </c>
      <c r="L56" s="67" t="n"/>
      <c r="M56" s="67" t="n"/>
      <c r="N56" s="67" t="n"/>
      <c r="O56" s="67" t="inlineStr">
        <is>
          <t>●</t>
        </is>
      </c>
      <c r="P56" s="67" t="inlineStr">
        <is>
          <t>●</t>
        </is>
      </c>
      <c r="Q56" s="67" t="n"/>
      <c r="R56" s="67" t="n"/>
      <c r="S56" s="68" t="inlineStr">
        <is>
          <t>Cible</t>
        </is>
      </c>
      <c r="T56" s="68" t="inlineStr">
        <is>
          <t>CA mensuel ÷ heures travaillées</t>
        </is>
      </c>
      <c r="U56" s="68" t="inlineStr">
        <is>
          <t>Inscription · CA mensuel, ACQ-21.04</t>
        </is>
      </c>
      <c r="V56" s="68" t="inlineStr">
        <is>
          <t>COM-31.08, XF37</t>
        </is>
      </c>
      <c r="W56" s="83" t="n"/>
    </row>
    <row r="57" ht="23.85" customHeight="1" s="53">
      <c r="A57" s="81" t="inlineStr">
        <is>
          <t>FIN-07.14</t>
        </is>
      </c>
      <c r="B57" s="67" t="inlineStr">
        <is>
          <t>FIN-07</t>
        </is>
      </c>
      <c r="C57" s="95">
        <f>IFERROR(INDEX(Thèmes!$D$2:$D$190,MATCH(B57,Thèmes!$A$2:$A$190,0)),"")</f>
        <v/>
      </c>
      <c r="D57" s="68" t="inlineStr">
        <is>
          <t>—</t>
        </is>
      </c>
      <c r="E57" s="68" t="inlineStr">
        <is>
          <t>Marge par heure facturée</t>
        </is>
      </c>
      <c r="F57" s="68" t="inlineStr">
        <is>
          <t>€</t>
        </is>
      </c>
      <c r="G57" s="96" t="inlineStr">
        <is>
          <t>Calculée</t>
        </is>
      </c>
      <c r="H57" s="67" t="inlineStr">
        <is>
          <t>—</t>
        </is>
      </c>
      <c r="I57" s="68" t="inlineStr">
        <is>
          <t>—</t>
        </is>
      </c>
      <c r="J57" s="68" t="inlineStr">
        <is>
          <t>—</t>
        </is>
      </c>
      <c r="K57" s="67" t="inlineStr">
        <is>
          <t>●</t>
        </is>
      </c>
      <c r="L57" s="67" t="n"/>
      <c r="M57" s="67" t="n"/>
      <c r="N57" s="67" t="n"/>
      <c r="O57" s="67" t="inlineStr">
        <is>
          <t>●</t>
        </is>
      </c>
      <c r="P57" s="67" t="inlineStr">
        <is>
          <t>●</t>
        </is>
      </c>
      <c r="Q57" s="67" t="n"/>
      <c r="R57" s="67" t="n"/>
      <c r="S57" s="68" t="inlineStr">
        <is>
          <t>Levier</t>
        </is>
      </c>
      <c r="T57" s="68" t="inlineStr">
        <is>
          <t>Taux horaire − coût d'une heure − coût variable par heure</t>
        </is>
      </c>
      <c r="U57" s="68" t="inlineStr">
        <is>
          <t>ACQ-13.03, FIN-07.12, FIN-06.05, ACQ-21.05</t>
        </is>
      </c>
      <c r="V57" s="68" t="inlineStr">
        <is>
          <t>XF37, XF50</t>
        </is>
      </c>
      <c r="W57" s="83" t="n"/>
    </row>
    <row r="58" ht="23.85" customHeight="1" s="53">
      <c r="A58" s="81" t="inlineStr">
        <is>
          <t>FIN-07.15</t>
        </is>
      </c>
      <c r="B58" s="67" t="inlineStr">
        <is>
          <t>FIN-07</t>
        </is>
      </c>
      <c r="C58" s="95">
        <f>IFERROR(INDEX(Thèmes!$D$2:$D$190,MATCH(B58,Thèmes!$A$2:$A$190,0)),"")</f>
        <v/>
      </c>
      <c r="D58" s="68" t="inlineStr">
        <is>
          <t>—</t>
        </is>
      </c>
      <c r="E58" s="68" t="inlineStr">
        <is>
          <t>Évolution de la masse salariale comparée à celle du CA</t>
        </is>
      </c>
      <c r="F58" s="68" t="inlineStr">
        <is>
          <t>Points de %</t>
        </is>
      </c>
      <c r="G58" s="96" t="inlineStr">
        <is>
          <t>Calculée</t>
        </is>
      </c>
      <c r="H58" s="67" t="inlineStr">
        <is>
          <t>—</t>
        </is>
      </c>
      <c r="I58" s="68" t="inlineStr">
        <is>
          <t>—</t>
        </is>
      </c>
      <c r="J58" s="68" t="inlineStr">
        <is>
          <t>—</t>
        </is>
      </c>
      <c r="K58" s="67" t="inlineStr">
        <is>
          <t>●</t>
        </is>
      </c>
      <c r="L58" s="67" t="inlineStr">
        <is>
          <t>●</t>
        </is>
      </c>
      <c r="M58" s="67" t="inlineStr">
        <is>
          <t>●</t>
        </is>
      </c>
      <c r="N58" s="67" t="inlineStr">
        <is>
          <t>●</t>
        </is>
      </c>
      <c r="O58" s="67" t="inlineStr">
        <is>
          <t>●</t>
        </is>
      </c>
      <c r="P58" s="67" t="inlineStr">
        <is>
          <t>●</t>
        </is>
      </c>
      <c r="Q58" s="67" t="inlineStr">
        <is>
          <t>●</t>
        </is>
      </c>
      <c r="R58" s="67" t="inlineStr">
        <is>
          <t>●</t>
        </is>
      </c>
      <c r="S58" s="68" t="inlineStr">
        <is>
          <t>Problème</t>
        </is>
      </c>
      <c r="T58" s="68" t="inlineStr">
        <is>
          <t>Évolution de la masse salariale (3 derniers mois contre les mêmes 3 mois un an plus tôt) à côté de l'évolution du CA sur 12 mois (ACQ-23.10) et de l'effectif (FIN-07.17 il y a 12 mois, dossier aujourd'hui).</t>
        </is>
      </c>
      <c r="U58" s="68" t="inlineStr">
        <is>
          <t>FIN-07.01, FIN-07.02, FIN-07.17, ACQ-23.10</t>
        </is>
      </c>
      <c r="V58" s="68" t="inlineStr">
        <is>
          <t>FIN-04.04, XF07</t>
        </is>
      </c>
      <c r="W58" s="83" t="n"/>
    </row>
    <row r="59" ht="46.25" customHeight="1" s="53">
      <c r="A59" s="81" t="inlineStr">
        <is>
          <t>FIN-07.16</t>
        </is>
      </c>
      <c r="B59" s="67" t="inlineStr">
        <is>
          <t>FIN-07</t>
        </is>
      </c>
      <c r="C59" s="95">
        <f>IFERROR(INDEX(Thèmes!$D$2:$D$190,MATCH(B59,Thèmes!$A$2:$A$190,0)),"")</f>
        <v/>
      </c>
      <c r="D59" s="68" t="inlineStr">
        <is>
          <t>—</t>
        </is>
      </c>
      <c r="E59" s="68" t="inlineStr">
        <is>
          <t>Capacité restante avant de devoir recruter</t>
        </is>
      </c>
      <c r="F59" s="68" t="inlineStr">
        <is>
          <t>Nombre et €</t>
        </is>
      </c>
      <c r="G59" s="66" t="inlineStr">
        <is>
          <t>Autre agent</t>
        </is>
      </c>
      <c r="H59" s="67" t="inlineStr">
        <is>
          <t>—</t>
        </is>
      </c>
      <c r="I59" s="68" t="inlineStr">
        <is>
          <t>—</t>
        </is>
      </c>
      <c r="J59" s="68" t="inlineStr">
        <is>
          <t>—</t>
        </is>
      </c>
      <c r="K59" s="67" t="inlineStr">
        <is>
          <t>●</t>
        </is>
      </c>
      <c r="L59" s="67" t="inlineStr">
        <is>
          <t>●</t>
        </is>
      </c>
      <c r="M59" s="67" t="inlineStr">
        <is>
          <t>●</t>
        </is>
      </c>
      <c r="N59" s="67" t="inlineStr">
        <is>
          <t>●</t>
        </is>
      </c>
      <c r="O59" s="67" t="inlineStr">
        <is>
          <t>●</t>
        </is>
      </c>
      <c r="P59" s="67" t="inlineStr">
        <is>
          <t>●</t>
        </is>
      </c>
      <c r="Q59" s="67" t="inlineStr">
        <is>
          <t>●</t>
        </is>
      </c>
      <c r="R59" s="67" t="n"/>
      <c r="S59" s="68" t="inlineStr">
        <is>
          <t>Capacité</t>
        </is>
      </c>
      <c r="T59" s="68" t="inlineStr">
        <is>
          <t>Capacité inutilisée de l'agent Acquisition (ACQ-21) et capacité disponible de l'agent RH (RH-07)</t>
        </is>
      </c>
      <c r="U59" s="68" t="inlineStr">
        <is>
          <t>ACQ-21.14, RH-07</t>
        </is>
      </c>
      <c r="V59" s="68" t="inlineStr">
        <is>
          <t>Affichée dans le rapport</t>
        </is>
      </c>
      <c r="W59" s="83" t="n"/>
    </row>
    <row r="60" ht="35.05" customHeight="1" s="53">
      <c r="A60" s="85" t="inlineStr">
        <is>
          <t>FIN-08.01</t>
        </is>
      </c>
      <c r="B60" s="89" t="inlineStr">
        <is>
          <t>FIN-08</t>
        </is>
      </c>
      <c r="C60" s="97">
        <f>IFERROR(INDEX(Thèmes!$D$2:$D$190,MATCH(B60,Thèmes!$A$2:$A$190,0)),"")</f>
        <v/>
      </c>
      <c r="D60" s="86" t="inlineStr">
        <is>
          <t>F04 · Vos achats et fournisseurs (tableau)</t>
        </is>
      </c>
      <c r="E60" s="86" t="inlineStr">
        <is>
          <t>Achats de marchandises ou de matières par mois</t>
        </is>
      </c>
      <c r="F60" s="86" t="inlineStr">
        <is>
          <t>€</t>
        </is>
      </c>
      <c r="G60" s="89" t="inlineStr">
        <is>
          <t>Demandée</t>
        </is>
      </c>
      <c r="H60" s="89" t="inlineStr">
        <is>
          <t>Essentiel</t>
        </is>
      </c>
      <c r="I60" s="100" t="inlineStr">
        <is>
          <t>D08 · si achats</t>
        </is>
      </c>
      <c r="J60" s="86" t="inlineStr">
        <is>
          <t>Période adaptée : depuis la création si moins de 3 mois</t>
        </is>
      </c>
      <c r="K60" s="89" t="inlineStr">
        <is>
          <t>●</t>
        </is>
      </c>
      <c r="L60" s="89" t="inlineStr">
        <is>
          <t>●</t>
        </is>
      </c>
      <c r="M60" s="89" t="inlineStr">
        <is>
          <t>●</t>
        </is>
      </c>
      <c r="N60" s="89" t="inlineStr">
        <is>
          <t>●</t>
        </is>
      </c>
      <c r="O60" s="89" t="inlineStr">
        <is>
          <t>●</t>
        </is>
      </c>
      <c r="P60" s="89" t="inlineStr">
        <is>
          <t>●</t>
        </is>
      </c>
      <c r="Q60" s="89" t="inlineStr">
        <is>
          <t>●</t>
        </is>
      </c>
      <c r="R60" s="89" t="inlineStr">
        <is>
          <t>●</t>
        </is>
      </c>
      <c r="S60" s="86" t="inlineStr">
        <is>
          <t>Perte</t>
        </is>
      </c>
      <c r="T60" s="86" t="inlineStr">
        <is>
          <t>—</t>
        </is>
      </c>
      <c r="U60" s="86" t="inlineStr">
        <is>
          <t>—</t>
        </is>
      </c>
      <c r="V60" s="86" t="inlineStr">
        <is>
          <t>FIN-06.05, FIN-08.07, FIN-08.09, FIN-08.10, FIN-20.05, FIN-38.01, FIN-40.04, FIN-44.02, XF06, S03, S07, S11</t>
        </is>
      </c>
      <c r="W60" s="91" t="n"/>
    </row>
    <row r="61" ht="35.05" customHeight="1" s="53">
      <c r="A61" s="81" t="inlineStr">
        <is>
          <t>FIN-08.02</t>
        </is>
      </c>
      <c r="B61" s="67" t="inlineStr">
        <is>
          <t>FIN-08</t>
        </is>
      </c>
      <c r="C61" s="95">
        <f>IFERROR(INDEX(Thèmes!$D$2:$D$190,MATCH(B61,Thèmes!$A$2:$A$190,0)),"")</f>
        <v/>
      </c>
      <c r="D61" s="68" t="inlineStr">
        <is>
          <t>F04 · Vos achats et fournisseurs (tableau)</t>
        </is>
      </c>
      <c r="E61" s="68" t="inlineStr">
        <is>
          <t>Sous-traitance par mois</t>
        </is>
      </c>
      <c r="F61" s="68" t="inlineStr">
        <is>
          <t>€</t>
        </is>
      </c>
      <c r="G61" s="67" t="inlineStr">
        <is>
          <t>Demandée</t>
        </is>
      </c>
      <c r="H61" s="67" t="inlineStr">
        <is>
          <t>Essentiel</t>
        </is>
      </c>
      <c r="I61" s="99" t="inlineStr">
        <is>
          <t>D08 · si sous-traitance</t>
        </is>
      </c>
      <c r="J61" s="68" t="inlineStr">
        <is>
          <t>Période adaptée : depuis la création si moins de 3 mois</t>
        </is>
      </c>
      <c r="K61" s="67" t="inlineStr">
        <is>
          <t>●</t>
        </is>
      </c>
      <c r="L61" s="67" t="inlineStr">
        <is>
          <t>●</t>
        </is>
      </c>
      <c r="M61" s="67" t="inlineStr">
        <is>
          <t>●</t>
        </is>
      </c>
      <c r="N61" s="67" t="inlineStr">
        <is>
          <t>●</t>
        </is>
      </c>
      <c r="O61" s="67" t="inlineStr">
        <is>
          <t>●</t>
        </is>
      </c>
      <c r="P61" s="67" t="inlineStr">
        <is>
          <t>●</t>
        </is>
      </c>
      <c r="Q61" s="67" t="inlineStr">
        <is>
          <t>●</t>
        </is>
      </c>
      <c r="R61" s="67" t="inlineStr">
        <is>
          <t>●</t>
        </is>
      </c>
      <c r="S61" s="68" t="inlineStr">
        <is>
          <t>Perte</t>
        </is>
      </c>
      <c r="T61" s="68" t="inlineStr">
        <is>
          <t>—</t>
        </is>
      </c>
      <c r="U61" s="68" t="inlineStr">
        <is>
          <t>—</t>
        </is>
      </c>
      <c r="V61" s="68" t="inlineStr">
        <is>
          <t>FIN-06.05, FIN-08.08, FIN-08.09, FIN-08.10, FIN-20.05, S07, S11</t>
        </is>
      </c>
      <c r="W61" s="83" t="n"/>
    </row>
    <row r="62" ht="23.85" customHeight="1" s="53">
      <c r="A62" s="94" t="inlineStr">
        <is>
          <t>FIN-08.03</t>
        </is>
      </c>
      <c r="B62" s="67" t="inlineStr">
        <is>
          <t>FIN-08</t>
        </is>
      </c>
      <c r="C62" s="95">
        <f>IFERROR(INDEX(Thèmes!$D$2:$D$190,MATCH(B62,Thèmes!$A$2:$A$190,0)),"")</f>
        <v/>
      </c>
      <c r="D62" s="68" t="inlineStr">
        <is>
          <t>F04 · Vos achats et fournisseurs (tableau)</t>
        </is>
      </c>
      <c r="E62" s="68" t="inlineStr">
        <is>
          <t>Vos 3 principaux fournisseurs : achats par mois, hausse de prix sur 12 mois, date de la dernière renégociation, fournisseur de remplacement identifié (oui / non)</t>
        </is>
      </c>
      <c r="F62" s="68" t="inlineStr">
        <is>
          <t>Tableau 3 × 4</t>
        </is>
      </c>
      <c r="G62" s="67" t="inlineStr">
        <is>
          <t>Demandée</t>
        </is>
      </c>
      <c r="H62" s="67" t="inlineStr">
        <is>
          <t>Approfondi</t>
        </is>
      </c>
      <c r="I62" s="99" t="inlineStr">
        <is>
          <t>D08 · si fournisseurs réguliers</t>
        </is>
      </c>
      <c r="J62" s="68" t="inlineStr">
        <is>
          <t>Période adaptée : depuis la création si moins de 12 mois</t>
        </is>
      </c>
      <c r="K62" s="67" t="inlineStr">
        <is>
          <t>●</t>
        </is>
      </c>
      <c r="L62" s="67" t="inlineStr">
        <is>
          <t>●</t>
        </is>
      </c>
      <c r="M62" s="67" t="inlineStr">
        <is>
          <t>●</t>
        </is>
      </c>
      <c r="N62" s="67" t="inlineStr">
        <is>
          <t>●</t>
        </is>
      </c>
      <c r="O62" s="67" t="inlineStr">
        <is>
          <t>●</t>
        </is>
      </c>
      <c r="P62" s="67" t="inlineStr">
        <is>
          <t>●</t>
        </is>
      </c>
      <c r="Q62" s="67" t="inlineStr">
        <is>
          <t>●</t>
        </is>
      </c>
      <c r="R62" s="67" t="inlineStr">
        <is>
          <t>●</t>
        </is>
      </c>
      <c r="S62" s="68" t="inlineStr">
        <is>
          <t>Risque, Levier</t>
        </is>
      </c>
      <c r="T62" s="68" t="inlineStr">
        <is>
          <t>—</t>
        </is>
      </c>
      <c r="U62" s="68" t="inlineStr">
        <is>
          <t>—</t>
        </is>
      </c>
      <c r="V62" s="68" t="inlineStr">
        <is>
          <t>FIN-08.09, FIN-08.10, FIN-08.11, FIN-08.12, FIN-08.13, FIN-30.01</t>
        </is>
      </c>
      <c r="W62" s="83" t="inlineStr">
        <is>
          <t>Niveau</t>
        </is>
      </c>
    </row>
    <row r="63" ht="23.85" customHeight="1" s="53">
      <c r="A63" s="81" t="inlineStr">
        <is>
          <t>FIN-08.04</t>
        </is>
      </c>
      <c r="B63" s="67" t="inlineStr">
        <is>
          <t>FIN-08</t>
        </is>
      </c>
      <c r="C63" s="95">
        <f>IFERROR(INDEX(Thèmes!$D$2:$D$190,MATCH(B63,Thèmes!$A$2:$A$190,0)),"")</f>
        <v/>
      </c>
      <c r="D63" s="68" t="inlineStr">
        <is>
          <t>F04 · Vos achats et fournisseurs (tableau)</t>
        </is>
      </c>
      <c r="E63" s="68" t="inlineStr">
        <is>
          <t>Nombre total de fournisseurs réguliers</t>
        </is>
      </c>
      <c r="F63" s="68" t="inlineStr">
        <is>
          <t>Nombre</t>
        </is>
      </c>
      <c r="G63" s="67" t="inlineStr">
        <is>
          <t>Demandée</t>
        </is>
      </c>
      <c r="H63" s="67" t="inlineStr">
        <is>
          <t>Approfondi</t>
        </is>
      </c>
      <c r="I63" s="99" t="inlineStr">
        <is>
          <t>D08 · si fournisseurs réguliers</t>
        </is>
      </c>
      <c r="J63" s="68" t="inlineStr">
        <is>
          <t>—</t>
        </is>
      </c>
      <c r="K63" s="67" t="inlineStr">
        <is>
          <t>●</t>
        </is>
      </c>
      <c r="L63" s="67" t="inlineStr">
        <is>
          <t>●</t>
        </is>
      </c>
      <c r="M63" s="67" t="inlineStr">
        <is>
          <t>●</t>
        </is>
      </c>
      <c r="N63" s="67" t="inlineStr">
        <is>
          <t>●</t>
        </is>
      </c>
      <c r="O63" s="67" t="inlineStr">
        <is>
          <t>●</t>
        </is>
      </c>
      <c r="P63" s="67" t="inlineStr">
        <is>
          <t>●</t>
        </is>
      </c>
      <c r="Q63" s="67" t="inlineStr">
        <is>
          <t>●</t>
        </is>
      </c>
      <c r="R63" s="67" t="inlineStr">
        <is>
          <t>●</t>
        </is>
      </c>
      <c r="S63" s="68" t="inlineStr">
        <is>
          <t>Risque</t>
        </is>
      </c>
      <c r="T63" s="68" t="inlineStr">
        <is>
          <t>—</t>
        </is>
      </c>
      <c r="U63" s="68" t="inlineStr">
        <is>
          <t>—</t>
        </is>
      </c>
      <c r="V63" s="68" t="inlineStr">
        <is>
          <t>XF11</t>
        </is>
      </c>
      <c r="W63" s="83" t="n"/>
    </row>
    <row r="64" ht="23.85" customHeight="1" s="53">
      <c r="A64" s="81" t="inlineStr">
        <is>
          <t>FIN-08.05</t>
        </is>
      </c>
      <c r="B64" s="67" t="inlineStr">
        <is>
          <t>FIN-08</t>
        </is>
      </c>
      <c r="C64" s="95">
        <f>IFERROR(INDEX(Thèmes!$D$2:$D$190,MATCH(B64,Thèmes!$A$2:$A$190,0)),"")</f>
        <v/>
      </c>
      <c r="D64" s="68" t="inlineStr">
        <is>
          <t>F04 · Vos achats et fournisseurs (tableau)</t>
        </is>
      </c>
      <c r="E64" s="68" t="inlineStr">
        <is>
          <t>Économie obtenue lors de votre dernière renégociation</t>
        </is>
      </c>
      <c r="F64" s="68" t="inlineStr">
        <is>
          <t>%</t>
        </is>
      </c>
      <c r="G64" s="67" t="inlineStr">
        <is>
          <t>Demandée</t>
        </is>
      </c>
      <c r="H64" s="67" t="inlineStr">
        <is>
          <t>Approfondi</t>
        </is>
      </c>
      <c r="I64" s="99" t="inlineStr">
        <is>
          <t>D08 · si fournisseurs réguliers</t>
        </is>
      </c>
      <c r="J64" s="68" t="inlineStr">
        <is>
          <t>—</t>
        </is>
      </c>
      <c r="K64" s="67" t="inlineStr">
        <is>
          <t>●</t>
        </is>
      </c>
      <c r="L64" s="67" t="inlineStr">
        <is>
          <t>●</t>
        </is>
      </c>
      <c r="M64" s="67" t="inlineStr">
        <is>
          <t>●</t>
        </is>
      </c>
      <c r="N64" s="67" t="inlineStr">
        <is>
          <t>●</t>
        </is>
      </c>
      <c r="O64" s="67" t="inlineStr">
        <is>
          <t>●</t>
        </is>
      </c>
      <c r="P64" s="67" t="inlineStr">
        <is>
          <t>●</t>
        </is>
      </c>
      <c r="Q64" s="67" t="inlineStr">
        <is>
          <t>●</t>
        </is>
      </c>
      <c r="R64" s="67" t="inlineStr">
        <is>
          <t>●</t>
        </is>
      </c>
      <c r="S64" s="68" t="inlineStr">
        <is>
          <t>Levier</t>
        </is>
      </c>
      <c r="T64" s="68" t="inlineStr">
        <is>
          <t>—</t>
        </is>
      </c>
      <c r="U64" s="68" t="inlineStr">
        <is>
          <t>—</t>
        </is>
      </c>
      <c r="V64" s="68" t="inlineStr">
        <is>
          <t>XF10</t>
        </is>
      </c>
      <c r="W64" s="83" t="n"/>
    </row>
    <row r="65" ht="23.85" customHeight="1" s="53">
      <c r="A65" s="94" t="inlineStr">
        <is>
          <t>FIN-08.06</t>
        </is>
      </c>
      <c r="B65" s="67" t="inlineStr">
        <is>
          <t>FIN-08</t>
        </is>
      </c>
      <c r="C65" s="95">
        <f>IFERROR(INDEX(Thèmes!$D$2:$D$190,MATCH(B65,Thèmes!$A$2:$A$190,0)),"")</f>
        <v/>
      </c>
      <c r="D65" s="68" t="inlineStr">
        <is>
          <t>F04 · Vos achats et fournisseurs (tableau)</t>
        </is>
      </c>
      <c r="E65" s="68" t="inlineStr">
        <is>
          <t>Délai de livraison de votre fournisseur principal</t>
        </is>
      </c>
      <c r="F65" s="68" t="inlineStr">
        <is>
          <t>Jours</t>
        </is>
      </c>
      <c r="G65" s="67" t="inlineStr">
        <is>
          <t>Demandée</t>
        </is>
      </c>
      <c r="H65" s="67" t="inlineStr">
        <is>
          <t>Approfondi</t>
        </is>
      </c>
      <c r="I65" s="99" t="inlineStr">
        <is>
          <t>D07 · si stock</t>
        </is>
      </c>
      <c r="J65" s="68" t="inlineStr">
        <is>
          <t>—</t>
        </is>
      </c>
      <c r="K65" s="67" t="inlineStr">
        <is>
          <t>●</t>
        </is>
      </c>
      <c r="L65" s="67" t="inlineStr">
        <is>
          <t>●</t>
        </is>
      </c>
      <c r="M65" s="67" t="inlineStr">
        <is>
          <t>●</t>
        </is>
      </c>
      <c r="N65" s="67" t="inlineStr">
        <is>
          <t>●</t>
        </is>
      </c>
      <c r="O65" s="67" t="inlineStr">
        <is>
          <t>●</t>
        </is>
      </c>
      <c r="P65" s="67" t="inlineStr">
        <is>
          <t>●</t>
        </is>
      </c>
      <c r="Q65" s="67" t="inlineStr">
        <is>
          <t>●</t>
        </is>
      </c>
      <c r="R65" s="67" t="inlineStr">
        <is>
          <t>●</t>
        </is>
      </c>
      <c r="S65" s="68" t="inlineStr">
        <is>
          <t>Risque</t>
        </is>
      </c>
      <c r="T65" s="68" t="inlineStr">
        <is>
          <t>—</t>
        </is>
      </c>
      <c r="U65" s="68" t="inlineStr">
        <is>
          <t>—</t>
        </is>
      </c>
      <c r="V65" s="68" t="inlineStr">
        <is>
          <t>FIN-41.05</t>
        </is>
      </c>
      <c r="W65" s="83" t="inlineStr">
        <is>
          <t>Profils ou tailles concernés</t>
        </is>
      </c>
    </row>
    <row r="66" ht="23.85" customHeight="1" s="53">
      <c r="A66" s="81" t="inlineStr">
        <is>
          <t>FIN-08.07</t>
        </is>
      </c>
      <c r="B66" s="67" t="inlineStr">
        <is>
          <t>FIN-08</t>
        </is>
      </c>
      <c r="C66" s="95">
        <f>IFERROR(INDEX(Thèmes!$D$2:$D$190,MATCH(B66,Thèmes!$A$2:$A$190,0)),"")</f>
        <v/>
      </c>
      <c r="D66" s="68" t="inlineStr">
        <is>
          <t>—</t>
        </is>
      </c>
      <c r="E66" s="68" t="inlineStr">
        <is>
          <t>Achats en % du CA (restaurant : coût matière)</t>
        </is>
      </c>
      <c r="F66" s="68" t="inlineStr">
        <is>
          <t>%</t>
        </is>
      </c>
      <c r="G66" s="96" t="inlineStr">
        <is>
          <t>Calculée</t>
        </is>
      </c>
      <c r="H66" s="67" t="inlineStr">
        <is>
          <t>—</t>
        </is>
      </c>
      <c r="I66" s="68" t="inlineStr">
        <is>
          <t>—</t>
        </is>
      </c>
      <c r="J66" s="68" t="inlineStr">
        <is>
          <t>—</t>
        </is>
      </c>
      <c r="K66" s="67" t="inlineStr">
        <is>
          <t>●</t>
        </is>
      </c>
      <c r="L66" s="67" t="inlineStr">
        <is>
          <t>●</t>
        </is>
      </c>
      <c r="M66" s="67" t="inlineStr">
        <is>
          <t>●</t>
        </is>
      </c>
      <c r="N66" s="67" t="inlineStr">
        <is>
          <t>●</t>
        </is>
      </c>
      <c r="O66" s="67" t="inlineStr">
        <is>
          <t>●</t>
        </is>
      </c>
      <c r="P66" s="67" t="inlineStr">
        <is>
          <t>●</t>
        </is>
      </c>
      <c r="Q66" s="67" t="inlineStr">
        <is>
          <t>●</t>
        </is>
      </c>
      <c r="R66" s="67" t="inlineStr">
        <is>
          <t>●</t>
        </is>
      </c>
      <c r="S66" s="68" t="inlineStr">
        <is>
          <t>Cible</t>
        </is>
      </c>
      <c r="T66" s="68" t="inlineStr">
        <is>
          <t>Achats ÷ CA mensuel</t>
        </is>
      </c>
      <c r="U66" s="68" t="inlineStr">
        <is>
          <t>FIN-08.01, Inscription · CA mensuel</t>
        </is>
      </c>
      <c r="V66" s="68" t="inlineStr">
        <is>
          <t>FIN-32.01, XF05, XF49</t>
        </is>
      </c>
      <c r="W66" s="83" t="n"/>
    </row>
    <row r="67" ht="23.85" customHeight="1" s="53">
      <c r="A67" s="81" t="inlineStr">
        <is>
          <t>FIN-08.08</t>
        </is>
      </c>
      <c r="B67" s="67" t="inlineStr">
        <is>
          <t>FIN-08</t>
        </is>
      </c>
      <c r="C67" s="95">
        <f>IFERROR(INDEX(Thèmes!$D$2:$D$190,MATCH(B67,Thèmes!$A$2:$A$190,0)),"")</f>
        <v/>
      </c>
      <c r="D67" s="68" t="inlineStr">
        <is>
          <t>—</t>
        </is>
      </c>
      <c r="E67" s="68" t="inlineStr">
        <is>
          <t>Sous-traitance en % du CA</t>
        </is>
      </c>
      <c r="F67" s="68" t="inlineStr">
        <is>
          <t>%</t>
        </is>
      </c>
      <c r="G67" s="96" t="inlineStr">
        <is>
          <t>Calculée</t>
        </is>
      </c>
      <c r="H67" s="67" t="inlineStr">
        <is>
          <t>—</t>
        </is>
      </c>
      <c r="I67" s="68" t="inlineStr">
        <is>
          <t>—</t>
        </is>
      </c>
      <c r="J67" s="68" t="inlineStr">
        <is>
          <t>—</t>
        </is>
      </c>
      <c r="K67" s="67" t="inlineStr">
        <is>
          <t>●</t>
        </is>
      </c>
      <c r="L67" s="67" t="inlineStr">
        <is>
          <t>●</t>
        </is>
      </c>
      <c r="M67" s="67" t="inlineStr">
        <is>
          <t>●</t>
        </is>
      </c>
      <c r="N67" s="67" t="inlineStr">
        <is>
          <t>●</t>
        </is>
      </c>
      <c r="O67" s="67" t="inlineStr">
        <is>
          <t>●</t>
        </is>
      </c>
      <c r="P67" s="67" t="inlineStr">
        <is>
          <t>●</t>
        </is>
      </c>
      <c r="Q67" s="67" t="inlineStr">
        <is>
          <t>●</t>
        </is>
      </c>
      <c r="R67" s="67" t="inlineStr">
        <is>
          <t>●</t>
        </is>
      </c>
      <c r="S67" s="68" t="inlineStr">
        <is>
          <t>Cible</t>
        </is>
      </c>
      <c r="T67" s="68" t="inlineStr">
        <is>
          <t>Sous-traitance ÷ CA mensuel</t>
        </is>
      </c>
      <c r="U67" s="68" t="inlineStr">
        <is>
          <t>FIN-08.02, Inscription · CA mensuel</t>
        </is>
      </c>
      <c r="V67" s="68" t="inlineStr">
        <is>
          <t>XF05</t>
        </is>
      </c>
      <c r="W67" s="83" t="n"/>
    </row>
    <row r="68" ht="23.85" customHeight="1" s="53">
      <c r="A68" s="81" t="inlineStr">
        <is>
          <t>FIN-08.09</t>
        </is>
      </c>
      <c r="B68" s="67" t="inlineStr">
        <is>
          <t>FIN-08</t>
        </is>
      </c>
      <c r="C68" s="95">
        <f>IFERROR(INDEX(Thèmes!$D$2:$D$190,MATCH(B68,Thèmes!$A$2:$A$190,0)),"")</f>
        <v/>
      </c>
      <c r="D68" s="68" t="inlineStr">
        <is>
          <t>—</t>
        </is>
      </c>
      <c r="E68" s="68" t="inlineStr">
        <is>
          <t>Part du 1er fournisseur dans les achats</t>
        </is>
      </c>
      <c r="F68" s="68" t="inlineStr">
        <is>
          <t>%</t>
        </is>
      </c>
      <c r="G68" s="96" t="inlineStr">
        <is>
          <t>Calculée</t>
        </is>
      </c>
      <c r="H68" s="67" t="inlineStr">
        <is>
          <t>—</t>
        </is>
      </c>
      <c r="I68" s="68" t="inlineStr">
        <is>
          <t>—</t>
        </is>
      </c>
      <c r="J68" s="68" t="inlineStr">
        <is>
          <t>—</t>
        </is>
      </c>
      <c r="K68" s="67" t="inlineStr">
        <is>
          <t>●</t>
        </is>
      </c>
      <c r="L68" s="67" t="inlineStr">
        <is>
          <t>●</t>
        </is>
      </c>
      <c r="M68" s="67" t="inlineStr">
        <is>
          <t>●</t>
        </is>
      </c>
      <c r="N68" s="67" t="inlineStr">
        <is>
          <t>●</t>
        </is>
      </c>
      <c r="O68" s="67" t="inlineStr">
        <is>
          <t>●</t>
        </is>
      </c>
      <c r="P68" s="67" t="inlineStr">
        <is>
          <t>●</t>
        </is>
      </c>
      <c r="Q68" s="67" t="inlineStr">
        <is>
          <t>●</t>
        </is>
      </c>
      <c r="R68" s="67" t="inlineStr">
        <is>
          <t>●</t>
        </is>
      </c>
      <c r="S68" s="68" t="inlineStr">
        <is>
          <t>Risque</t>
        </is>
      </c>
      <c r="T68" s="68" t="inlineStr">
        <is>
          <t>Achats du 1er fournisseur ÷ (achats + sous-traitance)</t>
        </is>
      </c>
      <c r="U68" s="68" t="inlineStr">
        <is>
          <t>FIN-08.03, FIN-08.01, FIN-08.02</t>
        </is>
      </c>
      <c r="V68" s="68" t="inlineStr">
        <is>
          <t>FIN-30.01, XF10</t>
        </is>
      </c>
      <c r="W68" s="83" t="n"/>
    </row>
    <row r="69" ht="23.85" customHeight="1" s="53">
      <c r="A69" s="81" t="inlineStr">
        <is>
          <t>FIN-08.10</t>
        </is>
      </c>
      <c r="B69" s="67" t="inlineStr">
        <is>
          <t>FIN-08</t>
        </is>
      </c>
      <c r="C69" s="95">
        <f>IFERROR(INDEX(Thèmes!$D$2:$D$190,MATCH(B69,Thèmes!$A$2:$A$190,0)),"")</f>
        <v/>
      </c>
      <c r="D69" s="68" t="inlineStr">
        <is>
          <t>—</t>
        </is>
      </c>
      <c r="E69" s="68" t="inlineStr">
        <is>
          <t>Part des 3 principaux fournisseurs</t>
        </is>
      </c>
      <c r="F69" s="68" t="inlineStr">
        <is>
          <t>%</t>
        </is>
      </c>
      <c r="G69" s="96" t="inlineStr">
        <is>
          <t>Calculée</t>
        </is>
      </c>
      <c r="H69" s="67" t="inlineStr">
        <is>
          <t>—</t>
        </is>
      </c>
      <c r="I69" s="68" t="inlineStr">
        <is>
          <t>—</t>
        </is>
      </c>
      <c r="J69" s="68" t="inlineStr">
        <is>
          <t>—</t>
        </is>
      </c>
      <c r="K69" s="67" t="inlineStr">
        <is>
          <t>●</t>
        </is>
      </c>
      <c r="L69" s="67" t="inlineStr">
        <is>
          <t>●</t>
        </is>
      </c>
      <c r="M69" s="67" t="inlineStr">
        <is>
          <t>●</t>
        </is>
      </c>
      <c r="N69" s="67" t="inlineStr">
        <is>
          <t>●</t>
        </is>
      </c>
      <c r="O69" s="67" t="inlineStr">
        <is>
          <t>●</t>
        </is>
      </c>
      <c r="P69" s="67" t="inlineStr">
        <is>
          <t>●</t>
        </is>
      </c>
      <c r="Q69" s="67" t="inlineStr">
        <is>
          <t>●</t>
        </is>
      </c>
      <c r="R69" s="67" t="inlineStr">
        <is>
          <t>●</t>
        </is>
      </c>
      <c r="S69" s="68" t="inlineStr">
        <is>
          <t>Risque</t>
        </is>
      </c>
      <c r="T69" s="68" t="inlineStr">
        <is>
          <t>Achats des 3 premiers ÷ (achats + sous-traitance)</t>
        </is>
      </c>
      <c r="U69" s="68" t="inlineStr">
        <is>
          <t>FIN-08.03, FIN-08.01, FIN-08.02</t>
        </is>
      </c>
      <c r="V69" s="68" t="inlineStr">
        <is>
          <t>XF11</t>
        </is>
      </c>
      <c r="W69" s="83" t="n"/>
    </row>
    <row r="70" ht="23.85" customHeight="1" s="53">
      <c r="A70" s="81" t="inlineStr">
        <is>
          <t>FIN-08.11</t>
        </is>
      </c>
      <c r="B70" s="67" t="inlineStr">
        <is>
          <t>FIN-08</t>
        </is>
      </c>
      <c r="C70" s="95">
        <f>IFERROR(INDEX(Thèmes!$D$2:$D$190,MATCH(B70,Thèmes!$A$2:$A$190,0)),"")</f>
        <v/>
      </c>
      <c r="D70" s="68" t="inlineStr">
        <is>
          <t>—</t>
        </is>
      </c>
      <c r="E70" s="68" t="inlineStr">
        <is>
          <t>Hausse moyenne des prix fournisseurs sur 12 mois</t>
        </is>
      </c>
      <c r="F70" s="68" t="inlineStr">
        <is>
          <t>% et €</t>
        </is>
      </c>
      <c r="G70" s="96" t="inlineStr">
        <is>
          <t>Calculée</t>
        </is>
      </c>
      <c r="H70" s="67" t="inlineStr">
        <is>
          <t>—</t>
        </is>
      </c>
      <c r="I70" s="68" t="inlineStr">
        <is>
          <t>—</t>
        </is>
      </c>
      <c r="J70" s="68" t="inlineStr">
        <is>
          <t>—</t>
        </is>
      </c>
      <c r="K70" s="67" t="inlineStr">
        <is>
          <t>●</t>
        </is>
      </c>
      <c r="L70" s="67" t="inlineStr">
        <is>
          <t>●</t>
        </is>
      </c>
      <c r="M70" s="67" t="inlineStr">
        <is>
          <t>●</t>
        </is>
      </c>
      <c r="N70" s="67" t="inlineStr">
        <is>
          <t>●</t>
        </is>
      </c>
      <c r="O70" s="67" t="inlineStr">
        <is>
          <t>●</t>
        </is>
      </c>
      <c r="P70" s="67" t="inlineStr">
        <is>
          <t>●</t>
        </is>
      </c>
      <c r="Q70" s="67" t="inlineStr">
        <is>
          <t>●</t>
        </is>
      </c>
      <c r="R70" s="67" t="inlineStr">
        <is>
          <t>●</t>
        </is>
      </c>
      <c r="S70" s="68" t="inlineStr">
        <is>
          <t>Problème</t>
        </is>
      </c>
      <c r="T70" s="68" t="inlineStr">
        <is>
          <t>Hausse de chaque fournisseur pondérée par ses achats</t>
        </is>
      </c>
      <c r="U70" s="68" t="inlineStr">
        <is>
          <t>FIN-08.03</t>
        </is>
      </c>
      <c r="V70" s="68" t="inlineStr">
        <is>
          <t>FIN-04.04, XF07, XF09</t>
        </is>
      </c>
      <c r="W70" s="83" t="n"/>
    </row>
    <row r="71" ht="23.85" customHeight="1" s="53">
      <c r="A71" s="81" t="inlineStr">
        <is>
          <t>FIN-08.12</t>
        </is>
      </c>
      <c r="B71" s="67" t="inlineStr">
        <is>
          <t>FIN-08</t>
        </is>
      </c>
      <c r="C71" s="95">
        <f>IFERROR(INDEX(Thèmes!$D$2:$D$190,MATCH(B71,Thèmes!$A$2:$A$190,0)),"")</f>
        <v/>
      </c>
      <c r="D71" s="68" t="inlineStr">
        <is>
          <t>—</t>
        </is>
      </c>
      <c r="E71" s="68" t="inlineStr">
        <is>
          <t>Mois depuis la dernière renégociation du 1er fournisseur</t>
        </is>
      </c>
      <c r="F71" s="68" t="inlineStr">
        <is>
          <t>Mois</t>
        </is>
      </c>
      <c r="G71" s="96" t="inlineStr">
        <is>
          <t>Calculée</t>
        </is>
      </c>
      <c r="H71" s="67" t="inlineStr">
        <is>
          <t>—</t>
        </is>
      </c>
      <c r="I71" s="68" t="inlineStr">
        <is>
          <t>—</t>
        </is>
      </c>
      <c r="J71" s="68" t="inlineStr">
        <is>
          <t>—</t>
        </is>
      </c>
      <c r="K71" s="67" t="inlineStr">
        <is>
          <t>●</t>
        </is>
      </c>
      <c r="L71" s="67" t="inlineStr">
        <is>
          <t>●</t>
        </is>
      </c>
      <c r="M71" s="67" t="inlineStr">
        <is>
          <t>●</t>
        </is>
      </c>
      <c r="N71" s="67" t="inlineStr">
        <is>
          <t>●</t>
        </is>
      </c>
      <c r="O71" s="67" t="inlineStr">
        <is>
          <t>●</t>
        </is>
      </c>
      <c r="P71" s="67" t="inlineStr">
        <is>
          <t>●</t>
        </is>
      </c>
      <c r="Q71" s="67" t="inlineStr">
        <is>
          <t>●</t>
        </is>
      </c>
      <c r="R71" s="67" t="inlineStr">
        <is>
          <t>●</t>
        </is>
      </c>
      <c r="S71" s="68" t="inlineStr">
        <is>
          <t>Levier</t>
        </is>
      </c>
      <c r="T71" s="68" t="inlineStr">
        <is>
          <t>Date du jour − date de la dernière renégociation</t>
        </is>
      </c>
      <c r="U71" s="68" t="inlineStr">
        <is>
          <t>FIN-08.03</t>
        </is>
      </c>
      <c r="V71" s="68" t="inlineStr">
        <is>
          <t>XF10</t>
        </is>
      </c>
      <c r="W71" s="83" t="n"/>
    </row>
    <row r="72" ht="68.65000000000001" customHeight="1" s="53">
      <c r="A72" s="81" t="inlineStr">
        <is>
          <t>FIN-08.13</t>
        </is>
      </c>
      <c r="B72" s="67" t="inlineStr">
        <is>
          <t>FIN-08</t>
        </is>
      </c>
      <c r="C72" s="95">
        <f>IFERROR(INDEX(Thèmes!$D$2:$D$190,MATCH(B72,Thèmes!$A$2:$A$190,0)),"")</f>
        <v/>
      </c>
      <c r="D72" s="68" t="inlineStr">
        <is>
          <t>—</t>
        </is>
      </c>
      <c r="E72" s="68" t="inlineStr">
        <is>
          <t>Économie annuelle d'une baisse de 5 % chez le 1er fournisseur</t>
        </is>
      </c>
      <c r="F72" s="68" t="inlineStr">
        <is>
          <t>€</t>
        </is>
      </c>
      <c r="G72" s="96" t="inlineStr">
        <is>
          <t>Calculée</t>
        </is>
      </c>
      <c r="H72" s="67" t="inlineStr">
        <is>
          <t>—</t>
        </is>
      </c>
      <c r="I72" s="68" t="inlineStr">
        <is>
          <t>—</t>
        </is>
      </c>
      <c r="J72" s="68" t="inlineStr">
        <is>
          <t>—</t>
        </is>
      </c>
      <c r="K72" s="67" t="inlineStr">
        <is>
          <t>●</t>
        </is>
      </c>
      <c r="L72" s="67" t="inlineStr">
        <is>
          <t>●</t>
        </is>
      </c>
      <c r="M72" s="67" t="inlineStr">
        <is>
          <t>●</t>
        </is>
      </c>
      <c r="N72" s="67" t="inlineStr">
        <is>
          <t>●</t>
        </is>
      </c>
      <c r="O72" s="67" t="inlineStr">
        <is>
          <t>●</t>
        </is>
      </c>
      <c r="P72" s="67" t="inlineStr">
        <is>
          <t>●</t>
        </is>
      </c>
      <c r="Q72" s="67" t="inlineStr">
        <is>
          <t>●</t>
        </is>
      </c>
      <c r="R72" s="67" t="inlineStr">
        <is>
          <t>●</t>
        </is>
      </c>
      <c r="S72" s="68" t="inlineStr">
        <is>
          <t>Potentiel CA</t>
        </is>
      </c>
      <c r="T72" s="68" t="inlineStr">
        <is>
          <t>Achats du 1er fournisseur × 5 % × 12</t>
        </is>
      </c>
      <c r="U72" s="68" t="inlineStr">
        <is>
          <t>FIN-08.03</t>
        </is>
      </c>
      <c r="V72" s="68" t="inlineStr">
        <is>
          <t>XF10</t>
        </is>
      </c>
      <c r="W72" s="83" t="n"/>
    </row>
    <row r="73" ht="35.05" customHeight="1" s="53">
      <c r="A73" s="98" t="inlineStr">
        <is>
          <t>FIN-09.01</t>
        </is>
      </c>
      <c r="B73" s="89" t="inlineStr">
        <is>
          <t>FIN-09</t>
        </is>
      </c>
      <c r="C73" s="97">
        <f>IFERROR(INDEX(Thèmes!$D$2:$D$190,MATCH(B73,Thèmes!$A$2:$A$190,0)),"")</f>
        <v/>
      </c>
      <c r="D73" s="86" t="inlineStr">
        <is>
          <t>F05 · Vos abonnements et contrats (tableau)</t>
        </is>
      </c>
      <c r="E73" s="86" t="inlineStr">
        <is>
          <t>Vos abonnements et contrats (logiciels, télécoms, maintenance, location de matériel…) : coût par mois, nombre d'utilisateurs, date de renouvellement, résiliable ou engagé, peu ou pas utilisé. Sans les outils marketing (budget marketing) ni les leasings (déclarés avec les crédits)</t>
        </is>
      </c>
      <c r="F73" s="86" t="inlineStr">
        <is>
          <t>Tableau (une ligne par contrat)</t>
        </is>
      </c>
      <c r="G73" s="89" t="inlineStr">
        <is>
          <t>Demandée</t>
        </is>
      </c>
      <c r="H73" s="89" t="inlineStr">
        <is>
          <t>Approfondi</t>
        </is>
      </c>
      <c r="I73" s="86" t="inlineStr">
        <is>
          <t>—</t>
        </is>
      </c>
      <c r="J73" s="86" t="inlineStr">
        <is>
          <t>—</t>
        </is>
      </c>
      <c r="K73" s="89" t="inlineStr">
        <is>
          <t>●</t>
        </is>
      </c>
      <c r="L73" s="89" t="inlineStr">
        <is>
          <t>●</t>
        </is>
      </c>
      <c r="M73" s="89" t="inlineStr">
        <is>
          <t>●</t>
        </is>
      </c>
      <c r="N73" s="89" t="inlineStr">
        <is>
          <t>●</t>
        </is>
      </c>
      <c r="O73" s="89" t="inlineStr">
        <is>
          <t>●</t>
        </is>
      </c>
      <c r="P73" s="89" t="inlineStr">
        <is>
          <t>●</t>
        </is>
      </c>
      <c r="Q73" s="89" t="inlineStr">
        <is>
          <t>●</t>
        </is>
      </c>
      <c r="R73" s="89" t="inlineStr">
        <is>
          <t>●</t>
        </is>
      </c>
      <c r="S73" s="86" t="inlineStr">
        <is>
          <t>Perte, Levier</t>
        </is>
      </c>
      <c r="T73" s="86" t="inlineStr">
        <is>
          <t>—</t>
        </is>
      </c>
      <c r="U73" s="86" t="inlineStr">
        <is>
          <t>—</t>
        </is>
      </c>
      <c r="V73" s="86" t="inlineStr">
        <is>
          <t>FIN-09.04, FIN-09.05, FIN-09.06, FIN-09.07, FIN-09.08, FIN-09.09</t>
        </is>
      </c>
      <c r="W73" s="91" t="inlineStr">
        <is>
          <t>Niveau</t>
        </is>
      </c>
    </row>
    <row r="74" ht="35.05" customHeight="1" s="53">
      <c r="A74" s="94" t="inlineStr">
        <is>
          <t>FIN-09.02</t>
        </is>
      </c>
      <c r="B74" s="67" t="inlineStr">
        <is>
          <t>FIN-09</t>
        </is>
      </c>
      <c r="C74" s="95">
        <f>IFERROR(INDEX(Thèmes!$D$2:$D$190,MATCH(B74,Thèmes!$A$2:$A$190,0)),"")</f>
        <v/>
      </c>
      <c r="D74" s="68" t="inlineStr">
        <is>
          <t>F05 · Vos abonnements et contrats (tableau)</t>
        </is>
      </c>
      <c r="E74" s="68" t="inlineStr">
        <is>
          <t>Nombre de contrats dont le prix a augmenté sur 12 mois</t>
        </is>
      </c>
      <c r="F74" s="68" t="inlineStr">
        <is>
          <t>Case par ligne</t>
        </is>
      </c>
      <c r="G74" s="67" t="inlineStr">
        <is>
          <t>Demandée</t>
        </is>
      </c>
      <c r="H74" s="67" t="inlineStr">
        <is>
          <t>Approfondi</t>
        </is>
      </c>
      <c r="I74" s="68" t="inlineStr">
        <is>
          <t>—</t>
        </is>
      </c>
      <c r="J74" s="68" t="inlineStr">
        <is>
          <t>Période adaptée : depuis la création si moins de 12 mois</t>
        </is>
      </c>
      <c r="K74" s="67" t="inlineStr">
        <is>
          <t>●</t>
        </is>
      </c>
      <c r="L74" s="67" t="inlineStr">
        <is>
          <t>●</t>
        </is>
      </c>
      <c r="M74" s="67" t="inlineStr">
        <is>
          <t>●</t>
        </is>
      </c>
      <c r="N74" s="67" t="inlineStr">
        <is>
          <t>●</t>
        </is>
      </c>
      <c r="O74" s="67" t="inlineStr">
        <is>
          <t>●</t>
        </is>
      </c>
      <c r="P74" s="67" t="inlineStr">
        <is>
          <t>●</t>
        </is>
      </c>
      <c r="Q74" s="67" t="inlineStr">
        <is>
          <t>●</t>
        </is>
      </c>
      <c r="R74" s="67" t="inlineStr">
        <is>
          <t>●</t>
        </is>
      </c>
      <c r="S74" s="68" t="inlineStr">
        <is>
          <t>Problème</t>
        </is>
      </c>
      <c r="T74" s="68" t="inlineStr">
        <is>
          <t>—</t>
        </is>
      </c>
      <c r="U74" s="68" t="inlineStr">
        <is>
          <t>—</t>
        </is>
      </c>
      <c r="V74" s="68" t="inlineStr">
        <is>
          <t>XF12</t>
        </is>
      </c>
      <c r="W74" s="83" t="inlineStr">
        <is>
          <t>Libellé (« Donnée »)</t>
        </is>
      </c>
    </row>
    <row r="75" ht="23.85" customHeight="1" s="53">
      <c r="A75" s="81" t="inlineStr">
        <is>
          <t>FIN-09.03</t>
        </is>
      </c>
      <c r="B75" s="67" t="inlineStr">
        <is>
          <t>FIN-09</t>
        </is>
      </c>
      <c r="C75" s="95">
        <f>IFERROR(INDEX(Thèmes!$D$2:$D$190,MATCH(B75,Thèmes!$A$2:$A$190,0)),"")</f>
        <v/>
      </c>
      <c r="D75" s="68" t="inlineStr">
        <is>
          <t>F05 · Vos abonnements et contrats (tableau)</t>
        </is>
      </c>
      <c r="E75" s="68" t="inlineStr">
        <is>
          <t>Contrats renégociés ou remis en concurrence sur 12 mois</t>
        </is>
      </c>
      <c r="F75" s="68" t="inlineStr">
        <is>
          <t>Nombre</t>
        </is>
      </c>
      <c r="G75" s="67" t="inlineStr">
        <is>
          <t>Demandée</t>
        </is>
      </c>
      <c r="H75" s="67" t="inlineStr">
        <is>
          <t>Approfondi</t>
        </is>
      </c>
      <c r="I75" s="68" t="inlineStr">
        <is>
          <t>—</t>
        </is>
      </c>
      <c r="J75" s="68" t="inlineStr">
        <is>
          <t>Période adaptée : depuis la création si moins de 12 mois</t>
        </is>
      </c>
      <c r="K75" s="67" t="inlineStr">
        <is>
          <t>●</t>
        </is>
      </c>
      <c r="L75" s="67" t="inlineStr">
        <is>
          <t>●</t>
        </is>
      </c>
      <c r="M75" s="67" t="inlineStr">
        <is>
          <t>●</t>
        </is>
      </c>
      <c r="N75" s="67" t="inlineStr">
        <is>
          <t>●</t>
        </is>
      </c>
      <c r="O75" s="67" t="inlineStr">
        <is>
          <t>●</t>
        </is>
      </c>
      <c r="P75" s="67" t="inlineStr">
        <is>
          <t>●</t>
        </is>
      </c>
      <c r="Q75" s="67" t="inlineStr">
        <is>
          <t>●</t>
        </is>
      </c>
      <c r="R75" s="67" t="inlineStr">
        <is>
          <t>●</t>
        </is>
      </c>
      <c r="S75" s="68" t="inlineStr">
        <is>
          <t>Levier</t>
        </is>
      </c>
      <c r="T75" s="68" t="inlineStr">
        <is>
          <t>—</t>
        </is>
      </c>
      <c r="U75" s="68" t="inlineStr">
        <is>
          <t>—</t>
        </is>
      </c>
      <c r="V75" s="68" t="inlineStr">
        <is>
          <t>Notée directement (couleur du thème)</t>
        </is>
      </c>
      <c r="W75" s="83" t="n"/>
    </row>
    <row r="76" ht="23.85" customHeight="1" s="53">
      <c r="A76" s="81" t="inlineStr">
        <is>
          <t>FIN-09.04</t>
        </is>
      </c>
      <c r="B76" s="67" t="inlineStr">
        <is>
          <t>FIN-09</t>
        </is>
      </c>
      <c r="C76" s="95">
        <f>IFERROR(INDEX(Thèmes!$D$2:$D$190,MATCH(B76,Thèmes!$A$2:$A$190,0)),"")</f>
        <v/>
      </c>
      <c r="D76" s="68" t="inlineStr">
        <is>
          <t>—</t>
        </is>
      </c>
      <c r="E76" s="68" t="inlineStr">
        <is>
          <t>Nombre d'abonnements et de contrats</t>
        </is>
      </c>
      <c r="F76" s="68" t="inlineStr">
        <is>
          <t>Nombre</t>
        </is>
      </c>
      <c r="G76" s="96" t="inlineStr">
        <is>
          <t>Calculée</t>
        </is>
      </c>
      <c r="H76" s="67" t="inlineStr">
        <is>
          <t>—</t>
        </is>
      </c>
      <c r="I76" s="68" t="inlineStr">
        <is>
          <t>—</t>
        </is>
      </c>
      <c r="J76" s="68" t="inlineStr">
        <is>
          <t>—</t>
        </is>
      </c>
      <c r="K76" s="67" t="inlineStr">
        <is>
          <t>●</t>
        </is>
      </c>
      <c r="L76" s="67" t="inlineStr">
        <is>
          <t>●</t>
        </is>
      </c>
      <c r="M76" s="67" t="inlineStr">
        <is>
          <t>●</t>
        </is>
      </c>
      <c r="N76" s="67" t="inlineStr">
        <is>
          <t>●</t>
        </is>
      </c>
      <c r="O76" s="67" t="inlineStr">
        <is>
          <t>●</t>
        </is>
      </c>
      <c r="P76" s="67" t="inlineStr">
        <is>
          <t>●</t>
        </is>
      </c>
      <c r="Q76" s="67" t="inlineStr">
        <is>
          <t>●</t>
        </is>
      </c>
      <c r="R76" s="67" t="inlineStr">
        <is>
          <t>●</t>
        </is>
      </c>
      <c r="S76" s="68" t="inlineStr">
        <is>
          <t>Mesure</t>
        </is>
      </c>
      <c r="T76" s="68" t="inlineStr">
        <is>
          <t>Lignes du tableau</t>
        </is>
      </c>
      <c r="U76" s="68" t="inlineStr">
        <is>
          <t>FIN-09.01</t>
        </is>
      </c>
      <c r="V76" s="68" t="inlineStr">
        <is>
          <t>Affichée dans le rapport</t>
        </is>
      </c>
      <c r="W76" s="83" t="n"/>
    </row>
    <row r="77" ht="23.85" customHeight="1" s="53">
      <c r="A77" s="81" t="inlineStr">
        <is>
          <t>FIN-09.05</t>
        </is>
      </c>
      <c r="B77" s="67" t="inlineStr">
        <is>
          <t>FIN-09</t>
        </is>
      </c>
      <c r="C77" s="95">
        <f>IFERROR(INDEX(Thèmes!$D$2:$D$190,MATCH(B77,Thèmes!$A$2:$A$190,0)),"")</f>
        <v/>
      </c>
      <c r="D77" s="68" t="inlineStr">
        <is>
          <t>—</t>
        </is>
      </c>
      <c r="E77" s="68" t="inlineStr">
        <is>
          <t>Coût total des abonnements, par mois et par an</t>
        </is>
      </c>
      <c r="F77" s="68" t="inlineStr">
        <is>
          <t>€</t>
        </is>
      </c>
      <c r="G77" s="96" t="inlineStr">
        <is>
          <t>Calculée</t>
        </is>
      </c>
      <c r="H77" s="67" t="inlineStr">
        <is>
          <t>—</t>
        </is>
      </c>
      <c r="I77" s="68" t="inlineStr">
        <is>
          <t>—</t>
        </is>
      </c>
      <c r="J77" s="68" t="inlineStr">
        <is>
          <t>—</t>
        </is>
      </c>
      <c r="K77" s="67" t="inlineStr">
        <is>
          <t>●</t>
        </is>
      </c>
      <c r="L77" s="67" t="inlineStr">
        <is>
          <t>●</t>
        </is>
      </c>
      <c r="M77" s="67" t="inlineStr">
        <is>
          <t>●</t>
        </is>
      </c>
      <c r="N77" s="67" t="inlineStr">
        <is>
          <t>●</t>
        </is>
      </c>
      <c r="O77" s="67" t="inlineStr">
        <is>
          <t>●</t>
        </is>
      </c>
      <c r="P77" s="67" t="inlineStr">
        <is>
          <t>●</t>
        </is>
      </c>
      <c r="Q77" s="67" t="inlineStr">
        <is>
          <t>●</t>
        </is>
      </c>
      <c r="R77" s="67" t="inlineStr">
        <is>
          <t>●</t>
        </is>
      </c>
      <c r="S77" s="68" t="inlineStr">
        <is>
          <t>Mesure</t>
        </is>
      </c>
      <c r="T77" s="68" t="inlineStr">
        <is>
          <t>Somme des coûts mensuels, puis × 12</t>
        </is>
      </c>
      <c r="U77" s="68" t="inlineStr">
        <is>
          <t>FIN-09.01</t>
        </is>
      </c>
      <c r="V77" s="68" t="inlineStr">
        <is>
          <t>FIN-05.08, XF12</t>
        </is>
      </c>
      <c r="W77" s="83" t="n"/>
    </row>
    <row r="78" ht="23.85" customHeight="1" s="53">
      <c r="A78" s="81" t="inlineStr">
        <is>
          <t>FIN-09.06</t>
        </is>
      </c>
      <c r="B78" s="67" t="inlineStr">
        <is>
          <t>FIN-09</t>
        </is>
      </c>
      <c r="C78" s="95">
        <f>IFERROR(INDEX(Thèmes!$D$2:$D$190,MATCH(B78,Thèmes!$A$2:$A$190,0)),"")</f>
        <v/>
      </c>
      <c r="D78" s="68" t="inlineStr">
        <is>
          <t>—</t>
        </is>
      </c>
      <c r="E78" s="68" t="inlineStr">
        <is>
          <t>Coût par utilisateur de chaque logiciel</t>
        </is>
      </c>
      <c r="F78" s="68" t="inlineStr">
        <is>
          <t>€</t>
        </is>
      </c>
      <c r="G78" s="96" t="inlineStr">
        <is>
          <t>Calculée</t>
        </is>
      </c>
      <c r="H78" s="67" t="inlineStr">
        <is>
          <t>—</t>
        </is>
      </c>
      <c r="I78" s="68" t="inlineStr">
        <is>
          <t>—</t>
        </is>
      </c>
      <c r="J78" s="68" t="inlineStr">
        <is>
          <t>—</t>
        </is>
      </c>
      <c r="K78" s="67" t="inlineStr">
        <is>
          <t>●</t>
        </is>
      </c>
      <c r="L78" s="67" t="inlineStr">
        <is>
          <t>●</t>
        </is>
      </c>
      <c r="M78" s="67" t="inlineStr">
        <is>
          <t>●</t>
        </is>
      </c>
      <c r="N78" s="67" t="inlineStr">
        <is>
          <t>●</t>
        </is>
      </c>
      <c r="O78" s="67" t="inlineStr">
        <is>
          <t>●</t>
        </is>
      </c>
      <c r="P78" s="67" t="inlineStr">
        <is>
          <t>●</t>
        </is>
      </c>
      <c r="Q78" s="67" t="inlineStr">
        <is>
          <t>●</t>
        </is>
      </c>
      <c r="R78" s="67" t="inlineStr">
        <is>
          <t>●</t>
        </is>
      </c>
      <c r="S78" s="68" t="inlineStr">
        <is>
          <t>Levier</t>
        </is>
      </c>
      <c r="T78" s="68" t="inlineStr">
        <is>
          <t>Coût mensuel ÷ utilisateurs</t>
        </is>
      </c>
      <c r="U78" s="68" t="inlineStr">
        <is>
          <t>FIN-09.01</t>
        </is>
      </c>
      <c r="V78" s="68" t="inlineStr">
        <is>
          <t>Affichée dans le rapport</t>
        </is>
      </c>
      <c r="W78" s="83" t="n"/>
    </row>
    <row r="79" ht="23.85" customHeight="1" s="53">
      <c r="A79" s="81" t="inlineStr">
        <is>
          <t>FIN-09.07</t>
        </is>
      </c>
      <c r="B79" s="67" t="inlineStr">
        <is>
          <t>FIN-09</t>
        </is>
      </c>
      <c r="C79" s="95">
        <f>IFERROR(INDEX(Thèmes!$D$2:$D$190,MATCH(B79,Thèmes!$A$2:$A$190,0)),"")</f>
        <v/>
      </c>
      <c r="D79" s="68" t="inlineStr">
        <is>
          <t>—</t>
        </is>
      </c>
      <c r="E79" s="68" t="inlineStr">
        <is>
          <t>Coût annuel des contrats peu ou pas utilisés</t>
        </is>
      </c>
      <c r="F79" s="68" t="inlineStr">
        <is>
          <t>€</t>
        </is>
      </c>
      <c r="G79" s="96" t="inlineStr">
        <is>
          <t>Calculée</t>
        </is>
      </c>
      <c r="H79" s="67" t="inlineStr">
        <is>
          <t>—</t>
        </is>
      </c>
      <c r="I79" s="68" t="inlineStr">
        <is>
          <t>—</t>
        </is>
      </c>
      <c r="J79" s="68" t="inlineStr">
        <is>
          <t>—</t>
        </is>
      </c>
      <c r="K79" s="67" t="inlineStr">
        <is>
          <t>●</t>
        </is>
      </c>
      <c r="L79" s="67" t="inlineStr">
        <is>
          <t>●</t>
        </is>
      </c>
      <c r="M79" s="67" t="inlineStr">
        <is>
          <t>●</t>
        </is>
      </c>
      <c r="N79" s="67" t="inlineStr">
        <is>
          <t>●</t>
        </is>
      </c>
      <c r="O79" s="67" t="inlineStr">
        <is>
          <t>●</t>
        </is>
      </c>
      <c r="P79" s="67" t="inlineStr">
        <is>
          <t>●</t>
        </is>
      </c>
      <c r="Q79" s="67" t="inlineStr">
        <is>
          <t>●</t>
        </is>
      </c>
      <c r="R79" s="67" t="inlineStr">
        <is>
          <t>●</t>
        </is>
      </c>
      <c r="S79" s="68" t="inlineStr">
        <is>
          <t>Perte</t>
        </is>
      </c>
      <c r="T79" s="68" t="inlineStr">
        <is>
          <t>Somme des contrats cochés « peu utilisé » × 12</t>
        </is>
      </c>
      <c r="U79" s="68" t="inlineStr">
        <is>
          <t>FIN-09.01</t>
        </is>
      </c>
      <c r="V79" s="68" t="inlineStr">
        <is>
          <t>XF12</t>
        </is>
      </c>
      <c r="W79" s="83" t="n"/>
    </row>
    <row r="80" ht="23.85" customHeight="1" s="53">
      <c r="A80" s="81" t="inlineStr">
        <is>
          <t>FIN-09.08</t>
        </is>
      </c>
      <c r="B80" s="67" t="inlineStr">
        <is>
          <t>FIN-09</t>
        </is>
      </c>
      <c r="C80" s="95">
        <f>IFERROR(INDEX(Thèmes!$D$2:$D$190,MATCH(B80,Thèmes!$A$2:$A$190,0)),"")</f>
        <v/>
      </c>
      <c r="D80" s="68" t="inlineStr">
        <is>
          <t>—</t>
        </is>
      </c>
      <c r="E80" s="68" t="inlineStr">
        <is>
          <t>Doublons possibles (deux outils pour le même usage)</t>
        </is>
      </c>
      <c r="F80" s="68" t="inlineStr">
        <is>
          <t>Liste</t>
        </is>
      </c>
      <c r="G80" s="96" t="inlineStr">
        <is>
          <t>Calculée</t>
        </is>
      </c>
      <c r="H80" s="67" t="inlineStr">
        <is>
          <t>—</t>
        </is>
      </c>
      <c r="I80" s="68" t="inlineStr">
        <is>
          <t>—</t>
        </is>
      </c>
      <c r="J80" s="68" t="inlineStr">
        <is>
          <t>—</t>
        </is>
      </c>
      <c r="K80" s="67" t="inlineStr">
        <is>
          <t>●</t>
        </is>
      </c>
      <c r="L80" s="67" t="inlineStr">
        <is>
          <t>●</t>
        </is>
      </c>
      <c r="M80" s="67" t="inlineStr">
        <is>
          <t>●</t>
        </is>
      </c>
      <c r="N80" s="67" t="inlineStr">
        <is>
          <t>●</t>
        </is>
      </c>
      <c r="O80" s="67" t="inlineStr">
        <is>
          <t>●</t>
        </is>
      </c>
      <c r="P80" s="67" t="inlineStr">
        <is>
          <t>●</t>
        </is>
      </c>
      <c r="Q80" s="67" t="inlineStr">
        <is>
          <t>●</t>
        </is>
      </c>
      <c r="R80" s="67" t="inlineStr">
        <is>
          <t>●</t>
        </is>
      </c>
      <c r="S80" s="68" t="inlineStr">
        <is>
          <t>Perte</t>
        </is>
      </c>
      <c r="T80" s="68" t="inlineStr">
        <is>
          <t>Repérés par l'IA à partir des noms et des usages déclarés</t>
        </is>
      </c>
      <c r="U80" s="68" t="inlineStr">
        <is>
          <t>FIN-09.01</t>
        </is>
      </c>
      <c r="V80" s="68" t="inlineStr">
        <is>
          <t>XF12</t>
        </is>
      </c>
      <c r="W80" s="83" t="n"/>
    </row>
    <row r="81" ht="46.25" customHeight="1" s="53">
      <c r="A81" s="81" t="inlineStr">
        <is>
          <t>FIN-09.09</t>
        </is>
      </c>
      <c r="B81" s="67" t="inlineStr">
        <is>
          <t>FIN-09</t>
        </is>
      </c>
      <c r="C81" s="95">
        <f>IFERROR(INDEX(Thèmes!$D$2:$D$190,MATCH(B81,Thèmes!$A$2:$A$190,0)),"")</f>
        <v/>
      </c>
      <c r="D81" s="68" t="inlineStr">
        <is>
          <t>—</t>
        </is>
      </c>
      <c r="E81" s="68" t="inlineStr">
        <is>
          <t>Contrats renouvelés dans les 90 prochains jours</t>
        </is>
      </c>
      <c r="F81" s="68" t="inlineStr">
        <is>
          <t>Liste et €</t>
        </is>
      </c>
      <c r="G81" s="96" t="inlineStr">
        <is>
          <t>Calculée</t>
        </is>
      </c>
      <c r="H81" s="67" t="inlineStr">
        <is>
          <t>—</t>
        </is>
      </c>
      <c r="I81" s="68" t="inlineStr">
        <is>
          <t>—</t>
        </is>
      </c>
      <c r="J81" s="68" t="inlineStr">
        <is>
          <t>—</t>
        </is>
      </c>
      <c r="K81" s="67" t="inlineStr">
        <is>
          <t>●</t>
        </is>
      </c>
      <c r="L81" s="67" t="inlineStr">
        <is>
          <t>●</t>
        </is>
      </c>
      <c r="M81" s="67" t="inlineStr">
        <is>
          <t>●</t>
        </is>
      </c>
      <c r="N81" s="67" t="inlineStr">
        <is>
          <t>●</t>
        </is>
      </c>
      <c r="O81" s="67" t="inlineStr">
        <is>
          <t>●</t>
        </is>
      </c>
      <c r="P81" s="67" t="inlineStr">
        <is>
          <t>●</t>
        </is>
      </c>
      <c r="Q81" s="67" t="inlineStr">
        <is>
          <t>●</t>
        </is>
      </c>
      <c r="R81" s="67" t="inlineStr">
        <is>
          <t>●</t>
        </is>
      </c>
      <c r="S81" s="68" t="inlineStr">
        <is>
          <t>Levier</t>
        </is>
      </c>
      <c r="T81" s="68" t="inlineStr">
        <is>
          <t>Contrats dont la date de renouvellement tombe dans les 3 mois</t>
        </is>
      </c>
      <c r="U81" s="68" t="inlineStr">
        <is>
          <t>FIN-09.01</t>
        </is>
      </c>
      <c r="V81" s="68" t="inlineStr">
        <is>
          <t>XF12</t>
        </is>
      </c>
      <c r="W81" s="83" t="n"/>
    </row>
    <row r="82" ht="46.25" customHeight="1" s="53">
      <c r="A82" s="92" t="inlineStr">
        <is>
          <t>FIN-09.10</t>
        </is>
      </c>
      <c r="B82" s="67" t="inlineStr">
        <is>
          <t>FIN-09</t>
        </is>
      </c>
      <c r="C82" s="95">
        <f>IFERROR(INDEX(Thèmes!$D$2:$D$190,MATCH(B82,Thèmes!$A$2:$A$190,0)),"")</f>
        <v/>
      </c>
      <c r="D82" s="68" t="inlineStr">
        <is>
          <t>—</t>
        </is>
      </c>
      <c r="E82" s="68" t="inlineStr">
        <is>
          <t>Coût total des abonnements et contrats par mois (le détail FIN-09.01 n'est demandé que si le thème ressort en difficulté ; FIN-09.05 = ce total tant que le détail manque)</t>
        </is>
      </c>
      <c r="F82" s="68" t="inlineStr">
        <is>
          <t>€</t>
        </is>
      </c>
      <c r="G82" s="67" t="inlineStr">
        <is>
          <t>Demandée</t>
        </is>
      </c>
      <c r="H82" s="67" t="inlineStr">
        <is>
          <t>Essentiel</t>
        </is>
      </c>
      <c r="I82" s="68" t="inlineStr">
        <is>
          <t>—</t>
        </is>
      </c>
      <c r="J82" s="68" t="inlineStr">
        <is>
          <t>—</t>
        </is>
      </c>
      <c r="K82" s="67" t="inlineStr">
        <is>
          <t>●</t>
        </is>
      </c>
      <c r="L82" s="67" t="inlineStr">
        <is>
          <t>●</t>
        </is>
      </c>
      <c r="M82" s="67" t="inlineStr">
        <is>
          <t>●</t>
        </is>
      </c>
      <c r="N82" s="67" t="inlineStr">
        <is>
          <t>●</t>
        </is>
      </c>
      <c r="O82" s="67" t="inlineStr">
        <is>
          <t>●</t>
        </is>
      </c>
      <c r="P82" s="67" t="inlineStr">
        <is>
          <t>●</t>
        </is>
      </c>
      <c r="Q82" s="67" t="inlineStr">
        <is>
          <t>●</t>
        </is>
      </c>
      <c r="R82" s="67" t="inlineStr">
        <is>
          <t>●</t>
        </is>
      </c>
      <c r="S82" s="68" t="inlineStr">
        <is>
          <t>—</t>
        </is>
      </c>
      <c r="T82" s="68" t="inlineStr">
        <is>
          <t>—</t>
        </is>
      </c>
      <c r="U82" s="68" t="inlineStr">
        <is>
          <t>—</t>
        </is>
      </c>
      <c r="V82" s="68" t="inlineStr">
        <is>
          <t>—</t>
        </is>
      </c>
      <c r="W82" s="83" t="inlineStr">
        <is>
          <t>Nouveau</t>
        </is>
      </c>
    </row>
    <row r="83" ht="23.85" customHeight="1" s="53">
      <c r="A83" s="98" t="inlineStr">
        <is>
          <t>FIN-10.01</t>
        </is>
      </c>
      <c r="B83" s="89" t="inlineStr">
        <is>
          <t>FIN-10</t>
        </is>
      </c>
      <c r="C83" s="97">
        <f>IFERROR(INDEX(Thèmes!$D$2:$D$190,MATCH(B83,Thèmes!$A$2:$A$190,0)),"")</f>
        <v/>
      </c>
      <c r="D83" s="86" t="inlineStr">
        <is>
          <t>F07 · Vos erreurs et gestes commerciaux</t>
        </is>
      </c>
      <c r="E83" s="86" t="inlineStr">
        <is>
          <t>Par mois : nombre de reprises, de retours et de gestes commerciaux ; coût direct moyen d'une reprise (matière, déplacement) et d'un geste commercial (le nombre de reprises est partagé avec RH-16) — déclencheur D40</t>
        </is>
      </c>
      <c r="F83" s="86" t="inlineStr">
        <is>
          <t>Tableau (3 nombres, 2 coûts)</t>
        </is>
      </c>
      <c r="G83" s="89" t="inlineStr">
        <is>
          <t>Demandée</t>
        </is>
      </c>
      <c r="H83" s="89" t="inlineStr">
        <is>
          <t>Essentiel</t>
        </is>
      </c>
      <c r="I83" s="86" t="inlineStr">
        <is>
          <t>—</t>
        </is>
      </c>
      <c r="J83" s="86" t="inlineStr">
        <is>
          <t>—</t>
        </is>
      </c>
      <c r="K83" s="89" t="inlineStr">
        <is>
          <t>●</t>
        </is>
      </c>
      <c r="L83" s="89" t="inlineStr">
        <is>
          <t>●</t>
        </is>
      </c>
      <c r="M83" s="89" t="inlineStr">
        <is>
          <t>●</t>
        </is>
      </c>
      <c r="N83" s="89" t="inlineStr">
        <is>
          <t>●</t>
        </is>
      </c>
      <c r="O83" s="89" t="inlineStr">
        <is>
          <t>●</t>
        </is>
      </c>
      <c r="P83" s="89" t="inlineStr">
        <is>
          <t>●</t>
        </is>
      </c>
      <c r="Q83" s="89" t="inlineStr">
        <is>
          <t>●</t>
        </is>
      </c>
      <c r="R83" s="89" t="inlineStr">
        <is>
          <t>●</t>
        </is>
      </c>
      <c r="S83" s="86" t="inlineStr">
        <is>
          <t>Perte</t>
        </is>
      </c>
      <c r="T83" s="86" t="inlineStr">
        <is>
          <t>—</t>
        </is>
      </c>
      <c r="U83" s="86" t="inlineStr">
        <is>
          <t>—</t>
        </is>
      </c>
      <c r="V83" s="86" t="inlineStr">
        <is>
          <t>FIN-10.06, FIN-10.07, FIN-10.08, RH-16.05</t>
        </is>
      </c>
      <c r="W83" s="91" t="inlineStr">
        <is>
          <t>Libellé (« Donnée »)</t>
        </is>
      </c>
    </row>
    <row r="84" ht="23.85" customHeight="1" s="53">
      <c r="A84" s="94" t="inlineStr">
        <is>
          <t>FIN-10.02</t>
        </is>
      </c>
      <c r="B84" s="67" t="inlineStr">
        <is>
          <t>FIN-10</t>
        </is>
      </c>
      <c r="C84" s="95">
        <f>IFERROR(INDEX(Thèmes!$D$2:$D$190,MATCH(B84,Thèmes!$A$2:$A$190,0)),"")</f>
        <v/>
      </c>
      <c r="D84" s="68" t="inlineStr">
        <is>
          <t>F07 · Vos erreurs et gestes commerciaux</t>
        </is>
      </c>
      <c r="E84" s="68" t="inlineStr">
        <is>
          <t>Cause principale : erreur de réalisation, défaut produit, retard, besoin mal compris, livraison</t>
        </is>
      </c>
      <c r="F84" s="68" t="inlineStr">
        <is>
          <t>Choix</t>
        </is>
      </c>
      <c r="G84" s="67" t="inlineStr">
        <is>
          <t>Demandée</t>
        </is>
      </c>
      <c r="H84" s="67" t="inlineStr">
        <is>
          <t>Approfondi</t>
        </is>
      </c>
      <c r="I84" s="99" t="inlineStr">
        <is>
          <t>D40 · si reprises, retours ou gestes</t>
        </is>
      </c>
      <c r="J84" s="68" t="inlineStr">
        <is>
          <t>—</t>
        </is>
      </c>
      <c r="K84" s="67" t="inlineStr">
        <is>
          <t>●</t>
        </is>
      </c>
      <c r="L84" s="67" t="inlineStr">
        <is>
          <t>●</t>
        </is>
      </c>
      <c r="M84" s="67" t="inlineStr">
        <is>
          <t>●</t>
        </is>
      </c>
      <c r="N84" s="67" t="inlineStr">
        <is>
          <t>●</t>
        </is>
      </c>
      <c r="O84" s="67" t="inlineStr">
        <is>
          <t>●</t>
        </is>
      </c>
      <c r="P84" s="67" t="inlineStr">
        <is>
          <t>●</t>
        </is>
      </c>
      <c r="Q84" s="67" t="inlineStr">
        <is>
          <t>●</t>
        </is>
      </c>
      <c r="R84" s="67" t="inlineStr">
        <is>
          <t>●</t>
        </is>
      </c>
      <c r="S84" s="68" t="inlineStr">
        <is>
          <t>Levier</t>
        </is>
      </c>
      <c r="T84" s="68" t="inlineStr">
        <is>
          <t>—</t>
        </is>
      </c>
      <c r="U84" s="68" t="inlineStr">
        <is>
          <t>—</t>
        </is>
      </c>
      <c r="V84" s="68" t="inlineStr">
        <is>
          <t>XF13</t>
        </is>
      </c>
      <c r="W84" s="83" t="inlineStr">
        <is>
          <t>Condition d'affichage · Niveau</t>
        </is>
      </c>
    </row>
    <row r="85" ht="35.05" customHeight="1" s="53">
      <c r="A85" s="94" t="inlineStr">
        <is>
          <t>FIN-10.03</t>
        </is>
      </c>
      <c r="B85" s="67" t="inlineStr">
        <is>
          <t>FIN-10</t>
        </is>
      </c>
      <c r="C85" s="95">
        <f>IFERROR(INDEX(Thèmes!$D$2:$D$190,MATCH(B85,Thèmes!$A$2:$A$190,0)),"")</f>
        <v/>
      </c>
      <c r="D85" s="68" t="inlineStr">
        <is>
          <t>F07 · Vos erreurs et gestes commerciaux</t>
        </is>
      </c>
      <c r="E85" s="68" t="inlineStr">
        <is>
          <t>Temps moyen passé sur une reprise (partagé avec RH-16)</t>
        </is>
      </c>
      <c r="F85" s="68" t="inlineStr">
        <is>
          <t>Heures</t>
        </is>
      </c>
      <c r="G85" s="67" t="inlineStr">
        <is>
          <t>Demandée</t>
        </is>
      </c>
      <c r="H85" s="67" t="inlineStr">
        <is>
          <t>Approfondi</t>
        </is>
      </c>
      <c r="I85" s="99" t="inlineStr">
        <is>
          <t>D48 · si vous avez des reprises</t>
        </is>
      </c>
      <c r="J85" s="68" t="inlineStr">
        <is>
          <t>—</t>
        </is>
      </c>
      <c r="K85" s="67" t="inlineStr">
        <is>
          <t>●</t>
        </is>
      </c>
      <c r="L85" s="67" t="inlineStr">
        <is>
          <t>●</t>
        </is>
      </c>
      <c r="M85" s="67" t="inlineStr">
        <is>
          <t>●</t>
        </is>
      </c>
      <c r="N85" s="67" t="inlineStr">
        <is>
          <t>●</t>
        </is>
      </c>
      <c r="O85" s="67" t="inlineStr">
        <is>
          <t>●</t>
        </is>
      </c>
      <c r="P85" s="67" t="inlineStr">
        <is>
          <t>●</t>
        </is>
      </c>
      <c r="Q85" s="67" t="inlineStr">
        <is>
          <t>●</t>
        </is>
      </c>
      <c r="R85" s="67" t="inlineStr">
        <is>
          <t>●</t>
        </is>
      </c>
      <c r="S85" s="68" t="inlineStr">
        <is>
          <t>Perte</t>
        </is>
      </c>
      <c r="T85" s="68" t="inlineStr">
        <is>
          <t>—</t>
        </is>
      </c>
      <c r="U85" s="68" t="inlineStr">
        <is>
          <t>—</t>
        </is>
      </c>
      <c r="V85" s="68" t="inlineStr">
        <is>
          <t>FIN-10.06, RH-16.05</t>
        </is>
      </c>
      <c r="W85" s="83" t="inlineStr">
        <is>
          <t>Condition d'affichage · Niveau</t>
        </is>
      </c>
    </row>
    <row r="86" ht="35.05" customHeight="1" s="53">
      <c r="A86" s="94" t="inlineStr">
        <is>
          <t>FIN-10.04</t>
        </is>
      </c>
      <c r="B86" s="67" t="inlineStr">
        <is>
          <t>FIN-10</t>
        </is>
      </c>
      <c r="C86" s="95">
        <f>IFERROR(INDEX(Thèmes!$D$2:$D$190,MATCH(B86,Thèmes!$A$2:$A$190,0)),"")</f>
        <v/>
      </c>
      <c r="D86" s="68" t="inlineStr">
        <is>
          <t>F07 · Vos erreurs et gestes commerciaux</t>
        </is>
      </c>
      <c r="E86" s="68" t="inlineStr">
        <is>
          <t>Coût moyen de traitement d'un retour : port, emballage, temps. La marchandise non revendable est comptée dans les pertes de stock (FIN-40)</t>
        </is>
      </c>
      <c r="F86" s="68" t="inlineStr">
        <is>
          <t>€</t>
        </is>
      </c>
      <c r="G86" s="67" t="inlineStr">
        <is>
          <t>Demandée</t>
        </is>
      </c>
      <c r="H86" s="67" t="inlineStr">
        <is>
          <t>Essentiel</t>
        </is>
      </c>
      <c r="I86" s="99" t="inlineStr">
        <is>
          <t>D41 · si vous avez des retours</t>
        </is>
      </c>
      <c r="J86" s="68" t="inlineStr">
        <is>
          <t>—</t>
        </is>
      </c>
      <c r="K86" s="67" t="n"/>
      <c r="L86" s="67" t="inlineStr">
        <is>
          <t>●</t>
        </is>
      </c>
      <c r="M86" s="67" t="inlineStr">
        <is>
          <t>●</t>
        </is>
      </c>
      <c r="N86" s="67" t="n"/>
      <c r="O86" s="67" t="n"/>
      <c r="P86" s="67" t="n"/>
      <c r="Q86" s="67" t="n"/>
      <c r="R86" s="67" t="n"/>
      <c r="S86" s="68" t="inlineStr">
        <is>
          <t>Perte</t>
        </is>
      </c>
      <c r="T86" s="68" t="inlineStr">
        <is>
          <t>—</t>
        </is>
      </c>
      <c r="U86" s="68" t="inlineStr">
        <is>
          <t>—</t>
        </is>
      </c>
      <c r="V86" s="68" t="inlineStr">
        <is>
          <t>FIN-10.07, XF48</t>
        </is>
      </c>
      <c r="W86" s="83" t="inlineStr">
        <is>
          <t>Condition d'affichage</t>
        </is>
      </c>
    </row>
    <row r="87" ht="46.25" customHeight="1" s="53">
      <c r="A87" s="94" t="inlineStr">
        <is>
          <t>FIN-10.05</t>
        </is>
      </c>
      <c r="B87" s="67" t="inlineStr">
        <is>
          <t>FIN-10</t>
        </is>
      </c>
      <c r="C87" s="95">
        <f>IFERROR(INDEX(Thèmes!$D$2:$D$190,MATCH(B87,Thèmes!$A$2:$A$190,0)),"")</f>
        <v/>
      </c>
      <c r="D87" s="68" t="inlineStr">
        <is>
          <t>F07 · Vos erreurs et gestes commerciaux</t>
        </is>
      </c>
      <c r="E87" s="68" t="inlineStr">
        <is>
          <t>Ces coûts sur 12 mois : en hausse, stables, en baisse</t>
        </is>
      </c>
      <c r="F87" s="68" t="inlineStr">
        <is>
          <t>Choix</t>
        </is>
      </c>
      <c r="G87" s="67" t="inlineStr">
        <is>
          <t>Demandée</t>
        </is>
      </c>
      <c r="H87" s="67" t="inlineStr">
        <is>
          <t>Approfondi</t>
        </is>
      </c>
      <c r="I87" s="99" t="inlineStr">
        <is>
          <t>D40 · si reprises, retours ou gestes</t>
        </is>
      </c>
      <c r="J87" s="68" t="inlineStr">
        <is>
          <t>Il y a 12 mois (masquée avant 12 mois d'existence)</t>
        </is>
      </c>
      <c r="K87" s="67" t="inlineStr">
        <is>
          <t>●</t>
        </is>
      </c>
      <c r="L87" s="67" t="inlineStr">
        <is>
          <t>●</t>
        </is>
      </c>
      <c r="M87" s="67" t="inlineStr">
        <is>
          <t>●</t>
        </is>
      </c>
      <c r="N87" s="67" t="inlineStr">
        <is>
          <t>●</t>
        </is>
      </c>
      <c r="O87" s="67" t="inlineStr">
        <is>
          <t>●</t>
        </is>
      </c>
      <c r="P87" s="67" t="inlineStr">
        <is>
          <t>●</t>
        </is>
      </c>
      <c r="Q87" s="67" t="inlineStr">
        <is>
          <t>●</t>
        </is>
      </c>
      <c r="R87" s="67" t="inlineStr">
        <is>
          <t>●</t>
        </is>
      </c>
      <c r="S87" s="68" t="inlineStr">
        <is>
          <t>Problème</t>
        </is>
      </c>
      <c r="T87" s="68" t="inlineStr">
        <is>
          <t>—</t>
        </is>
      </c>
      <c r="U87" s="68" t="inlineStr">
        <is>
          <t>—</t>
        </is>
      </c>
      <c r="V87" s="68" t="inlineStr">
        <is>
          <t>XF13</t>
        </is>
      </c>
      <c r="W87" s="83" t="inlineStr">
        <is>
          <t>Condition d'affichage</t>
        </is>
      </c>
    </row>
    <row r="88" ht="35.05" customHeight="1" s="53">
      <c r="A88" s="81" t="inlineStr">
        <is>
          <t>FIN-10.06</t>
        </is>
      </c>
      <c r="B88" s="67" t="inlineStr">
        <is>
          <t>FIN-10</t>
        </is>
      </c>
      <c r="C88" s="95">
        <f>IFERROR(INDEX(Thèmes!$D$2:$D$190,MATCH(B88,Thèmes!$A$2:$A$190,0)),"")</f>
        <v/>
      </c>
      <c r="D88" s="68" t="inlineStr">
        <is>
          <t>—</t>
        </is>
      </c>
      <c r="E88" s="68" t="inlineStr">
        <is>
          <t>Coût mensuel des reprises</t>
        </is>
      </c>
      <c r="F88" s="68" t="inlineStr">
        <is>
          <t>€</t>
        </is>
      </c>
      <c r="G88" s="96" t="inlineStr">
        <is>
          <t>Calculée</t>
        </is>
      </c>
      <c r="H88" s="67" t="inlineStr">
        <is>
          <t>—</t>
        </is>
      </c>
      <c r="I88" s="68" t="inlineStr">
        <is>
          <t>—</t>
        </is>
      </c>
      <c r="J88" s="68" t="inlineStr">
        <is>
          <t>—</t>
        </is>
      </c>
      <c r="K88" s="67" t="inlineStr">
        <is>
          <t>●</t>
        </is>
      </c>
      <c r="L88" s="67" t="inlineStr">
        <is>
          <t>●</t>
        </is>
      </c>
      <c r="M88" s="67" t="inlineStr">
        <is>
          <t>●</t>
        </is>
      </c>
      <c r="N88" s="67" t="inlineStr">
        <is>
          <t>●</t>
        </is>
      </c>
      <c r="O88" s="67" t="inlineStr">
        <is>
          <t>●</t>
        </is>
      </c>
      <c r="P88" s="67" t="inlineStr">
        <is>
          <t>●</t>
        </is>
      </c>
      <c r="Q88" s="67" t="inlineStr">
        <is>
          <t>●</t>
        </is>
      </c>
      <c r="R88" s="67" t="n"/>
      <c r="S88" s="68" t="inlineStr">
        <is>
          <t>Perte</t>
        </is>
      </c>
      <c r="T88" s="68" t="inlineStr">
        <is>
          <t>Reprises × (coût direct moyen + temps moyen × coût d'une heure). Seul montant affiché pour les reprises : l'agent RH en donne les heures (RH-16), jamais un second coût</t>
        </is>
      </c>
      <c r="U88" s="68" t="inlineStr">
        <is>
          <t>FIN-10.01, FIN-10.03, FIN-07.12</t>
        </is>
      </c>
      <c r="V88" s="68" t="inlineStr">
        <is>
          <t>FIN-10.07, XR14</t>
        </is>
      </c>
      <c r="W88" s="83" t="n"/>
    </row>
    <row r="89" ht="15" customHeight="1" s="53">
      <c r="A89" s="81" t="inlineStr">
        <is>
          <t>FIN-10.07</t>
        </is>
      </c>
      <c r="B89" s="67" t="inlineStr">
        <is>
          <t>FIN-10</t>
        </is>
      </c>
      <c r="C89" s="95">
        <f>IFERROR(INDEX(Thèmes!$D$2:$D$190,MATCH(B89,Thèmes!$A$2:$A$190,0)),"")</f>
        <v/>
      </c>
      <c r="D89" s="68" t="inlineStr">
        <is>
          <t>—</t>
        </is>
      </c>
      <c r="E89" s="68" t="inlineStr">
        <is>
          <t>Coût mensuel des erreurs, retours et gestes commerciaux</t>
        </is>
      </c>
      <c r="F89" s="68" t="inlineStr">
        <is>
          <t>€</t>
        </is>
      </c>
      <c r="G89" s="96" t="inlineStr">
        <is>
          <t>Calculée</t>
        </is>
      </c>
      <c r="H89" s="67" t="inlineStr">
        <is>
          <t>—</t>
        </is>
      </c>
      <c r="I89" s="68" t="inlineStr">
        <is>
          <t>—</t>
        </is>
      </c>
      <c r="J89" s="68" t="inlineStr">
        <is>
          <t>—</t>
        </is>
      </c>
      <c r="K89" s="67" t="inlineStr">
        <is>
          <t>●</t>
        </is>
      </c>
      <c r="L89" s="67" t="inlineStr">
        <is>
          <t>●</t>
        </is>
      </c>
      <c r="M89" s="67" t="inlineStr">
        <is>
          <t>●</t>
        </is>
      </c>
      <c r="N89" s="67" t="inlineStr">
        <is>
          <t>●</t>
        </is>
      </c>
      <c r="O89" s="67" t="inlineStr">
        <is>
          <t>●</t>
        </is>
      </c>
      <c r="P89" s="67" t="inlineStr">
        <is>
          <t>●</t>
        </is>
      </c>
      <c r="Q89" s="67" t="inlineStr">
        <is>
          <t>●</t>
        </is>
      </c>
      <c r="R89" s="67" t="n"/>
      <c r="S89" s="68" t="inlineStr">
        <is>
          <t>Perte</t>
        </is>
      </c>
      <c r="T89" s="68" t="inlineStr">
        <is>
          <t>Coût des reprises + gestes × coût moyen + retours × coût de traitement d'un retour (la marchandise perdue est dans FIN-40)</t>
        </is>
      </c>
      <c r="U89" s="68" t="inlineStr">
        <is>
          <t>FIN-10.06, FIN-10.01, FIN-10.04</t>
        </is>
      </c>
      <c r="V89" s="68" t="inlineStr">
        <is>
          <t>FIN-10.09, XF13</t>
        </is>
      </c>
      <c r="W89" s="83" t="n"/>
    </row>
    <row r="90" ht="23.85" customHeight="1" s="53">
      <c r="A90" s="81" t="inlineStr">
        <is>
          <t>FIN-10.08</t>
        </is>
      </c>
      <c r="B90" s="67" t="inlineStr">
        <is>
          <t>FIN-10</t>
        </is>
      </c>
      <c r="C90" s="95">
        <f>IFERROR(INDEX(Thèmes!$D$2:$D$190,MATCH(B90,Thèmes!$A$2:$A$190,0)),"")</f>
        <v/>
      </c>
      <c r="D90" s="68" t="inlineStr">
        <is>
          <t>—</t>
        </is>
      </c>
      <c r="E90" s="68" t="inlineStr">
        <is>
          <t>Part des ventes concernées</t>
        </is>
      </c>
      <c r="F90" s="68" t="inlineStr">
        <is>
          <t>%</t>
        </is>
      </c>
      <c r="G90" s="96" t="inlineStr">
        <is>
          <t>Calculée</t>
        </is>
      </c>
      <c r="H90" s="67" t="inlineStr">
        <is>
          <t>—</t>
        </is>
      </c>
      <c r="I90" s="68" t="inlineStr">
        <is>
          <t>—</t>
        </is>
      </c>
      <c r="J90" s="68" t="inlineStr">
        <is>
          <t>—</t>
        </is>
      </c>
      <c r="K90" s="67" t="inlineStr">
        <is>
          <t>●</t>
        </is>
      </c>
      <c r="L90" s="67" t="inlineStr">
        <is>
          <t>●</t>
        </is>
      </c>
      <c r="M90" s="67" t="inlineStr">
        <is>
          <t>●</t>
        </is>
      </c>
      <c r="N90" s="67" t="inlineStr">
        <is>
          <t>●</t>
        </is>
      </c>
      <c r="O90" s="67" t="inlineStr">
        <is>
          <t>●</t>
        </is>
      </c>
      <c r="P90" s="67" t="inlineStr">
        <is>
          <t>●</t>
        </is>
      </c>
      <c r="Q90" s="67" t="inlineStr">
        <is>
          <t>●</t>
        </is>
      </c>
      <c r="R90" s="67" t="inlineStr">
        <is>
          <t>●</t>
        </is>
      </c>
      <c r="S90" s="68" t="inlineStr">
        <is>
          <t>Problème</t>
        </is>
      </c>
      <c r="T90" s="68" t="inlineStr">
        <is>
          <t>(Reprises + retours + gestes) ÷ ventes du mois</t>
        </is>
      </c>
      <c r="U90" s="68" t="inlineStr">
        <is>
          <t>FIN-10.01, FIN-06.02</t>
        </is>
      </c>
      <c r="V90" s="68" t="inlineStr">
        <is>
          <t>XF13</t>
        </is>
      </c>
      <c r="W90" s="83" t="n"/>
    </row>
    <row r="91" ht="23.85" customHeight="1" s="53">
      <c r="A91" s="81" t="inlineStr">
        <is>
          <t>FIN-10.09</t>
        </is>
      </c>
      <c r="B91" s="67" t="inlineStr">
        <is>
          <t>FIN-10</t>
        </is>
      </c>
      <c r="C91" s="95">
        <f>IFERROR(INDEX(Thèmes!$D$2:$D$190,MATCH(B91,Thèmes!$A$2:$A$190,0)),"")</f>
        <v/>
      </c>
      <c r="D91" s="68" t="inlineStr">
        <is>
          <t>—</t>
        </is>
      </c>
      <c r="E91" s="68" t="inlineStr">
        <is>
          <t>Coût des erreurs en % du CA</t>
        </is>
      </c>
      <c r="F91" s="68" t="inlineStr">
        <is>
          <t>%</t>
        </is>
      </c>
      <c r="G91" s="96" t="inlineStr">
        <is>
          <t>Calculée</t>
        </is>
      </c>
      <c r="H91" s="67" t="inlineStr">
        <is>
          <t>—</t>
        </is>
      </c>
      <c r="I91" s="68" t="inlineStr">
        <is>
          <t>—</t>
        </is>
      </c>
      <c r="J91" s="68" t="inlineStr">
        <is>
          <t>—</t>
        </is>
      </c>
      <c r="K91" s="67" t="inlineStr">
        <is>
          <t>●</t>
        </is>
      </c>
      <c r="L91" s="67" t="inlineStr">
        <is>
          <t>●</t>
        </is>
      </c>
      <c r="M91" s="67" t="inlineStr">
        <is>
          <t>●</t>
        </is>
      </c>
      <c r="N91" s="67" t="inlineStr">
        <is>
          <t>●</t>
        </is>
      </c>
      <c r="O91" s="67" t="inlineStr">
        <is>
          <t>●</t>
        </is>
      </c>
      <c r="P91" s="67" t="inlineStr">
        <is>
          <t>●</t>
        </is>
      </c>
      <c r="Q91" s="67" t="inlineStr">
        <is>
          <t>●</t>
        </is>
      </c>
      <c r="R91" s="67" t="n"/>
      <c r="S91" s="68" t="inlineStr">
        <is>
          <t>Cible</t>
        </is>
      </c>
      <c r="T91" s="68" t="inlineStr">
        <is>
          <t>Coût mensuel ÷ CA mensuel</t>
        </is>
      </c>
      <c r="U91" s="68" t="inlineStr">
        <is>
          <t>FIN-10.07, Inscription · CA mensuel</t>
        </is>
      </c>
      <c r="V91" s="68" t="inlineStr">
        <is>
          <t>Affichée dans le rapport</t>
        </is>
      </c>
      <c r="W91" s="83" t="n"/>
    </row>
    <row r="92" ht="35.05" customHeight="1" s="53">
      <c r="A92" s="85" t="inlineStr">
        <is>
          <t>FIN-11.01</t>
        </is>
      </c>
      <c r="B92" s="89" t="inlineStr">
        <is>
          <t>FIN-11</t>
        </is>
      </c>
      <c r="C92" s="97">
        <f>IFERROR(INDEX(Thèmes!$D$2:$D$190,MATCH(B92,Thèmes!$A$2:$A$190,0)),"")</f>
        <v/>
      </c>
      <c r="D92" s="86" t="inlineStr">
        <is>
          <t>F08 · Votre trésorerie aujourd'hui</t>
        </is>
      </c>
      <c r="E92" s="86" t="inlineStr">
        <is>
          <t>Trésorerie disponible aujourd'hui sur vos comptes, caisse comprise</t>
        </is>
      </c>
      <c r="F92" s="86" t="inlineStr">
        <is>
          <t>€</t>
        </is>
      </c>
      <c r="G92" s="89" t="inlineStr">
        <is>
          <t>Demandée</t>
        </is>
      </c>
      <c r="H92" s="89" t="inlineStr">
        <is>
          <t>Essentiel</t>
        </is>
      </c>
      <c r="I92" s="86" t="inlineStr">
        <is>
          <t>—</t>
        </is>
      </c>
      <c r="J92" s="86" t="inlineStr">
        <is>
          <t>—</t>
        </is>
      </c>
      <c r="K92" s="89" t="inlineStr">
        <is>
          <t>●</t>
        </is>
      </c>
      <c r="L92" s="89" t="inlineStr">
        <is>
          <t>●</t>
        </is>
      </c>
      <c r="M92" s="89" t="inlineStr">
        <is>
          <t>●</t>
        </is>
      </c>
      <c r="N92" s="89" t="inlineStr">
        <is>
          <t>●</t>
        </is>
      </c>
      <c r="O92" s="89" t="inlineStr">
        <is>
          <t>●</t>
        </is>
      </c>
      <c r="P92" s="89" t="inlineStr">
        <is>
          <t>●</t>
        </is>
      </c>
      <c r="Q92" s="89" t="inlineStr">
        <is>
          <t>●</t>
        </is>
      </c>
      <c r="R92" s="89" t="inlineStr">
        <is>
          <t>●</t>
        </is>
      </c>
      <c r="S92" s="86" t="inlineStr">
        <is>
          <t>Risque</t>
        </is>
      </c>
      <c r="T92" s="86" t="inlineStr">
        <is>
          <t>—</t>
        </is>
      </c>
      <c r="U92" s="86" t="inlineStr">
        <is>
          <t>—</t>
        </is>
      </c>
      <c r="V92" s="86" t="inlineStr">
        <is>
          <t>FIN-11.04, FIN-37.05</t>
        </is>
      </c>
      <c r="W92" s="91" t="n"/>
    </row>
    <row r="93" ht="23.85" customHeight="1" s="53">
      <c r="A93" s="81" t="inlineStr">
        <is>
          <t>FIN-11.02</t>
        </is>
      </c>
      <c r="B93" s="67" t="inlineStr">
        <is>
          <t>FIN-11</t>
        </is>
      </c>
      <c r="C93" s="95">
        <f>IFERROR(INDEX(Thèmes!$D$2:$D$190,MATCH(B93,Thèmes!$A$2:$A$190,0)),"")</f>
        <v/>
      </c>
      <c r="D93" s="68" t="inlineStr">
        <is>
          <t>F08 · Votre trésorerie aujourd'hui</t>
        </is>
      </c>
      <c r="E93" s="68" t="inlineStr">
        <is>
          <t>Dont somme déjà réservée : TVA et impôts à payer, acomptes reçus pour des travaux pas encore faits, placement bloqué</t>
        </is>
      </c>
      <c r="F93" s="68" t="inlineStr">
        <is>
          <t>€</t>
        </is>
      </c>
      <c r="G93" s="67" t="inlineStr">
        <is>
          <t>Demandée</t>
        </is>
      </c>
      <c r="H93" s="67" t="inlineStr">
        <is>
          <t>Essentiel</t>
        </is>
      </c>
      <c r="I93" s="68" t="inlineStr">
        <is>
          <t>—</t>
        </is>
      </c>
      <c r="J93" s="68" t="inlineStr">
        <is>
          <t>—</t>
        </is>
      </c>
      <c r="K93" s="67" t="inlineStr">
        <is>
          <t>●</t>
        </is>
      </c>
      <c r="L93" s="67" t="inlineStr">
        <is>
          <t>●</t>
        </is>
      </c>
      <c r="M93" s="67" t="inlineStr">
        <is>
          <t>●</t>
        </is>
      </c>
      <c r="N93" s="67" t="inlineStr">
        <is>
          <t>●</t>
        </is>
      </c>
      <c r="O93" s="67" t="inlineStr">
        <is>
          <t>●</t>
        </is>
      </c>
      <c r="P93" s="67" t="inlineStr">
        <is>
          <t>●</t>
        </is>
      </c>
      <c r="Q93" s="67" t="inlineStr">
        <is>
          <t>●</t>
        </is>
      </c>
      <c r="R93" s="67" t="inlineStr">
        <is>
          <t>●</t>
        </is>
      </c>
      <c r="S93" s="68" t="inlineStr">
        <is>
          <t>Risque</t>
        </is>
      </c>
      <c r="T93" s="68" t="inlineStr">
        <is>
          <t>—</t>
        </is>
      </c>
      <c r="U93" s="68" t="inlineStr">
        <is>
          <t>—</t>
        </is>
      </c>
      <c r="V93" s="68" t="inlineStr">
        <is>
          <t>FIN-11.04</t>
        </is>
      </c>
      <c r="W93" s="83" t="n"/>
    </row>
    <row r="94" ht="46.25" customHeight="1" s="53">
      <c r="A94" s="81" t="inlineStr">
        <is>
          <t>FIN-11.03</t>
        </is>
      </c>
      <c r="B94" s="67" t="inlineStr">
        <is>
          <t>FIN-11</t>
        </is>
      </c>
      <c r="C94" s="95">
        <f>IFERROR(INDEX(Thèmes!$D$2:$D$190,MATCH(B94,Thèmes!$A$2:$A$190,0)),"")</f>
        <v/>
      </c>
      <c r="D94" s="68" t="inlineStr">
        <is>
          <t>F08 · Votre trésorerie aujourd'hui</t>
        </is>
      </c>
      <c r="E94" s="68" t="inlineStr">
        <is>
          <t>Découvert autorisé et autres lignes de crédit disponibles</t>
        </is>
      </c>
      <c r="F94" s="68" t="inlineStr">
        <is>
          <t>€</t>
        </is>
      </c>
      <c r="G94" s="67" t="inlineStr">
        <is>
          <t>Demandée</t>
        </is>
      </c>
      <c r="H94" s="67" t="inlineStr">
        <is>
          <t>Essentiel</t>
        </is>
      </c>
      <c r="I94" s="68" t="inlineStr">
        <is>
          <t>—</t>
        </is>
      </c>
      <c r="J94" s="68" t="inlineStr">
        <is>
          <t>—</t>
        </is>
      </c>
      <c r="K94" s="67" t="inlineStr">
        <is>
          <t>●</t>
        </is>
      </c>
      <c r="L94" s="67" t="inlineStr">
        <is>
          <t>●</t>
        </is>
      </c>
      <c r="M94" s="67" t="inlineStr">
        <is>
          <t>●</t>
        </is>
      </c>
      <c r="N94" s="67" t="inlineStr">
        <is>
          <t>●</t>
        </is>
      </c>
      <c r="O94" s="67" t="inlineStr">
        <is>
          <t>●</t>
        </is>
      </c>
      <c r="P94" s="67" t="inlineStr">
        <is>
          <t>●</t>
        </is>
      </c>
      <c r="Q94" s="67" t="inlineStr">
        <is>
          <t>●</t>
        </is>
      </c>
      <c r="R94" s="67" t="inlineStr">
        <is>
          <t>●</t>
        </is>
      </c>
      <c r="S94" s="68" t="inlineStr">
        <is>
          <t>Risque</t>
        </is>
      </c>
      <c r="T94" s="68" t="inlineStr">
        <is>
          <t>—</t>
        </is>
      </c>
      <c r="U94" s="68" t="inlineStr">
        <is>
          <t>—</t>
        </is>
      </c>
      <c r="V94" s="68" t="inlineStr">
        <is>
          <t>FIN-24.08</t>
        </is>
      </c>
      <c r="W94" s="83" t="n"/>
    </row>
    <row r="95" ht="15" customHeight="1" s="53">
      <c r="A95" s="81" t="inlineStr">
        <is>
          <t>FIN-11.04</t>
        </is>
      </c>
      <c r="B95" s="67" t="inlineStr">
        <is>
          <t>FIN-11</t>
        </is>
      </c>
      <c r="C95" s="95">
        <f>IFERROR(INDEX(Thèmes!$D$2:$D$190,MATCH(B95,Thèmes!$A$2:$A$190,0)),"")</f>
        <v/>
      </c>
      <c r="D95" s="68" t="inlineStr">
        <is>
          <t>—</t>
        </is>
      </c>
      <c r="E95" s="68" t="inlineStr">
        <is>
          <t>Trésorerie réellement mobilisable</t>
        </is>
      </c>
      <c r="F95" s="68" t="inlineStr">
        <is>
          <t>€</t>
        </is>
      </c>
      <c r="G95" s="96" t="inlineStr">
        <is>
          <t>Calculée</t>
        </is>
      </c>
      <c r="H95" s="67" t="inlineStr">
        <is>
          <t>—</t>
        </is>
      </c>
      <c r="I95" s="68" t="inlineStr">
        <is>
          <t>—</t>
        </is>
      </c>
      <c r="J95" s="68" t="inlineStr">
        <is>
          <t>—</t>
        </is>
      </c>
      <c r="K95" s="67" t="inlineStr">
        <is>
          <t>●</t>
        </is>
      </c>
      <c r="L95" s="67" t="inlineStr">
        <is>
          <t>●</t>
        </is>
      </c>
      <c r="M95" s="67" t="inlineStr">
        <is>
          <t>●</t>
        </is>
      </c>
      <c r="N95" s="67" t="inlineStr">
        <is>
          <t>●</t>
        </is>
      </c>
      <c r="O95" s="67" t="inlineStr">
        <is>
          <t>●</t>
        </is>
      </c>
      <c r="P95" s="67" t="inlineStr">
        <is>
          <t>●</t>
        </is>
      </c>
      <c r="Q95" s="67" t="inlineStr">
        <is>
          <t>●</t>
        </is>
      </c>
      <c r="R95" s="67" t="inlineStr">
        <is>
          <t>●</t>
        </is>
      </c>
      <c r="S95" s="68" t="inlineStr">
        <is>
          <t>Mesure</t>
        </is>
      </c>
      <c r="T95" s="68" t="inlineStr">
        <is>
          <t>Trésorerie disponible − somme réservée</t>
        </is>
      </c>
      <c r="U95" s="68" t="inlineStr">
        <is>
          <t>FIN-11.01, FIN-11.02</t>
        </is>
      </c>
      <c r="V95" s="68" t="inlineStr">
        <is>
          <t>FIN-11.05, FIN-11.06, FIN-12.05, FIN-13.03, FIN-15.02, FIN-23.02, FIN-31.01, XF33, S01, S05, S06, S08</t>
        </is>
      </c>
      <c r="W95" s="83" t="n"/>
    </row>
    <row r="96" ht="23.85" customHeight="1" s="53">
      <c r="A96" s="81" t="inlineStr">
        <is>
          <t>FIN-11.05</t>
        </is>
      </c>
      <c r="B96" s="67" t="inlineStr">
        <is>
          <t>FIN-11</t>
        </is>
      </c>
      <c r="C96" s="95">
        <f>IFERROR(INDEX(Thèmes!$D$2:$D$190,MATCH(B96,Thèmes!$A$2:$A$190,0)),"")</f>
        <v/>
      </c>
      <c r="D96" s="68" t="inlineStr">
        <is>
          <t>—</t>
        </is>
      </c>
      <c r="E96" s="68" t="inlineStr">
        <is>
          <t>Mois de charges fixes couverts</t>
        </is>
      </c>
      <c r="F96" s="68" t="inlineStr">
        <is>
          <t>Mois</t>
        </is>
      </c>
      <c r="G96" s="96" t="inlineStr">
        <is>
          <t>Calculée</t>
        </is>
      </c>
      <c r="H96" s="67" t="inlineStr">
        <is>
          <t>—</t>
        </is>
      </c>
      <c r="I96" s="68" t="inlineStr">
        <is>
          <t>—</t>
        </is>
      </c>
      <c r="J96" s="68" t="inlineStr">
        <is>
          <t>—</t>
        </is>
      </c>
      <c r="K96" s="67" t="inlineStr">
        <is>
          <t>●</t>
        </is>
      </c>
      <c r="L96" s="67" t="inlineStr">
        <is>
          <t>●</t>
        </is>
      </c>
      <c r="M96" s="67" t="inlineStr">
        <is>
          <t>●</t>
        </is>
      </c>
      <c r="N96" s="67" t="inlineStr">
        <is>
          <t>●</t>
        </is>
      </c>
      <c r="O96" s="67" t="inlineStr">
        <is>
          <t>●</t>
        </is>
      </c>
      <c r="P96" s="67" t="inlineStr">
        <is>
          <t>●</t>
        </is>
      </c>
      <c r="Q96" s="67" t="inlineStr">
        <is>
          <t>●</t>
        </is>
      </c>
      <c r="R96" s="67" t="inlineStr">
        <is>
          <t>●</t>
        </is>
      </c>
      <c r="S96" s="68" t="inlineStr">
        <is>
          <t>Risque</t>
        </is>
      </c>
      <c r="T96" s="68" t="inlineStr">
        <is>
          <t>Trésorerie mobilisable ÷ charges fixes mensuelles</t>
        </is>
      </c>
      <c r="U96" s="68" t="inlineStr">
        <is>
          <t>FIN-11.04, FIN-05.08</t>
        </is>
      </c>
      <c r="V96" s="68" t="inlineStr">
        <is>
          <t>XF14, XF26, S13</t>
        </is>
      </c>
      <c r="W96" s="83" t="n"/>
    </row>
    <row r="97" ht="35.05" customHeight="1" s="53">
      <c r="A97" s="81" t="inlineStr">
        <is>
          <t>FIN-11.06</t>
        </is>
      </c>
      <c r="B97" s="67" t="inlineStr">
        <is>
          <t>FIN-11</t>
        </is>
      </c>
      <c r="C97" s="95">
        <f>IFERROR(INDEX(Thèmes!$D$2:$D$190,MATCH(B97,Thèmes!$A$2:$A$190,0)),"")</f>
        <v/>
      </c>
      <c r="D97" s="68" t="inlineStr">
        <is>
          <t>—</t>
        </is>
      </c>
      <c r="E97" s="68" t="inlineStr">
        <is>
          <t>Jours de fonctionnement couverts sans aucune nouvelle entrée</t>
        </is>
      </c>
      <c r="F97" s="68" t="inlineStr">
        <is>
          <t>Jours</t>
        </is>
      </c>
      <c r="G97" s="96" t="inlineStr">
        <is>
          <t>Calculée</t>
        </is>
      </c>
      <c r="H97" s="67" t="inlineStr">
        <is>
          <t>—</t>
        </is>
      </c>
      <c r="I97" s="68" t="inlineStr">
        <is>
          <t>—</t>
        </is>
      </c>
      <c r="J97" s="68" t="inlineStr">
        <is>
          <t>—</t>
        </is>
      </c>
      <c r="K97" s="67" t="inlineStr">
        <is>
          <t>●</t>
        </is>
      </c>
      <c r="L97" s="67" t="inlineStr">
        <is>
          <t>●</t>
        </is>
      </c>
      <c r="M97" s="67" t="inlineStr">
        <is>
          <t>●</t>
        </is>
      </c>
      <c r="N97" s="67" t="inlineStr">
        <is>
          <t>●</t>
        </is>
      </c>
      <c r="O97" s="67" t="inlineStr">
        <is>
          <t>●</t>
        </is>
      </c>
      <c r="P97" s="67" t="inlineStr">
        <is>
          <t>●</t>
        </is>
      </c>
      <c r="Q97" s="67" t="inlineStr">
        <is>
          <t>●</t>
        </is>
      </c>
      <c r="R97" s="67" t="inlineStr">
        <is>
          <t>●</t>
        </is>
      </c>
      <c r="S97" s="68" t="inlineStr">
        <is>
          <t>Risque</t>
        </is>
      </c>
      <c r="T97" s="68" t="inlineStr">
        <is>
          <t>Trésorerie mobilisable ÷ ((charges fixes + charges variables) ÷ 30)</t>
        </is>
      </c>
      <c r="U97" s="68" t="inlineStr">
        <is>
          <t>FIN-11.04, FIN-05.08, FIN-06.05</t>
        </is>
      </c>
      <c r="V97" s="68" t="inlineStr">
        <is>
          <t>XF14</t>
        </is>
      </c>
      <c r="W97" s="83" t="n"/>
    </row>
    <row r="98" ht="15" customHeight="1" s="53">
      <c r="A98" s="85" t="inlineStr">
        <is>
          <t>FIN-12.01</t>
        </is>
      </c>
      <c r="B98" s="89" t="inlineStr">
        <is>
          <t>FIN-12</t>
        </is>
      </c>
      <c r="C98" s="97">
        <f>IFERROR(INDEX(Thèmes!$D$2:$D$190,MATCH(B98,Thèmes!$A$2:$A$190,0)),"")</f>
        <v/>
      </c>
      <c r="D98" s="86" t="inlineStr">
        <is>
          <t>F09 · Vos 3 derniers mois (tableau)</t>
        </is>
      </c>
      <c r="E98" s="86" t="inlineStr">
        <is>
          <t>Pour chacun des 3 derniers mois : total des entrées et total des sorties sur vos comptes</t>
        </is>
      </c>
      <c r="F98" s="86" t="inlineStr">
        <is>
          <t>Tableau 3 × 2</t>
        </is>
      </c>
      <c r="G98" s="89" t="inlineStr">
        <is>
          <t>Demandée</t>
        </is>
      </c>
      <c r="H98" s="89" t="inlineStr">
        <is>
          <t>Essentiel</t>
        </is>
      </c>
      <c r="I98" s="86" t="inlineStr">
        <is>
          <t>—</t>
        </is>
      </c>
      <c r="J98" s="86" t="inlineStr">
        <is>
          <t>Période adaptée : depuis la création si moins de 3 mois</t>
        </is>
      </c>
      <c r="K98" s="89" t="inlineStr">
        <is>
          <t>●</t>
        </is>
      </c>
      <c r="L98" s="89" t="inlineStr">
        <is>
          <t>●</t>
        </is>
      </c>
      <c r="M98" s="89" t="inlineStr">
        <is>
          <t>●</t>
        </is>
      </c>
      <c r="N98" s="89" t="inlineStr">
        <is>
          <t>●</t>
        </is>
      </c>
      <c r="O98" s="89" t="inlineStr">
        <is>
          <t>●</t>
        </is>
      </c>
      <c r="P98" s="89" t="inlineStr">
        <is>
          <t>●</t>
        </is>
      </c>
      <c r="Q98" s="89" t="inlineStr">
        <is>
          <t>●</t>
        </is>
      </c>
      <c r="R98" s="89" t="inlineStr">
        <is>
          <t>●</t>
        </is>
      </c>
      <c r="S98" s="86" t="inlineStr">
        <is>
          <t>Problème</t>
        </is>
      </c>
      <c r="T98" s="86" t="inlineStr">
        <is>
          <t>—</t>
        </is>
      </c>
      <c r="U98" s="86" t="inlineStr">
        <is>
          <t>—</t>
        </is>
      </c>
      <c r="V98" s="86" t="inlineStr">
        <is>
          <t>FIN-12.02, FIN-12.03, FIN-12.04, FIN-12.06</t>
        </is>
      </c>
      <c r="W98" s="91" t="n"/>
    </row>
    <row r="99" ht="15" customHeight="1" s="53">
      <c r="A99" s="81" t="inlineStr">
        <is>
          <t>FIN-12.02</t>
        </is>
      </c>
      <c r="B99" s="67" t="inlineStr">
        <is>
          <t>FIN-12</t>
        </is>
      </c>
      <c r="C99" s="95">
        <f>IFERROR(INDEX(Thèmes!$D$2:$D$190,MATCH(B99,Thèmes!$A$2:$A$190,0)),"")</f>
        <v/>
      </c>
      <c r="D99" s="68" t="inlineStr">
        <is>
          <t>—</t>
        </is>
      </c>
      <c r="E99" s="68" t="inlineStr">
        <is>
          <t>Solde de chaque mois et solde moyen</t>
        </is>
      </c>
      <c r="F99" s="68" t="inlineStr">
        <is>
          <t>€</t>
        </is>
      </c>
      <c r="G99" s="96" t="inlineStr">
        <is>
          <t>Calculée</t>
        </is>
      </c>
      <c r="H99" s="67" t="inlineStr">
        <is>
          <t>—</t>
        </is>
      </c>
      <c r="I99" s="68" t="inlineStr">
        <is>
          <t>—</t>
        </is>
      </c>
      <c r="J99" s="68" t="inlineStr">
        <is>
          <t>—</t>
        </is>
      </c>
      <c r="K99" s="67" t="inlineStr">
        <is>
          <t>●</t>
        </is>
      </c>
      <c r="L99" s="67" t="inlineStr">
        <is>
          <t>●</t>
        </is>
      </c>
      <c r="M99" s="67" t="inlineStr">
        <is>
          <t>●</t>
        </is>
      </c>
      <c r="N99" s="67" t="inlineStr">
        <is>
          <t>●</t>
        </is>
      </c>
      <c r="O99" s="67" t="inlineStr">
        <is>
          <t>●</t>
        </is>
      </c>
      <c r="P99" s="67" t="inlineStr">
        <is>
          <t>●</t>
        </is>
      </c>
      <c r="Q99" s="67" t="inlineStr">
        <is>
          <t>●</t>
        </is>
      </c>
      <c r="R99" s="67" t="inlineStr">
        <is>
          <t>●</t>
        </is>
      </c>
      <c r="S99" s="68" t="inlineStr">
        <is>
          <t>Mesure</t>
        </is>
      </c>
      <c r="T99" s="68" t="inlineStr">
        <is>
          <t>Entrées − sorties</t>
        </is>
      </c>
      <c r="U99" s="68" t="inlineStr">
        <is>
          <t>FIN-12.01</t>
        </is>
      </c>
      <c r="V99" s="68" t="inlineStr">
        <is>
          <t>FIN-12.07, FIN-13.03</t>
        </is>
      </c>
      <c r="W99" s="83" t="n"/>
    </row>
    <row r="100" ht="23.85" customHeight="1" s="53">
      <c r="A100" s="81" t="inlineStr">
        <is>
          <t>FIN-12.03</t>
        </is>
      </c>
      <c r="B100" s="67" t="inlineStr">
        <is>
          <t>FIN-12</t>
        </is>
      </c>
      <c r="C100" s="95">
        <f>IFERROR(INDEX(Thèmes!$D$2:$D$190,MATCH(B100,Thèmes!$A$2:$A$190,0)),"")</f>
        <v/>
      </c>
      <c r="D100" s="68" t="inlineStr">
        <is>
          <t>—</t>
        </is>
      </c>
      <c r="E100" s="68" t="inlineStr">
        <is>
          <t>Mois négatifs sur les 3 derniers</t>
        </is>
      </c>
      <c r="F100" s="68" t="inlineStr">
        <is>
          <t>Nombre</t>
        </is>
      </c>
      <c r="G100" s="96" t="inlineStr">
        <is>
          <t>Calculée</t>
        </is>
      </c>
      <c r="H100" s="67" t="inlineStr">
        <is>
          <t>—</t>
        </is>
      </c>
      <c r="I100" s="68" t="inlineStr">
        <is>
          <t>—</t>
        </is>
      </c>
      <c r="J100" s="68" t="inlineStr">
        <is>
          <t>—</t>
        </is>
      </c>
      <c r="K100" s="67" t="inlineStr">
        <is>
          <t>●</t>
        </is>
      </c>
      <c r="L100" s="67" t="inlineStr">
        <is>
          <t>●</t>
        </is>
      </c>
      <c r="M100" s="67" t="inlineStr">
        <is>
          <t>●</t>
        </is>
      </c>
      <c r="N100" s="67" t="inlineStr">
        <is>
          <t>●</t>
        </is>
      </c>
      <c r="O100" s="67" t="inlineStr">
        <is>
          <t>●</t>
        </is>
      </c>
      <c r="P100" s="67" t="inlineStr">
        <is>
          <t>●</t>
        </is>
      </c>
      <c r="Q100" s="67" t="inlineStr">
        <is>
          <t>●</t>
        </is>
      </c>
      <c r="R100" s="67" t="inlineStr">
        <is>
          <t>●</t>
        </is>
      </c>
      <c r="S100" s="68" t="inlineStr">
        <is>
          <t>Problème</t>
        </is>
      </c>
      <c r="T100" s="68" t="inlineStr">
        <is>
          <t>Mois où les sorties dépassent les entrées</t>
        </is>
      </c>
      <c r="U100" s="68" t="inlineStr">
        <is>
          <t>FIN-12.01</t>
        </is>
      </c>
      <c r="V100" s="68" t="inlineStr">
        <is>
          <t>Affichée dans le rapport</t>
        </is>
      </c>
      <c r="W100" s="83" t="n"/>
    </row>
    <row r="101" ht="23.85" customHeight="1" s="53">
      <c r="A101" s="81" t="inlineStr">
        <is>
          <t>FIN-12.04</t>
        </is>
      </c>
      <c r="B101" s="67" t="inlineStr">
        <is>
          <t>FIN-12</t>
        </is>
      </c>
      <c r="C101" s="95">
        <f>IFERROR(INDEX(Thèmes!$D$2:$D$190,MATCH(B101,Thèmes!$A$2:$A$190,0)),"")</f>
        <v/>
      </c>
      <c r="D101" s="68" t="inlineStr">
        <is>
          <t>—</t>
        </is>
      </c>
      <c r="E101" s="68" t="inlineStr">
        <is>
          <t>Consommation de trésorerie par mois (si le solde moyen est négatif)</t>
        </is>
      </c>
      <c r="F101" s="68" t="inlineStr">
        <is>
          <t>€</t>
        </is>
      </c>
      <c r="G101" s="96" t="inlineStr">
        <is>
          <t>Calculée</t>
        </is>
      </c>
      <c r="H101" s="67" t="inlineStr">
        <is>
          <t>—</t>
        </is>
      </c>
      <c r="I101" s="68" t="inlineStr">
        <is>
          <t>—</t>
        </is>
      </c>
      <c r="J101" s="68" t="inlineStr">
        <is>
          <t>—</t>
        </is>
      </c>
      <c r="K101" s="67" t="inlineStr">
        <is>
          <t>●</t>
        </is>
      </c>
      <c r="L101" s="67" t="inlineStr">
        <is>
          <t>●</t>
        </is>
      </c>
      <c r="M101" s="67" t="inlineStr">
        <is>
          <t>●</t>
        </is>
      </c>
      <c r="N101" s="67" t="inlineStr">
        <is>
          <t>●</t>
        </is>
      </c>
      <c r="O101" s="67" t="inlineStr">
        <is>
          <t>●</t>
        </is>
      </c>
      <c r="P101" s="67" t="inlineStr">
        <is>
          <t>●</t>
        </is>
      </c>
      <c r="Q101" s="67" t="inlineStr">
        <is>
          <t>●</t>
        </is>
      </c>
      <c r="R101" s="67" t="inlineStr">
        <is>
          <t>●</t>
        </is>
      </c>
      <c r="S101" s="68" t="inlineStr">
        <is>
          <t>Risque</t>
        </is>
      </c>
      <c r="T101" s="68" t="inlineStr">
        <is>
          <t>Sorties moyennes − entrées moyennes</t>
        </is>
      </c>
      <c r="U101" s="68" t="inlineStr">
        <is>
          <t>FIN-12.01</t>
        </is>
      </c>
      <c r="V101" s="68" t="inlineStr">
        <is>
          <t>FIN-12.05</t>
        </is>
      </c>
      <c r="W101" s="83" t="n"/>
    </row>
    <row r="102" ht="15" customHeight="1" s="53">
      <c r="A102" s="81" t="inlineStr">
        <is>
          <t>FIN-12.05</t>
        </is>
      </c>
      <c r="B102" s="67" t="inlineStr">
        <is>
          <t>FIN-12</t>
        </is>
      </c>
      <c r="C102" s="95">
        <f>IFERROR(INDEX(Thèmes!$D$2:$D$190,MATCH(B102,Thèmes!$A$2:$A$190,0)),"")</f>
        <v/>
      </c>
      <c r="D102" s="68" t="inlineStr">
        <is>
          <t>—</t>
        </is>
      </c>
      <c r="E102" s="68" t="inlineStr">
        <is>
          <t>Mois avant épuisement de la trésorerie, au rythme actuel</t>
        </is>
      </c>
      <c r="F102" s="68" t="inlineStr">
        <is>
          <t>Mois</t>
        </is>
      </c>
      <c r="G102" s="96" t="inlineStr">
        <is>
          <t>Calculée</t>
        </is>
      </c>
      <c r="H102" s="67" t="inlineStr">
        <is>
          <t>—</t>
        </is>
      </c>
      <c r="I102" s="68" t="inlineStr">
        <is>
          <t>—</t>
        </is>
      </c>
      <c r="J102" s="68" t="inlineStr">
        <is>
          <t>—</t>
        </is>
      </c>
      <c r="K102" s="67" t="inlineStr">
        <is>
          <t>●</t>
        </is>
      </c>
      <c r="L102" s="67" t="inlineStr">
        <is>
          <t>●</t>
        </is>
      </c>
      <c r="M102" s="67" t="inlineStr">
        <is>
          <t>●</t>
        </is>
      </c>
      <c r="N102" s="67" t="inlineStr">
        <is>
          <t>●</t>
        </is>
      </c>
      <c r="O102" s="67" t="inlineStr">
        <is>
          <t>●</t>
        </is>
      </c>
      <c r="P102" s="67" t="inlineStr">
        <is>
          <t>●</t>
        </is>
      </c>
      <c r="Q102" s="67" t="inlineStr">
        <is>
          <t>●</t>
        </is>
      </c>
      <c r="R102" s="67" t="inlineStr">
        <is>
          <t>●</t>
        </is>
      </c>
      <c r="S102" s="68" t="inlineStr">
        <is>
          <t>Risque</t>
        </is>
      </c>
      <c r="T102" s="68" t="inlineStr">
        <is>
          <t>Trésorerie mobilisable ÷ consommation mensuelle</t>
        </is>
      </c>
      <c r="U102" s="68" t="inlineStr">
        <is>
          <t>FIN-11.04, FIN-12.04</t>
        </is>
      </c>
      <c r="V102" s="68" t="inlineStr">
        <is>
          <t>XF15</t>
        </is>
      </c>
      <c r="W102" s="83" t="n"/>
    </row>
    <row r="103" ht="23.85" customHeight="1" s="53">
      <c r="A103" s="81" t="inlineStr">
        <is>
          <t>FIN-12.06</t>
        </is>
      </c>
      <c r="B103" s="67" t="inlineStr">
        <is>
          <t>FIN-12</t>
        </is>
      </c>
      <c r="C103" s="95">
        <f>IFERROR(INDEX(Thèmes!$D$2:$D$190,MATCH(B103,Thèmes!$A$2:$A$190,0)),"")</f>
        <v/>
      </c>
      <c r="D103" s="68" t="inlineStr">
        <is>
          <t>—</t>
        </is>
      </c>
      <c r="E103" s="68" t="inlineStr">
        <is>
          <t>Écart entre CA facturé et argent réellement encaissé</t>
        </is>
      </c>
      <c r="F103" s="68" t="inlineStr">
        <is>
          <t>€ et %</t>
        </is>
      </c>
      <c r="G103" s="96" t="inlineStr">
        <is>
          <t>Calculée</t>
        </is>
      </c>
      <c r="H103" s="67" t="inlineStr">
        <is>
          <t>—</t>
        </is>
      </c>
      <c r="I103" s="68" t="inlineStr">
        <is>
          <t>—</t>
        </is>
      </c>
      <c r="J103" s="68" t="inlineStr">
        <is>
          <t>—</t>
        </is>
      </c>
      <c r="K103" s="67" t="inlineStr">
        <is>
          <t>●</t>
        </is>
      </c>
      <c r="L103" s="67" t="inlineStr">
        <is>
          <t>●</t>
        </is>
      </c>
      <c r="M103" s="67" t="inlineStr">
        <is>
          <t>●</t>
        </is>
      </c>
      <c r="N103" s="67" t="inlineStr">
        <is>
          <t>●</t>
        </is>
      </c>
      <c r="O103" s="67" t="inlineStr">
        <is>
          <t>●</t>
        </is>
      </c>
      <c r="P103" s="67" t="inlineStr">
        <is>
          <t>●</t>
        </is>
      </c>
      <c r="Q103" s="67" t="inlineStr">
        <is>
          <t>●</t>
        </is>
      </c>
      <c r="R103" s="67" t="inlineStr">
        <is>
          <t>●</t>
        </is>
      </c>
      <c r="S103" s="68" t="inlineStr">
        <is>
          <t>Problème</t>
        </is>
      </c>
      <c r="T103" s="68" t="inlineStr">
        <is>
          <t>Entrées moyennes − CA moyen des 3 mêmes mois</t>
        </is>
      </c>
      <c r="U103" s="68" t="inlineStr">
        <is>
          <t>FIN-12.01, ACQ-23.01</t>
        </is>
      </c>
      <c r="V103" s="68" t="inlineStr">
        <is>
          <t>XF17</t>
        </is>
      </c>
      <c r="W103" s="83" t="n"/>
    </row>
    <row r="104" ht="23.85" customHeight="1" s="53">
      <c r="A104" s="81" t="inlineStr">
        <is>
          <t>FIN-12.07</t>
        </is>
      </c>
      <c r="B104" s="67" t="inlineStr">
        <is>
          <t>FIN-12</t>
        </is>
      </c>
      <c r="C104" s="95">
        <f>IFERROR(INDEX(Thèmes!$D$2:$D$190,MATCH(B104,Thèmes!$A$2:$A$190,0)),"")</f>
        <v/>
      </c>
      <c r="D104" s="68" t="inlineStr">
        <is>
          <t>—</t>
        </is>
      </c>
      <c r="E104" s="68" t="inlineStr">
        <is>
          <t>Rentabilité sur le papier comparée au cash réellement généré</t>
        </is>
      </c>
      <c r="F104" s="68" t="inlineStr">
        <is>
          <t>€</t>
        </is>
      </c>
      <c r="G104" s="96" t="inlineStr">
        <is>
          <t>Calculée</t>
        </is>
      </c>
      <c r="H104" s="67" t="inlineStr">
        <is>
          <t>—</t>
        </is>
      </c>
      <c r="I104" s="68" t="inlineStr">
        <is>
          <t>—</t>
        </is>
      </c>
      <c r="J104" s="68" t="inlineStr">
        <is>
          <t>—</t>
        </is>
      </c>
      <c r="K104" s="67" t="inlineStr">
        <is>
          <t>●</t>
        </is>
      </c>
      <c r="L104" s="67" t="inlineStr">
        <is>
          <t>●</t>
        </is>
      </c>
      <c r="M104" s="67" t="inlineStr">
        <is>
          <t>●</t>
        </is>
      </c>
      <c r="N104" s="67" t="inlineStr">
        <is>
          <t>●</t>
        </is>
      </c>
      <c r="O104" s="67" t="inlineStr">
        <is>
          <t>●</t>
        </is>
      </c>
      <c r="P104" s="67" t="inlineStr">
        <is>
          <t>●</t>
        </is>
      </c>
      <c r="Q104" s="67" t="inlineStr">
        <is>
          <t>●</t>
        </is>
      </c>
      <c r="R104" s="67" t="inlineStr">
        <is>
          <t>●</t>
        </is>
      </c>
      <c r="S104" s="68" t="inlineStr">
        <is>
          <t>Problème</t>
        </is>
      </c>
      <c r="T104" s="68" t="inlineStr">
        <is>
          <t>Résultat annuel ÷ 12 comparé au solde moyen mensuel</t>
        </is>
      </c>
      <c r="U104" s="68" t="inlineStr">
        <is>
          <t>FIN-05.04, FIN-12.02</t>
        </is>
      </c>
      <c r="V104" s="68" t="inlineStr">
        <is>
          <t>XF16</t>
        </is>
      </c>
      <c r="W104" s="83" t="n"/>
    </row>
    <row r="105" ht="23.85" customHeight="1" s="53">
      <c r="A105" s="85" t="inlineStr">
        <is>
          <t>FIN-13.01</t>
        </is>
      </c>
      <c r="B105" s="89" t="inlineStr">
        <is>
          <t>FIN-13</t>
        </is>
      </c>
      <c r="C105" s="97">
        <f>IFERROR(INDEX(Thèmes!$D$2:$D$190,MATCH(B105,Thèmes!$A$2:$A$190,0)),"")</f>
        <v/>
      </c>
      <c r="D105" s="86" t="inlineStr">
        <is>
          <t>F10 · Vos 3 prochains mois (tableau)</t>
        </is>
      </c>
      <c r="E105" s="86" t="inlineStr">
        <is>
          <t>Gros paiements des 3 prochains mois : nature, montant, mois, obligatoire ou reportable, déjà financé (oui / non)</t>
        </is>
      </c>
      <c r="F105" s="86" t="inlineStr">
        <is>
          <t>Tableau (jusqu'à 5 lignes)</t>
        </is>
      </c>
      <c r="G105" s="89" t="inlineStr">
        <is>
          <t>Demandée</t>
        </is>
      </c>
      <c r="H105" s="89" t="inlineStr">
        <is>
          <t>Essentiel</t>
        </is>
      </c>
      <c r="I105" s="86" t="inlineStr">
        <is>
          <t>—</t>
        </is>
      </c>
      <c r="J105" s="86" t="inlineStr">
        <is>
          <t>—</t>
        </is>
      </c>
      <c r="K105" s="89" t="inlineStr">
        <is>
          <t>●</t>
        </is>
      </c>
      <c r="L105" s="89" t="inlineStr">
        <is>
          <t>●</t>
        </is>
      </c>
      <c r="M105" s="89" t="inlineStr">
        <is>
          <t>●</t>
        </is>
      </c>
      <c r="N105" s="89" t="inlineStr">
        <is>
          <t>●</t>
        </is>
      </c>
      <c r="O105" s="89" t="inlineStr">
        <is>
          <t>●</t>
        </is>
      </c>
      <c r="P105" s="89" t="inlineStr">
        <is>
          <t>●</t>
        </is>
      </c>
      <c r="Q105" s="89" t="inlineStr">
        <is>
          <t>●</t>
        </is>
      </c>
      <c r="R105" s="89" t="inlineStr">
        <is>
          <t>●</t>
        </is>
      </c>
      <c r="S105" s="86" t="inlineStr">
        <is>
          <t>Risque</t>
        </is>
      </c>
      <c r="T105" s="86" t="inlineStr">
        <is>
          <t>—</t>
        </is>
      </c>
      <c r="U105" s="86" t="inlineStr">
        <is>
          <t>—</t>
        </is>
      </c>
      <c r="V105" s="86" t="inlineStr">
        <is>
          <t>FIN-13.03, FIN-13.05, FIN-15.02</t>
        </is>
      </c>
      <c r="W105" s="91" t="n"/>
    </row>
    <row r="106" ht="23.85" customHeight="1" s="53">
      <c r="A106" s="81" t="inlineStr">
        <is>
          <t>FIN-13.02</t>
        </is>
      </c>
      <c r="B106" s="67" t="inlineStr">
        <is>
          <t>FIN-13</t>
        </is>
      </c>
      <c r="C106" s="95">
        <f>IFERROR(INDEX(Thèmes!$D$2:$D$190,MATCH(B106,Thèmes!$A$2:$A$190,0)),"")</f>
        <v/>
      </c>
      <c r="D106" s="68" t="inlineStr">
        <is>
          <t>F10 · Vos 3 prochains mois (tableau)</t>
        </is>
      </c>
      <c r="E106" s="68" t="inlineStr">
        <is>
          <t>Gros encaissements attendus sur les 3 prochains mois, hors ventes habituelles : montant et mois</t>
        </is>
      </c>
      <c r="F106" s="68" t="inlineStr">
        <is>
          <t>Tableau (jusqu'à 3 lignes)</t>
        </is>
      </c>
      <c r="G106" s="67" t="inlineStr">
        <is>
          <t>Demandée</t>
        </is>
      </c>
      <c r="H106" s="67" t="inlineStr">
        <is>
          <t>Essentiel</t>
        </is>
      </c>
      <c r="I106" s="68" t="inlineStr">
        <is>
          <t>—</t>
        </is>
      </c>
      <c r="J106" s="68" t="inlineStr">
        <is>
          <t>—</t>
        </is>
      </c>
      <c r="K106" s="67" t="inlineStr">
        <is>
          <t>●</t>
        </is>
      </c>
      <c r="L106" s="67" t="inlineStr">
        <is>
          <t>●</t>
        </is>
      </c>
      <c r="M106" s="67" t="inlineStr">
        <is>
          <t>●</t>
        </is>
      </c>
      <c r="N106" s="67" t="inlineStr">
        <is>
          <t>●</t>
        </is>
      </c>
      <c r="O106" s="67" t="inlineStr">
        <is>
          <t>●</t>
        </is>
      </c>
      <c r="P106" s="67" t="inlineStr">
        <is>
          <t>●</t>
        </is>
      </c>
      <c r="Q106" s="67" t="inlineStr">
        <is>
          <t>●</t>
        </is>
      </c>
      <c r="R106" s="67" t="inlineStr">
        <is>
          <t>●</t>
        </is>
      </c>
      <c r="S106" s="68" t="inlineStr">
        <is>
          <t>Risque</t>
        </is>
      </c>
      <c r="T106" s="68" t="inlineStr">
        <is>
          <t>—</t>
        </is>
      </c>
      <c r="U106" s="68" t="inlineStr">
        <is>
          <t>—</t>
        </is>
      </c>
      <c r="V106" s="68" t="inlineStr">
        <is>
          <t>FIN-13.03</t>
        </is>
      </c>
      <c r="W106" s="83" t="n"/>
    </row>
    <row r="107" ht="23.85" customHeight="1" s="53">
      <c r="A107" s="81" t="inlineStr">
        <is>
          <t>FIN-13.03</t>
        </is>
      </c>
      <c r="B107" s="67" t="inlineStr">
        <is>
          <t>FIN-13</t>
        </is>
      </c>
      <c r="C107" s="95">
        <f>IFERROR(INDEX(Thèmes!$D$2:$D$190,MATCH(B107,Thèmes!$A$2:$A$190,0)),"")</f>
        <v/>
      </c>
      <c r="D107" s="68" t="inlineStr">
        <is>
          <t>—</t>
        </is>
      </c>
      <c r="E107" s="68" t="inlineStr">
        <is>
          <t>Trésorerie projetée à la fin de chacun des 3 prochains mois</t>
        </is>
      </c>
      <c r="F107" s="68" t="inlineStr">
        <is>
          <t>€</t>
        </is>
      </c>
      <c r="G107" s="96" t="inlineStr">
        <is>
          <t>Calculée</t>
        </is>
      </c>
      <c r="H107" s="67" t="inlineStr">
        <is>
          <t>—</t>
        </is>
      </c>
      <c r="I107" s="68" t="inlineStr">
        <is>
          <t>—</t>
        </is>
      </c>
      <c r="J107" s="68" t="inlineStr">
        <is>
          <t>—</t>
        </is>
      </c>
      <c r="K107" s="67" t="inlineStr">
        <is>
          <t>●</t>
        </is>
      </c>
      <c r="L107" s="67" t="inlineStr">
        <is>
          <t>●</t>
        </is>
      </c>
      <c r="M107" s="67" t="inlineStr">
        <is>
          <t>●</t>
        </is>
      </c>
      <c r="N107" s="67" t="inlineStr">
        <is>
          <t>●</t>
        </is>
      </c>
      <c r="O107" s="67" t="inlineStr">
        <is>
          <t>●</t>
        </is>
      </c>
      <c r="P107" s="67" t="inlineStr">
        <is>
          <t>●</t>
        </is>
      </c>
      <c r="Q107" s="67" t="inlineStr">
        <is>
          <t>●</t>
        </is>
      </c>
      <c r="R107" s="67" t="inlineStr">
        <is>
          <t>●</t>
        </is>
      </c>
      <c r="S107" s="68" t="inlineStr">
        <is>
          <t>Risque</t>
        </is>
      </c>
      <c r="T107" s="68" t="inlineStr">
        <is>
          <t>Trésorerie mobilisable + solde moyen × mois + encaissements attendus − gros paiements</t>
        </is>
      </c>
      <c r="U107" s="68" t="inlineStr">
        <is>
          <t>FIN-11.04, FIN-12.02, FIN-13.02, FIN-13.01</t>
        </is>
      </c>
      <c r="V107" s="68" t="inlineStr">
        <is>
          <t>FIN-13.04, XF18</t>
        </is>
      </c>
      <c r="W107" s="83" t="n"/>
    </row>
    <row r="108" ht="15" customHeight="1" s="53">
      <c r="A108" s="81" t="inlineStr">
        <is>
          <t>FIN-13.04</t>
        </is>
      </c>
      <c r="B108" s="67" t="inlineStr">
        <is>
          <t>FIN-13</t>
        </is>
      </c>
      <c r="C108" s="95">
        <f>IFERROR(INDEX(Thèmes!$D$2:$D$190,MATCH(B108,Thèmes!$A$2:$A$190,0)),"")</f>
        <v/>
      </c>
      <c r="D108" s="68" t="inlineStr">
        <is>
          <t>—</t>
        </is>
      </c>
      <c r="E108" s="68" t="inlineStr">
        <is>
          <t>Mois de tension à venir</t>
        </is>
      </c>
      <c r="F108" s="68" t="inlineStr">
        <is>
          <t>Mois et €</t>
        </is>
      </c>
      <c r="G108" s="96" t="inlineStr">
        <is>
          <t>Calculée</t>
        </is>
      </c>
      <c r="H108" s="67" t="inlineStr">
        <is>
          <t>—</t>
        </is>
      </c>
      <c r="I108" s="68" t="inlineStr">
        <is>
          <t>—</t>
        </is>
      </c>
      <c r="J108" s="68" t="inlineStr">
        <is>
          <t>—</t>
        </is>
      </c>
      <c r="K108" s="67" t="inlineStr">
        <is>
          <t>●</t>
        </is>
      </c>
      <c r="L108" s="67" t="inlineStr">
        <is>
          <t>●</t>
        </is>
      </c>
      <c r="M108" s="67" t="inlineStr">
        <is>
          <t>●</t>
        </is>
      </c>
      <c r="N108" s="67" t="inlineStr">
        <is>
          <t>●</t>
        </is>
      </c>
      <c r="O108" s="67" t="inlineStr">
        <is>
          <t>●</t>
        </is>
      </c>
      <c r="P108" s="67" t="inlineStr">
        <is>
          <t>●</t>
        </is>
      </c>
      <c r="Q108" s="67" t="inlineStr">
        <is>
          <t>●</t>
        </is>
      </c>
      <c r="R108" s="67" t="inlineStr">
        <is>
          <t>●</t>
        </is>
      </c>
      <c r="S108" s="68" t="inlineStr">
        <is>
          <t>Risque</t>
        </is>
      </c>
      <c r="T108" s="68" t="inlineStr">
        <is>
          <t>Mois où la trésorerie projetée passe sous un mois de charges fixes ou sous zéro</t>
        </is>
      </c>
      <c r="U108" s="68" t="inlineStr">
        <is>
          <t>FIN-13.03, FIN-05.08</t>
        </is>
      </c>
      <c r="V108" s="68" t="inlineStr">
        <is>
          <t>XF18</t>
        </is>
      </c>
      <c r="W108" s="83" t="n"/>
    </row>
    <row r="109" ht="15" customHeight="1" s="53">
      <c r="A109" s="81" t="inlineStr">
        <is>
          <t>FIN-13.05</t>
        </is>
      </c>
      <c r="B109" s="67" t="inlineStr">
        <is>
          <t>FIN-13</t>
        </is>
      </c>
      <c r="C109" s="95">
        <f>IFERROR(INDEX(Thèmes!$D$2:$D$190,MATCH(B109,Thèmes!$A$2:$A$190,0)),"")</f>
        <v/>
      </c>
      <c r="D109" s="68" t="inlineStr">
        <is>
          <t>—</t>
        </is>
      </c>
      <c r="E109" s="68" t="inlineStr">
        <is>
          <t>Part des gros paiements que l'on peut reporter ou étaler</t>
        </is>
      </c>
      <c r="F109" s="68" t="inlineStr">
        <is>
          <t>% et €</t>
        </is>
      </c>
      <c r="G109" s="96" t="inlineStr">
        <is>
          <t>Calculée</t>
        </is>
      </c>
      <c r="H109" s="67" t="inlineStr">
        <is>
          <t>—</t>
        </is>
      </c>
      <c r="I109" s="68" t="inlineStr">
        <is>
          <t>—</t>
        </is>
      </c>
      <c r="J109" s="68" t="inlineStr">
        <is>
          <t>—</t>
        </is>
      </c>
      <c r="K109" s="67" t="inlineStr">
        <is>
          <t>●</t>
        </is>
      </c>
      <c r="L109" s="67" t="inlineStr">
        <is>
          <t>●</t>
        </is>
      </c>
      <c r="M109" s="67" t="inlineStr">
        <is>
          <t>●</t>
        </is>
      </c>
      <c r="N109" s="67" t="inlineStr">
        <is>
          <t>●</t>
        </is>
      </c>
      <c r="O109" s="67" t="inlineStr">
        <is>
          <t>●</t>
        </is>
      </c>
      <c r="P109" s="67" t="inlineStr">
        <is>
          <t>●</t>
        </is>
      </c>
      <c r="Q109" s="67" t="inlineStr">
        <is>
          <t>●</t>
        </is>
      </c>
      <c r="R109" s="67" t="inlineStr">
        <is>
          <t>●</t>
        </is>
      </c>
      <c r="S109" s="68" t="inlineStr">
        <is>
          <t>Levier</t>
        </is>
      </c>
      <c r="T109" s="68" t="inlineStr">
        <is>
          <t>Montant reportable ÷ total des gros paiements</t>
        </is>
      </c>
      <c r="U109" s="68" t="inlineStr">
        <is>
          <t>FIN-13.01</t>
        </is>
      </c>
      <c r="V109" s="68" t="inlineStr">
        <is>
          <t>XF18</t>
        </is>
      </c>
      <c r="W109" s="83" t="n"/>
    </row>
    <row r="110" ht="35.05" customHeight="1" s="53">
      <c r="A110" s="92" t="inlineStr">
        <is>
          <t>FIN-13.06</t>
        </is>
      </c>
      <c r="B110" s="67" t="inlineStr">
        <is>
          <t>FIN-13</t>
        </is>
      </c>
      <c r="C110" s="95">
        <f>IFERROR(INDEX(Thèmes!$D$2:$D$190,MATCH(B110,Thèmes!$A$2:$A$190,0)),"")</f>
        <v/>
      </c>
      <c r="D110" s="68" t="inlineStr">
        <is>
          <t>—</t>
        </is>
      </c>
      <c r="E110" s="68" t="inlineStr">
        <is>
          <t>Plan de trésorerie des mois à venir</t>
        </is>
      </c>
      <c r="F110" s="68" t="inlineStr">
        <is>
          <t>Choix</t>
        </is>
      </c>
      <c r="G110" s="67" t="inlineStr">
        <is>
          <t>Demandée</t>
        </is>
      </c>
      <c r="H110" s="67" t="inlineStr">
        <is>
          <t>Essentiel</t>
        </is>
      </c>
      <c r="I110" s="68" t="inlineStr">
        <is>
          <t>—</t>
        </is>
      </c>
      <c r="J110" s="68" t="inlineStr">
        <is>
          <t>—</t>
        </is>
      </c>
      <c r="K110" s="67" t="inlineStr">
        <is>
          <t>●</t>
        </is>
      </c>
      <c r="L110" s="67" t="inlineStr">
        <is>
          <t>●</t>
        </is>
      </c>
      <c r="M110" s="67" t="inlineStr">
        <is>
          <t>●</t>
        </is>
      </c>
      <c r="N110" s="67" t="inlineStr">
        <is>
          <t>●</t>
        </is>
      </c>
      <c r="O110" s="67" t="inlineStr">
        <is>
          <t>●</t>
        </is>
      </c>
      <c r="P110" s="67" t="inlineStr">
        <is>
          <t>●</t>
        </is>
      </c>
      <c r="Q110" s="67" t="inlineStr">
        <is>
          <t>●</t>
        </is>
      </c>
      <c r="R110" s="67" t="inlineStr">
        <is>
          <t>●</t>
        </is>
      </c>
      <c r="S110" s="68" t="inlineStr">
        <is>
          <t>—</t>
        </is>
      </c>
      <c r="T110" s="68" t="inlineStr">
        <is>
          <t>—</t>
        </is>
      </c>
      <c r="U110" s="68" t="inlineStr">
        <is>
          <t>—</t>
        </is>
      </c>
      <c r="V110" s="68" t="inlineStr">
        <is>
          <t>—</t>
        </is>
      </c>
      <c r="W110" s="83" t="inlineStr">
        <is>
          <t>Nouveau</t>
        </is>
      </c>
    </row>
    <row r="111" ht="23.85" customHeight="1" s="53">
      <c r="A111" s="85" t="inlineStr">
        <is>
          <t>FIN-14.01</t>
        </is>
      </c>
      <c r="B111" s="89" t="inlineStr">
        <is>
          <t>FIN-14</t>
        </is>
      </c>
      <c r="C111" s="97">
        <f>IFERROR(INDEX(Thèmes!$D$2:$D$190,MATCH(B111,Thèmes!$A$2:$A$190,0)),"")</f>
        <v/>
      </c>
      <c r="D111" s="86" t="inlineStr">
        <is>
          <t>A23 · Vos 12 derniers mois (tableau)</t>
        </is>
      </c>
      <c r="E111" s="86" t="inlineStr">
        <is>
          <t>CA de chacun des 12 derniers mois</t>
        </is>
      </c>
      <c r="F111" s="86" t="inlineStr">
        <is>
          <t>12 montants</t>
        </is>
      </c>
      <c r="G111" s="88" t="inlineStr">
        <is>
          <t>Partagée</t>
        </is>
      </c>
      <c r="H111" s="89" t="inlineStr">
        <is>
          <t>Essentiel</t>
        </is>
      </c>
      <c r="I111" s="86" t="inlineStr">
        <is>
          <t>—</t>
        </is>
      </c>
      <c r="J111" s="86" t="inlineStr">
        <is>
          <t>Période adaptée : depuis la création si moins de 12 mois</t>
        </is>
      </c>
      <c r="K111" s="89" t="inlineStr">
        <is>
          <t>●</t>
        </is>
      </c>
      <c r="L111" s="89" t="inlineStr">
        <is>
          <t>●</t>
        </is>
      </c>
      <c r="M111" s="89" t="inlineStr">
        <is>
          <t>●</t>
        </is>
      </c>
      <c r="N111" s="89" t="inlineStr">
        <is>
          <t>●</t>
        </is>
      </c>
      <c r="O111" s="89" t="inlineStr">
        <is>
          <t>●</t>
        </is>
      </c>
      <c r="P111" s="89" t="inlineStr">
        <is>
          <t>●</t>
        </is>
      </c>
      <c r="Q111" s="89" t="inlineStr">
        <is>
          <t>●</t>
        </is>
      </c>
      <c r="R111" s="89" t="inlineStr">
        <is>
          <t>●</t>
        </is>
      </c>
      <c r="S111" s="86" t="inlineStr">
        <is>
          <t>Problème</t>
        </is>
      </c>
      <c r="T111" s="86" t="inlineStr">
        <is>
          <t>Posée une seule fois, par le premier agent souscrit qui en a besoin (ACQ-23.01), sinon ici</t>
        </is>
      </c>
      <c r="U111" s="86" t="inlineStr">
        <is>
          <t>ACQ-23.01</t>
        </is>
      </c>
      <c r="V111" s="86" t="inlineStr">
        <is>
          <t>FIN-04.02, FIN-07.15, FIN-12.06, FIN-14.02, FIN-37.06</t>
        </is>
      </c>
      <c r="W111" s="91" t="n"/>
    </row>
    <row r="112" ht="35.05" customHeight="1" s="53">
      <c r="A112" s="85" t="inlineStr">
        <is>
          <t>FIN-14.03</t>
        </is>
      </c>
      <c r="B112" s="89" t="inlineStr">
        <is>
          <t>FIN-14</t>
        </is>
      </c>
      <c r="C112" s="97">
        <f>IFERROR(INDEX(Thèmes!$D$2:$D$190,MATCH(B112,Thèmes!$A$2:$A$190,0)),"")</f>
        <v/>
      </c>
      <c r="D112" s="86" t="inlineStr">
        <is>
          <t>A23 · Vos 12 derniers mois (tableau)</t>
        </is>
      </c>
      <c r="E112" s="86" t="inlineStr">
        <is>
          <t>CA des mêmes mois l'année précédente</t>
        </is>
      </c>
      <c r="F112" s="86" t="inlineStr">
        <is>
          <t>12 montants</t>
        </is>
      </c>
      <c r="G112" s="88" t="inlineStr">
        <is>
          <t>Partagée</t>
        </is>
      </c>
      <c r="H112" s="89" t="inlineStr">
        <is>
          <t>Essentiel</t>
        </is>
      </c>
      <c r="I112" s="86" t="inlineStr">
        <is>
          <t>—</t>
        </is>
      </c>
      <c r="J112" s="86" t="inlineStr">
        <is>
          <t>Mêmes 12 mois, un an plus tôt (depuis la création si plus récente ; masquée avant 13 mois d'existence)</t>
        </is>
      </c>
      <c r="K112" s="89" t="inlineStr">
        <is>
          <t>●</t>
        </is>
      </c>
      <c r="L112" s="89" t="inlineStr">
        <is>
          <t>●</t>
        </is>
      </c>
      <c r="M112" s="89" t="inlineStr">
        <is>
          <t>●</t>
        </is>
      </c>
      <c r="N112" s="89" t="inlineStr">
        <is>
          <t>●</t>
        </is>
      </c>
      <c r="O112" s="89" t="inlineStr">
        <is>
          <t>●</t>
        </is>
      </c>
      <c r="P112" s="89" t="inlineStr">
        <is>
          <t>●</t>
        </is>
      </c>
      <c r="Q112" s="89" t="inlineStr">
        <is>
          <t>●</t>
        </is>
      </c>
      <c r="R112" s="89" t="inlineStr">
        <is>
          <t>●</t>
        </is>
      </c>
      <c r="S112" s="86" t="inlineStr">
        <is>
          <t>Problème</t>
        </is>
      </c>
      <c r="T112" s="86" t="inlineStr">
        <is>
          <t>Posée une seule fois, par le premier agent souscrit qui en a besoin (ACQ-23.03), sinon ici</t>
        </is>
      </c>
      <c r="U112" s="86" t="inlineStr">
        <is>
          <t>ACQ-23.03</t>
        </is>
      </c>
      <c r="V112" s="86" t="inlineStr">
        <is>
          <t>FIN-04.02, FIN-07.15, FIN-37.06</t>
        </is>
      </c>
      <c r="W112" s="91" t="inlineStr">
        <is>
          <t>Nouveau (28 oct.) : vérification de l'historique</t>
        </is>
      </c>
    </row>
    <row r="113" ht="23.85" customHeight="1" s="53">
      <c r="A113" s="85" t="inlineStr">
        <is>
          <t>FIN-14.04</t>
        </is>
      </c>
      <c r="B113" s="89" t="inlineStr">
        <is>
          <t>FIN-14</t>
        </is>
      </c>
      <c r="C113" s="97">
        <f>IFERROR(INDEX(Thèmes!$D$2:$D$190,MATCH(B113,Thèmes!$A$2:$A$190,0)),"")</f>
        <v/>
      </c>
      <c r="D113" s="86" t="inlineStr">
        <is>
          <t>A23 · Vos 12 derniers mois (tableau)</t>
        </is>
      </c>
      <c r="E113" s="86" t="inlineStr">
        <is>
          <t>Changement de périmètre de l'activité sur les 24 derniers mois, et mois du changement</t>
        </is>
      </c>
      <c r="F113" s="86" t="inlineStr">
        <is>
          <t>Plusieurs champs : Changement · Mois du changement</t>
        </is>
      </c>
      <c r="G113" s="88" t="inlineStr">
        <is>
          <t>Partagée</t>
        </is>
      </c>
      <c r="H113" s="89" t="inlineStr">
        <is>
          <t>Essentiel</t>
        </is>
      </c>
      <c r="I113" s="86" t="inlineStr">
        <is>
          <t>—</t>
        </is>
      </c>
      <c r="J113" s="86" t="inlineStr">
        <is>
          <t>24 derniers mois (depuis la création si plus récente ; masquée avant 12 mois d'existence)</t>
        </is>
      </c>
      <c r="K113" s="89" t="inlineStr">
        <is>
          <t>●</t>
        </is>
      </c>
      <c r="L113" s="89" t="inlineStr">
        <is>
          <t>●</t>
        </is>
      </c>
      <c r="M113" s="89" t="inlineStr">
        <is>
          <t>●</t>
        </is>
      </c>
      <c r="N113" s="89" t="inlineStr">
        <is>
          <t>●</t>
        </is>
      </c>
      <c r="O113" s="89" t="inlineStr">
        <is>
          <t>●</t>
        </is>
      </c>
      <c r="P113" s="89" t="inlineStr">
        <is>
          <t>●</t>
        </is>
      </c>
      <c r="Q113" s="89" t="inlineStr">
        <is>
          <t>●</t>
        </is>
      </c>
      <c r="R113" s="89" t="inlineStr">
        <is>
          <t>●</t>
        </is>
      </c>
      <c r="S113" s="86" t="inlineStr">
        <is>
          <t>Problème</t>
        </is>
      </c>
      <c r="T113" s="86" t="inlineStr">
        <is>
          <t>Posée une seule fois, par le premier agent souscrit qui en a besoin (ACQ-23.13), sinon ici</t>
        </is>
      </c>
      <c r="U113" s="86" t="inlineStr">
        <is>
          <t>ACQ-23.13</t>
        </is>
      </c>
      <c r="V113" s="86" t="inlineStr">
        <is>
          <t>FIN-04.03, FIN-05.10, FIN-07.15, FIN-37.06</t>
        </is>
      </c>
      <c r="W113" s="91" t="inlineStr">
        <is>
          <t>Nouveau (28 oct.) : vérification de l'historique</t>
        </is>
      </c>
    </row>
    <row r="114" ht="23.85" customHeight="1" s="53">
      <c r="A114" s="81" t="inlineStr">
        <is>
          <t>FIN-14.02</t>
        </is>
      </c>
      <c r="B114" s="67" t="inlineStr">
        <is>
          <t>FIN-14</t>
        </is>
      </c>
      <c r="C114" s="95">
        <f>IFERROR(INDEX(Thèmes!$D$2:$D$190,MATCH(B114,Thèmes!$A$2:$A$190,0)),"")</f>
        <v/>
      </c>
      <c r="D114" s="68" t="inlineStr">
        <is>
          <t>—</t>
        </is>
      </c>
      <c r="E114" s="68" t="inlineStr">
        <is>
          <t>Réserve nécessaire pour traverser les mois creux</t>
        </is>
      </c>
      <c r="F114" s="68" t="inlineStr">
        <is>
          <t>€</t>
        </is>
      </c>
      <c r="G114" s="96" t="inlineStr">
        <is>
          <t>Calculée</t>
        </is>
      </c>
      <c r="H114" s="67" t="inlineStr">
        <is>
          <t>—</t>
        </is>
      </c>
      <c r="I114" s="68" t="inlineStr">
        <is>
          <t>—</t>
        </is>
      </c>
      <c r="J114" s="68" t="inlineStr">
        <is>
          <t>—</t>
        </is>
      </c>
      <c r="K114" s="67" t="inlineStr">
        <is>
          <t>●</t>
        </is>
      </c>
      <c r="L114" s="67" t="inlineStr">
        <is>
          <t>●</t>
        </is>
      </c>
      <c r="M114" s="67" t="inlineStr">
        <is>
          <t>●</t>
        </is>
      </c>
      <c r="N114" s="67" t="inlineStr">
        <is>
          <t>●</t>
        </is>
      </c>
      <c r="O114" s="67" t="inlineStr">
        <is>
          <t>●</t>
        </is>
      </c>
      <c r="P114" s="67" t="inlineStr">
        <is>
          <t>●</t>
        </is>
      </c>
      <c r="Q114" s="67" t="inlineStr">
        <is>
          <t>●</t>
        </is>
      </c>
      <c r="R114" s="67" t="inlineStr">
        <is>
          <t>●</t>
        </is>
      </c>
      <c r="S114" s="68" t="inlineStr">
        <is>
          <t>Risque</t>
        </is>
      </c>
      <c r="T114" s="68" t="inlineStr">
        <is>
          <t>Somme, sur les mois creux, de (charges fixes − CA du mois × taux de marge)</t>
        </is>
      </c>
      <c r="U114" s="68" t="inlineStr">
        <is>
          <t>ACQ-23.01, ACQ-23.08, FIN-05.08, FIN-06.08</t>
        </is>
      </c>
      <c r="V114" s="68" t="inlineStr">
        <is>
          <t>S10</t>
        </is>
      </c>
      <c r="W114" s="83" t="n"/>
    </row>
    <row r="115" ht="23.85" customHeight="1" s="53">
      <c r="A115" s="85" t="inlineStr">
        <is>
          <t>FIN-15.01</t>
        </is>
      </c>
      <c r="B115" s="89" t="inlineStr">
        <is>
          <t>FIN-15</t>
        </is>
      </c>
      <c r="C115" s="97">
        <f>IFERROR(INDEX(Thèmes!$D$2:$D$190,MATCH(B115,Thèmes!$A$2:$A$190,0)),"")</f>
        <v/>
      </c>
      <c r="D115" s="86" t="inlineStr">
        <is>
          <t>F08 · Votre trésorerie aujourd'hui</t>
        </is>
      </c>
      <c r="E115" s="86" t="inlineStr">
        <is>
          <t>Plus gros imprévu subi sur les 24 derniers mois : montant, et mois qu'il a fallu pour reconstituer la trésorerie</t>
        </is>
      </c>
      <c r="F115" s="86" t="inlineStr">
        <is>
          <t>€ et mois</t>
        </is>
      </c>
      <c r="G115" s="89" t="inlineStr">
        <is>
          <t>Demandée</t>
        </is>
      </c>
      <c r="H115" s="89" t="inlineStr">
        <is>
          <t>Approfondi</t>
        </is>
      </c>
      <c r="I115" s="86" t="inlineStr">
        <is>
          <t>—</t>
        </is>
      </c>
      <c r="J115" s="86" t="inlineStr">
        <is>
          <t>Période adaptée : depuis la création si moins de 24 mois</t>
        </is>
      </c>
      <c r="K115" s="89" t="inlineStr">
        <is>
          <t>●</t>
        </is>
      </c>
      <c r="L115" s="89" t="inlineStr">
        <is>
          <t>●</t>
        </is>
      </c>
      <c r="M115" s="89" t="inlineStr">
        <is>
          <t>●</t>
        </is>
      </c>
      <c r="N115" s="89" t="inlineStr">
        <is>
          <t>●</t>
        </is>
      </c>
      <c r="O115" s="89" t="inlineStr">
        <is>
          <t>●</t>
        </is>
      </c>
      <c r="P115" s="89" t="inlineStr">
        <is>
          <t>●</t>
        </is>
      </c>
      <c r="Q115" s="89" t="inlineStr">
        <is>
          <t>●</t>
        </is>
      </c>
      <c r="R115" s="89" t="inlineStr">
        <is>
          <t>●</t>
        </is>
      </c>
      <c r="S115" s="86" t="inlineStr">
        <is>
          <t>Risque</t>
        </is>
      </c>
      <c r="T115" s="86" t="inlineStr">
        <is>
          <t>—</t>
        </is>
      </c>
      <c r="U115" s="86" t="inlineStr">
        <is>
          <t>—</t>
        </is>
      </c>
      <c r="V115" s="86" t="inlineStr">
        <is>
          <t>FIN-15.04</t>
        </is>
      </c>
      <c r="W115" s="91" t="n"/>
    </row>
    <row r="116" ht="35.05" customHeight="1" s="53">
      <c r="A116" s="81" t="inlineStr">
        <is>
          <t>FIN-15.02</t>
        </is>
      </c>
      <c r="B116" s="67" t="inlineStr">
        <is>
          <t>FIN-15</t>
        </is>
      </c>
      <c r="C116" s="95">
        <f>IFERROR(INDEX(Thèmes!$D$2:$D$190,MATCH(B116,Thèmes!$A$2:$A$190,0)),"")</f>
        <v/>
      </c>
      <c r="D116" s="68" t="inlineStr">
        <is>
          <t>—</t>
        </is>
      </c>
      <c r="E116" s="68" t="inlineStr">
        <is>
          <t>Imprévu absorbable sans découvert</t>
        </is>
      </c>
      <c r="F116" s="68" t="inlineStr">
        <is>
          <t>€</t>
        </is>
      </c>
      <c r="G116" s="96" t="inlineStr">
        <is>
          <t>Calculée</t>
        </is>
      </c>
      <c r="H116" s="67" t="inlineStr">
        <is>
          <t>—</t>
        </is>
      </c>
      <c r="I116" s="68" t="inlineStr">
        <is>
          <t>—</t>
        </is>
      </c>
      <c r="J116" s="68" t="inlineStr">
        <is>
          <t>—</t>
        </is>
      </c>
      <c r="K116" s="67" t="inlineStr">
        <is>
          <t>●</t>
        </is>
      </c>
      <c r="L116" s="67" t="inlineStr">
        <is>
          <t>●</t>
        </is>
      </c>
      <c r="M116" s="67" t="inlineStr">
        <is>
          <t>●</t>
        </is>
      </c>
      <c r="N116" s="67" t="inlineStr">
        <is>
          <t>●</t>
        </is>
      </c>
      <c r="O116" s="67" t="inlineStr">
        <is>
          <t>●</t>
        </is>
      </c>
      <c r="P116" s="67" t="inlineStr">
        <is>
          <t>●</t>
        </is>
      </c>
      <c r="Q116" s="67" t="inlineStr">
        <is>
          <t>●</t>
        </is>
      </c>
      <c r="R116" s="67" t="inlineStr">
        <is>
          <t>●</t>
        </is>
      </c>
      <c r="S116" s="68" t="inlineStr">
        <is>
          <t>Risque</t>
        </is>
      </c>
      <c r="T116" s="68" t="inlineStr">
        <is>
          <t>Trésorerie mobilisable − gros paiements obligatoires du mois en cours</t>
        </is>
      </c>
      <c r="U116" s="68" t="inlineStr">
        <is>
          <t>FIN-11.04, FIN-13.01</t>
        </is>
      </c>
      <c r="V116" s="68" t="inlineStr">
        <is>
          <t>FIN-15.03, FIN-15.04, XF19, S13</t>
        </is>
      </c>
      <c r="W116" s="83" t="n"/>
    </row>
    <row r="117" ht="23.85" customHeight="1" s="53">
      <c r="A117" s="81" t="inlineStr">
        <is>
          <t>FIN-15.03</t>
        </is>
      </c>
      <c r="B117" s="67" t="inlineStr">
        <is>
          <t>FIN-15</t>
        </is>
      </c>
      <c r="C117" s="95">
        <f>IFERROR(INDEX(Thèmes!$D$2:$D$190,MATCH(B117,Thèmes!$A$2:$A$190,0)),"")</f>
        <v/>
      </c>
      <c r="D117" s="68" t="inlineStr">
        <is>
          <t>—</t>
        </is>
      </c>
      <c r="E117" s="68" t="inlineStr">
        <is>
          <t>Imprévu absorbable exprimé en semaines de charges fixes</t>
        </is>
      </c>
      <c r="F117" s="68" t="inlineStr">
        <is>
          <t>Semaines</t>
        </is>
      </c>
      <c r="G117" s="96" t="inlineStr">
        <is>
          <t>Calculée</t>
        </is>
      </c>
      <c r="H117" s="67" t="inlineStr">
        <is>
          <t>—</t>
        </is>
      </c>
      <c r="I117" s="68" t="inlineStr">
        <is>
          <t>—</t>
        </is>
      </c>
      <c r="J117" s="68" t="inlineStr">
        <is>
          <t>—</t>
        </is>
      </c>
      <c r="K117" s="67" t="inlineStr">
        <is>
          <t>●</t>
        </is>
      </c>
      <c r="L117" s="67" t="inlineStr">
        <is>
          <t>●</t>
        </is>
      </c>
      <c r="M117" s="67" t="inlineStr">
        <is>
          <t>●</t>
        </is>
      </c>
      <c r="N117" s="67" t="inlineStr">
        <is>
          <t>●</t>
        </is>
      </c>
      <c r="O117" s="67" t="inlineStr">
        <is>
          <t>●</t>
        </is>
      </c>
      <c r="P117" s="67" t="inlineStr">
        <is>
          <t>●</t>
        </is>
      </c>
      <c r="Q117" s="67" t="inlineStr">
        <is>
          <t>●</t>
        </is>
      </c>
      <c r="R117" s="67" t="inlineStr">
        <is>
          <t>●</t>
        </is>
      </c>
      <c r="S117" s="68" t="inlineStr">
        <is>
          <t>Risque</t>
        </is>
      </c>
      <c r="T117" s="68" t="inlineStr">
        <is>
          <t>Imprévu absorbable ÷ (charges fixes ÷ 4,33)</t>
        </is>
      </c>
      <c r="U117" s="68" t="inlineStr">
        <is>
          <t>FIN-15.02, FIN-05.08</t>
        </is>
      </c>
      <c r="V117" s="68" t="inlineStr">
        <is>
          <t>Affichée dans le rapport</t>
        </is>
      </c>
      <c r="W117" s="83" t="n"/>
    </row>
    <row r="118" ht="23.85" customHeight="1" s="53">
      <c r="A118" s="81" t="inlineStr">
        <is>
          <t>FIN-15.04</t>
        </is>
      </c>
      <c r="B118" s="67" t="inlineStr">
        <is>
          <t>FIN-15</t>
        </is>
      </c>
      <c r="C118" s="95">
        <f>IFERROR(INDEX(Thèmes!$D$2:$D$190,MATCH(B118,Thèmes!$A$2:$A$190,0)),"")</f>
        <v/>
      </c>
      <c r="D118" s="68" t="inlineStr">
        <is>
          <t>—</t>
        </is>
      </c>
      <c r="E118" s="68" t="inlineStr">
        <is>
          <t>Le même imprévu aujourd'hui passerait-il sans découvert ?</t>
        </is>
      </c>
      <c r="F118" s="68" t="inlineStr">
        <is>
          <t>Oui / non et €</t>
        </is>
      </c>
      <c r="G118" s="96" t="inlineStr">
        <is>
          <t>Calculée</t>
        </is>
      </c>
      <c r="H118" s="67" t="inlineStr">
        <is>
          <t>—</t>
        </is>
      </c>
      <c r="I118" s="68" t="inlineStr">
        <is>
          <t>—</t>
        </is>
      </c>
      <c r="J118" s="68" t="inlineStr">
        <is>
          <t>—</t>
        </is>
      </c>
      <c r="K118" s="67" t="inlineStr">
        <is>
          <t>●</t>
        </is>
      </c>
      <c r="L118" s="67" t="inlineStr">
        <is>
          <t>●</t>
        </is>
      </c>
      <c r="M118" s="67" t="inlineStr">
        <is>
          <t>●</t>
        </is>
      </c>
      <c r="N118" s="67" t="inlineStr">
        <is>
          <t>●</t>
        </is>
      </c>
      <c r="O118" s="67" t="inlineStr">
        <is>
          <t>●</t>
        </is>
      </c>
      <c r="P118" s="67" t="inlineStr">
        <is>
          <t>●</t>
        </is>
      </c>
      <c r="Q118" s="67" t="inlineStr">
        <is>
          <t>●</t>
        </is>
      </c>
      <c r="R118" s="67" t="inlineStr">
        <is>
          <t>●</t>
        </is>
      </c>
      <c r="S118" s="68" t="inlineStr">
        <is>
          <t>Risque</t>
        </is>
      </c>
      <c r="T118" s="68" t="inlineStr">
        <is>
          <t>Plus gros imprévu passé comparé à l'imprévu absorbable</t>
        </is>
      </c>
      <c r="U118" s="68" t="inlineStr">
        <is>
          <t>FIN-15.01, FIN-15.02</t>
        </is>
      </c>
      <c r="V118" s="68" t="inlineStr">
        <is>
          <t>XF19</t>
        </is>
      </c>
      <c r="W118" s="83" t="n"/>
    </row>
    <row r="119" ht="35.05" customHeight="1" s="53">
      <c r="A119" s="85" t="inlineStr">
        <is>
          <t>FIN-16.01</t>
        </is>
      </c>
      <c r="B119" s="89" t="inlineStr">
        <is>
          <t>FIN-16</t>
        </is>
      </c>
      <c r="C119" s="97">
        <f>IFERROR(INDEX(Thèmes!$D$2:$D$190,MATCH(B119,Thèmes!$A$2:$A$190,0)),"")</f>
        <v/>
      </c>
      <c r="D119" s="86" t="inlineStr">
        <is>
          <t>F11 · Votre facturation</t>
        </is>
      </c>
      <c r="E119" s="86" t="inlineStr">
        <is>
          <t>Répartition de vos factures selon le délai après la fin de la prestation : le jour même, sous 7 jours, sous 30 jours, plus de 30 jours</t>
        </is>
      </c>
      <c r="F119" s="86" t="inlineStr">
        <is>
          <t>Tranches en %</t>
        </is>
      </c>
      <c r="G119" s="89" t="inlineStr">
        <is>
          <t>Demandée</t>
        </is>
      </c>
      <c r="H119" s="89" t="inlineStr">
        <is>
          <t>Essentiel</t>
        </is>
      </c>
      <c r="I119" s="100" t="inlineStr">
        <is>
          <t>D09 · si paiement après facture</t>
        </is>
      </c>
      <c r="J119" s="86" t="inlineStr">
        <is>
          <t>—</t>
        </is>
      </c>
      <c r="K119" s="89" t="n"/>
      <c r="L119" s="89" t="n"/>
      <c r="M119" s="89" t="n"/>
      <c r="N119" s="89" t="n"/>
      <c r="O119" s="89" t="inlineStr">
        <is>
          <t>●</t>
        </is>
      </c>
      <c r="P119" s="89" t="inlineStr">
        <is>
          <t>●</t>
        </is>
      </c>
      <c r="Q119" s="89" t="inlineStr">
        <is>
          <t>●</t>
        </is>
      </c>
      <c r="R119" s="89" t="n"/>
      <c r="S119" s="86" t="inlineStr">
        <is>
          <t>Problème</t>
        </is>
      </c>
      <c r="T119" s="86" t="inlineStr">
        <is>
          <t>—</t>
        </is>
      </c>
      <c r="U119" s="86" t="inlineStr">
        <is>
          <t>—</t>
        </is>
      </c>
      <c r="V119" s="86" t="inlineStr">
        <is>
          <t>FIN-16.05, FIN-16.07</t>
        </is>
      </c>
      <c r="W119" s="91" t="n"/>
    </row>
    <row r="120" ht="15" customHeight="1" s="53">
      <c r="A120" s="94" t="inlineStr">
        <is>
          <t>FIN-16.02</t>
        </is>
      </c>
      <c r="B120" s="67" t="inlineStr">
        <is>
          <t>FIN-16</t>
        </is>
      </c>
      <c r="C120" s="95">
        <f>IFERROR(INDEX(Thèmes!$D$2:$D$190,MATCH(B120,Thèmes!$A$2:$A$190,0)),"")</f>
        <v/>
      </c>
      <c r="D120" s="68" t="inlineStr">
        <is>
          <t>F11 · Votre facturation</t>
        </is>
      </c>
      <c r="E120" s="68" t="inlineStr">
        <is>
          <t>Factures émises par mois</t>
        </is>
      </c>
      <c r="F120" s="68" t="inlineStr">
        <is>
          <t>Nombre</t>
        </is>
      </c>
      <c r="G120" s="67" t="inlineStr">
        <is>
          <t>Demandée</t>
        </is>
      </c>
      <c r="H120" s="67" t="inlineStr">
        <is>
          <t>Approfondi</t>
        </is>
      </c>
      <c r="I120" s="99" t="inlineStr">
        <is>
          <t>D09 · si paiement après facture</t>
        </is>
      </c>
      <c r="J120" s="68" t="inlineStr">
        <is>
          <t>—</t>
        </is>
      </c>
      <c r="K120" s="67" t="n"/>
      <c r="L120" s="67" t="n"/>
      <c r="M120" s="67" t="n"/>
      <c r="N120" s="67" t="n"/>
      <c r="O120" s="67" t="inlineStr">
        <is>
          <t>●</t>
        </is>
      </c>
      <c r="P120" s="67" t="inlineStr">
        <is>
          <t>●</t>
        </is>
      </c>
      <c r="Q120" s="67" t="inlineStr">
        <is>
          <t>●</t>
        </is>
      </c>
      <c r="R120" s="67" t="n"/>
      <c r="S120" s="68" t="inlineStr">
        <is>
          <t>Mesure</t>
        </is>
      </c>
      <c r="T120" s="68" t="inlineStr">
        <is>
          <t>—</t>
        </is>
      </c>
      <c r="U120" s="68" t="inlineStr">
        <is>
          <t>—</t>
        </is>
      </c>
      <c r="V120" s="68" t="inlineStr">
        <is>
          <t>FIN-16.06</t>
        </is>
      </c>
      <c r="W120" s="83" t="inlineStr">
        <is>
          <t>Niveau</t>
        </is>
      </c>
    </row>
    <row r="121" ht="23.85" customHeight="1" s="53">
      <c r="A121" s="94" t="inlineStr">
        <is>
          <t>FIN-16.03</t>
        </is>
      </c>
      <c r="B121" s="67" t="inlineStr">
        <is>
          <t>FIN-16</t>
        </is>
      </c>
      <c r="C121" s="95">
        <f>IFERROR(INDEX(Thèmes!$D$2:$D$190,MATCH(B121,Thèmes!$A$2:$A$190,0)),"")</f>
        <v/>
      </c>
      <c r="D121" s="68" t="inlineStr">
        <is>
          <t>F11 · Votre facturation</t>
        </is>
      </c>
      <c r="E121" s="68" t="inlineStr">
        <is>
          <t>Facturation : à la main, avec un logiciel, automatique à la fin de la prestation</t>
        </is>
      </c>
      <c r="F121" s="68" t="inlineStr">
        <is>
          <t>Choix</t>
        </is>
      </c>
      <c r="G121" s="67" t="inlineStr">
        <is>
          <t>Demandée</t>
        </is>
      </c>
      <c r="H121" s="67" t="inlineStr">
        <is>
          <t>Approfondi</t>
        </is>
      </c>
      <c r="I121" s="99" t="inlineStr">
        <is>
          <t>D09 · si paiement après facture</t>
        </is>
      </c>
      <c r="J121" s="68" t="inlineStr">
        <is>
          <t>—</t>
        </is>
      </c>
      <c r="K121" s="67" t="n"/>
      <c r="L121" s="67" t="n"/>
      <c r="M121" s="67" t="n"/>
      <c r="N121" s="67" t="n"/>
      <c r="O121" s="67" t="inlineStr">
        <is>
          <t>●</t>
        </is>
      </c>
      <c r="P121" s="67" t="inlineStr">
        <is>
          <t>●</t>
        </is>
      </c>
      <c r="Q121" s="67" t="inlineStr">
        <is>
          <t>●</t>
        </is>
      </c>
      <c r="R121" s="67" t="n"/>
      <c r="S121" s="68" t="inlineStr">
        <is>
          <t>Levier</t>
        </is>
      </c>
      <c r="T121" s="68" t="inlineStr">
        <is>
          <t>—</t>
        </is>
      </c>
      <c r="U121" s="68" t="inlineStr">
        <is>
          <t>—</t>
        </is>
      </c>
      <c r="V121" s="68" t="inlineStr">
        <is>
          <t>Notée directement (couleur du thème)</t>
        </is>
      </c>
      <c r="W121" s="83" t="inlineStr">
        <is>
          <t>Niveau</t>
        </is>
      </c>
    </row>
    <row r="122" ht="23.85" customHeight="1" s="53">
      <c r="A122" s="81" t="inlineStr">
        <is>
          <t>FIN-16.04</t>
        </is>
      </c>
      <c r="B122" s="67" t="inlineStr">
        <is>
          <t>FIN-16</t>
        </is>
      </c>
      <c r="C122" s="95">
        <f>IFERROR(INDEX(Thèmes!$D$2:$D$190,MATCH(B122,Thèmes!$A$2:$A$190,0)),"")</f>
        <v/>
      </c>
      <c r="D122" s="68" t="inlineStr">
        <is>
          <t>F11 · Votre facturation</t>
        </is>
      </c>
      <c r="E122" s="68" t="inlineStr">
        <is>
          <t>Factures oubliées ou émises très en retard sur 12 mois</t>
        </is>
      </c>
      <c r="F122" s="68" t="inlineStr">
        <is>
          <t>Nombre ou €</t>
        </is>
      </c>
      <c r="G122" s="67" t="inlineStr">
        <is>
          <t>Demandée</t>
        </is>
      </c>
      <c r="H122" s="67" t="inlineStr">
        <is>
          <t>Approfondi</t>
        </is>
      </c>
      <c r="I122" s="99" t="inlineStr">
        <is>
          <t>D09 · si paiement après facture</t>
        </is>
      </c>
      <c r="J122" s="68" t="inlineStr">
        <is>
          <t>Période adaptée : depuis la création si moins de 12 mois</t>
        </is>
      </c>
      <c r="K122" s="67" t="n"/>
      <c r="L122" s="67" t="n"/>
      <c r="M122" s="67" t="n"/>
      <c r="N122" s="67" t="n"/>
      <c r="O122" s="67" t="inlineStr">
        <is>
          <t>●</t>
        </is>
      </c>
      <c r="P122" s="67" t="inlineStr">
        <is>
          <t>●</t>
        </is>
      </c>
      <c r="Q122" s="67" t="inlineStr">
        <is>
          <t>●</t>
        </is>
      </c>
      <c r="R122" s="67" t="n"/>
      <c r="S122" s="68" t="inlineStr">
        <is>
          <t>Perte</t>
        </is>
      </c>
      <c r="T122" s="68" t="inlineStr">
        <is>
          <t>—</t>
        </is>
      </c>
      <c r="U122" s="68" t="inlineStr">
        <is>
          <t>—</t>
        </is>
      </c>
      <c r="V122" s="68" t="inlineStr">
        <is>
          <t>XF22</t>
        </is>
      </c>
      <c r="W122" s="83" t="n"/>
    </row>
    <row r="123" ht="23.85" customHeight="1" s="53">
      <c r="A123" s="81" t="inlineStr">
        <is>
          <t>FIN-16.05</t>
        </is>
      </c>
      <c r="B123" s="67" t="inlineStr">
        <is>
          <t>FIN-16</t>
        </is>
      </c>
      <c r="C123" s="95">
        <f>IFERROR(INDEX(Thèmes!$D$2:$D$190,MATCH(B123,Thèmes!$A$2:$A$190,0)),"")</f>
        <v/>
      </c>
      <c r="D123" s="68" t="inlineStr">
        <is>
          <t>—</t>
        </is>
      </c>
      <c r="E123" s="68" t="inlineStr">
        <is>
          <t>Délai médian de facturation</t>
        </is>
      </c>
      <c r="F123" s="68" t="inlineStr">
        <is>
          <t>Tranche</t>
        </is>
      </c>
      <c r="G123" s="96" t="inlineStr">
        <is>
          <t>Calculée</t>
        </is>
      </c>
      <c r="H123" s="67" t="inlineStr">
        <is>
          <t>—</t>
        </is>
      </c>
      <c r="I123" s="68" t="inlineStr">
        <is>
          <t>—</t>
        </is>
      </c>
      <c r="J123" s="68" t="inlineStr">
        <is>
          <t>—</t>
        </is>
      </c>
      <c r="K123" s="67" t="n"/>
      <c r="L123" s="67" t="n"/>
      <c r="M123" s="67" t="n"/>
      <c r="N123" s="67" t="n"/>
      <c r="O123" s="67" t="inlineStr">
        <is>
          <t>●</t>
        </is>
      </c>
      <c r="P123" s="67" t="inlineStr">
        <is>
          <t>●</t>
        </is>
      </c>
      <c r="Q123" s="67" t="inlineStr">
        <is>
          <t>●</t>
        </is>
      </c>
      <c r="R123" s="67" t="n"/>
      <c r="S123" s="68" t="inlineStr">
        <is>
          <t>Cible</t>
        </is>
      </c>
      <c r="T123" s="68" t="inlineStr">
        <is>
          <t>Tranche dans laquelle on atteint 50 % des factures</t>
        </is>
      </c>
      <c r="U123" s="68" t="inlineStr">
        <is>
          <t>FIN-16.01</t>
        </is>
      </c>
      <c r="V123" s="68" t="inlineStr">
        <is>
          <t>Affichée dans le rapport</t>
        </is>
      </c>
      <c r="W123" s="83" t="n"/>
    </row>
    <row r="124" ht="23.85" customHeight="1" s="53">
      <c r="A124" s="81" t="inlineStr">
        <is>
          <t>FIN-16.06</t>
        </is>
      </c>
      <c r="B124" s="67" t="inlineStr">
        <is>
          <t>FIN-16</t>
        </is>
      </c>
      <c r="C124" s="95">
        <f>IFERROR(INDEX(Thèmes!$D$2:$D$190,MATCH(B124,Thèmes!$A$2:$A$190,0)),"")</f>
        <v/>
      </c>
      <c r="D124" s="68" t="inlineStr">
        <is>
          <t>—</t>
        </is>
      </c>
      <c r="E124" s="68" t="inlineStr">
        <is>
          <t>Montant moyen d'une facture</t>
        </is>
      </c>
      <c r="F124" s="68" t="inlineStr">
        <is>
          <t>€</t>
        </is>
      </c>
      <c r="G124" s="96" t="inlineStr">
        <is>
          <t>Calculée</t>
        </is>
      </c>
      <c r="H124" s="67" t="inlineStr">
        <is>
          <t>—</t>
        </is>
      </c>
      <c r="I124" s="68" t="inlineStr">
        <is>
          <t>—</t>
        </is>
      </c>
      <c r="J124" s="68" t="inlineStr">
        <is>
          <t>—</t>
        </is>
      </c>
      <c r="K124" s="67" t="n"/>
      <c r="L124" s="67" t="n"/>
      <c r="M124" s="67" t="n"/>
      <c r="N124" s="67" t="n"/>
      <c r="O124" s="67" t="inlineStr">
        <is>
          <t>●</t>
        </is>
      </c>
      <c r="P124" s="67" t="inlineStr">
        <is>
          <t>●</t>
        </is>
      </c>
      <c r="Q124" s="67" t="inlineStr">
        <is>
          <t>●</t>
        </is>
      </c>
      <c r="R124" s="67" t="n"/>
      <c r="S124" s="68" t="inlineStr">
        <is>
          <t>Mesure</t>
        </is>
      </c>
      <c r="T124" s="68" t="inlineStr">
        <is>
          <t>CA mensuel ÷ factures émises</t>
        </is>
      </c>
      <c r="U124" s="68" t="inlineStr">
        <is>
          <t>Inscription · CA mensuel, FIN-16.02</t>
        </is>
      </c>
      <c r="V124" s="68" t="inlineStr">
        <is>
          <t>Affichée dans le rapport</t>
        </is>
      </c>
      <c r="W124" s="83" t="n"/>
    </row>
    <row r="125" ht="23.85" customHeight="1" s="53">
      <c r="A125" s="81" t="inlineStr">
        <is>
          <t>FIN-16.07</t>
        </is>
      </c>
      <c r="B125" s="67" t="inlineStr">
        <is>
          <t>FIN-16</t>
        </is>
      </c>
      <c r="C125" s="95">
        <f>IFERROR(INDEX(Thèmes!$D$2:$D$190,MATCH(B125,Thèmes!$A$2:$A$190,0)),"")</f>
        <v/>
      </c>
      <c r="D125" s="68" t="inlineStr">
        <is>
          <t>—</t>
        </is>
      </c>
      <c r="E125" s="68" t="inlineStr">
        <is>
          <t>Trésorerie immobilisée par le retard de facturation</t>
        </is>
      </c>
      <c r="F125" s="68" t="inlineStr">
        <is>
          <t>€</t>
        </is>
      </c>
      <c r="G125" s="96" t="inlineStr">
        <is>
          <t>Calculée</t>
        </is>
      </c>
      <c r="H125" s="67" t="inlineStr">
        <is>
          <t>—</t>
        </is>
      </c>
      <c r="I125" s="68" t="inlineStr">
        <is>
          <t>—</t>
        </is>
      </c>
      <c r="J125" s="68" t="inlineStr">
        <is>
          <t>—</t>
        </is>
      </c>
      <c r="K125" s="67" t="n"/>
      <c r="L125" s="67" t="n"/>
      <c r="M125" s="67" t="n"/>
      <c r="N125" s="67" t="n"/>
      <c r="O125" s="67" t="inlineStr">
        <is>
          <t>●</t>
        </is>
      </c>
      <c r="P125" s="67" t="inlineStr">
        <is>
          <t>●</t>
        </is>
      </c>
      <c r="Q125" s="67" t="inlineStr">
        <is>
          <t>●</t>
        </is>
      </c>
      <c r="R125" s="67" t="n"/>
      <c r="S125" s="68" t="inlineStr">
        <is>
          <t>Perte</t>
        </is>
      </c>
      <c r="T125" s="68" t="inlineStr">
        <is>
          <t>Délai moyen de facturation (estimé depuis les tranches) × CA d'une journée</t>
        </is>
      </c>
      <c r="U125" s="68" t="inlineStr">
        <is>
          <t>FIN-16.01, Inscription · CA mensuel</t>
        </is>
      </c>
      <c r="V125" s="68" t="inlineStr">
        <is>
          <t>XF22</t>
        </is>
      </c>
      <c r="W125" s="83" t="n"/>
    </row>
    <row r="126" ht="35.05" customHeight="1" s="53">
      <c r="A126" s="85" t="inlineStr">
        <is>
          <t>FIN-17.01</t>
        </is>
      </c>
      <c r="B126" s="89" t="inlineStr">
        <is>
          <t>FIN-17</t>
        </is>
      </c>
      <c r="C126" s="97">
        <f>IFERROR(INDEX(Thèmes!$D$2:$D$190,MATCH(B126,Thèmes!$A$2:$A$190,0)),"")</f>
        <v/>
      </c>
      <c r="D126" s="86" t="inlineStr">
        <is>
          <t>F12 · Vos encaissements</t>
        </is>
      </c>
      <c r="E126" s="86" t="inlineStr">
        <is>
          <t>Délai de paiement indiqué sur vos factures</t>
        </is>
      </c>
      <c r="F126" s="86" t="inlineStr">
        <is>
          <t>Jours</t>
        </is>
      </c>
      <c r="G126" s="89" t="inlineStr">
        <is>
          <t>Demandée</t>
        </is>
      </c>
      <c r="H126" s="89" t="inlineStr">
        <is>
          <t>Essentiel</t>
        </is>
      </c>
      <c r="I126" s="100" t="inlineStr">
        <is>
          <t>D09 · si paiement après facture</t>
        </is>
      </c>
      <c r="J126" s="86" t="inlineStr">
        <is>
          <t>—</t>
        </is>
      </c>
      <c r="K126" s="89" t="n"/>
      <c r="L126" s="89" t="n"/>
      <c r="M126" s="89" t="n"/>
      <c r="N126" s="89" t="n"/>
      <c r="O126" s="89" t="inlineStr">
        <is>
          <t>●</t>
        </is>
      </c>
      <c r="P126" s="89" t="inlineStr">
        <is>
          <t>●</t>
        </is>
      </c>
      <c r="Q126" s="89" t="inlineStr">
        <is>
          <t>●</t>
        </is>
      </c>
      <c r="R126" s="89" t="n"/>
      <c r="S126" s="86" t="inlineStr">
        <is>
          <t>Cible</t>
        </is>
      </c>
      <c r="T126" s="86" t="inlineStr">
        <is>
          <t>—</t>
        </is>
      </c>
      <c r="U126" s="86" t="inlineStr">
        <is>
          <t>—</t>
        </is>
      </c>
      <c r="V126" s="86" t="inlineStr">
        <is>
          <t>FIN-17.07</t>
        </is>
      </c>
      <c r="W126" s="91" t="n"/>
    </row>
    <row r="127" ht="23.85" customHeight="1" s="53">
      <c r="A127" s="81" t="inlineStr">
        <is>
          <t>FIN-17.02</t>
        </is>
      </c>
      <c r="B127" s="67" t="inlineStr">
        <is>
          <t>FIN-17</t>
        </is>
      </c>
      <c r="C127" s="95">
        <f>IFERROR(INDEX(Thèmes!$D$2:$D$190,MATCH(B127,Thèmes!$A$2:$A$190,0)),"")</f>
        <v/>
      </c>
      <c r="D127" s="68" t="inlineStr">
        <is>
          <t>F12 · Vos encaissements</t>
        </is>
      </c>
      <c r="E127" s="68" t="inlineStr">
        <is>
          <t>Répartition des paiements reçus : comptant, sous 30 jours, de 30 à 60 jours, plus de 60 jours</t>
        </is>
      </c>
      <c r="F127" s="68" t="inlineStr">
        <is>
          <t>Tranches en %</t>
        </is>
      </c>
      <c r="G127" s="67" t="inlineStr">
        <is>
          <t>Demandée</t>
        </is>
      </c>
      <c r="H127" s="67" t="inlineStr">
        <is>
          <t>Essentiel</t>
        </is>
      </c>
      <c r="I127" s="99" t="inlineStr">
        <is>
          <t>D09 · si paiement après facture</t>
        </is>
      </c>
      <c r="J127" s="68" t="inlineStr">
        <is>
          <t>—</t>
        </is>
      </c>
      <c r="K127" s="67" t="n"/>
      <c r="L127" s="67" t="n"/>
      <c r="M127" s="67" t="n"/>
      <c r="N127" s="67" t="n"/>
      <c r="O127" s="67" t="inlineStr">
        <is>
          <t>●</t>
        </is>
      </c>
      <c r="P127" s="67" t="inlineStr">
        <is>
          <t>●</t>
        </is>
      </c>
      <c r="Q127" s="67" t="inlineStr">
        <is>
          <t>●</t>
        </is>
      </c>
      <c r="R127" s="67" t="n"/>
      <c r="S127" s="68" t="inlineStr">
        <is>
          <t>Problème</t>
        </is>
      </c>
      <c r="T127" s="68" t="inlineStr">
        <is>
          <t>—</t>
        </is>
      </c>
      <c r="U127" s="68" t="inlineStr">
        <is>
          <t>—</t>
        </is>
      </c>
      <c r="V127" s="68" t="inlineStr">
        <is>
          <t>FIN-17.05, FIN-17.06</t>
        </is>
      </c>
      <c r="W127" s="83" t="n"/>
    </row>
    <row r="128" ht="23.85" customHeight="1" s="53">
      <c r="A128" s="81" t="inlineStr">
        <is>
          <t>FIN-17.03</t>
        </is>
      </c>
      <c r="B128" s="67" t="inlineStr">
        <is>
          <t>FIN-17</t>
        </is>
      </c>
      <c r="C128" s="95">
        <f>IFERROR(INDEX(Thèmes!$D$2:$D$190,MATCH(B128,Thèmes!$A$2:$A$190,0)),"")</f>
        <v/>
      </c>
      <c r="D128" s="68" t="inlineStr">
        <is>
          <t>A16 · Vos plus gros clients (tableau)</t>
        </is>
      </c>
      <c r="E128" s="68" t="inlineStr">
        <is>
          <t>Délai de paiement réel de chacun de vos 5 plus gros clients (colonne ajoutée au tableau des gros clients)</t>
        </is>
      </c>
      <c r="F128" s="68" t="inlineStr">
        <is>
          <t>Jours (5 lignes)</t>
        </is>
      </c>
      <c r="G128" s="67" t="inlineStr">
        <is>
          <t>Demandée</t>
        </is>
      </c>
      <c r="H128" s="67" t="inlineStr">
        <is>
          <t>Approfondi</t>
        </is>
      </c>
      <c r="I128" s="99" t="inlineStr">
        <is>
          <t>D15 · si clients professionnels réguliers</t>
        </is>
      </c>
      <c r="J128" s="68" t="inlineStr">
        <is>
          <t>—</t>
        </is>
      </c>
      <c r="K128" s="67" t="n"/>
      <c r="L128" s="67" t="n"/>
      <c r="M128" s="67" t="n"/>
      <c r="N128" s="67" t="n"/>
      <c r="O128" s="67" t="inlineStr">
        <is>
          <t>●</t>
        </is>
      </c>
      <c r="P128" s="67" t="inlineStr">
        <is>
          <t>●</t>
        </is>
      </c>
      <c r="Q128" s="67" t="inlineStr">
        <is>
          <t>●</t>
        </is>
      </c>
      <c r="R128" s="67" t="n"/>
      <c r="S128" s="68" t="inlineStr">
        <is>
          <t>Risque</t>
        </is>
      </c>
      <c r="T128" s="68" t="inlineStr">
        <is>
          <t>—</t>
        </is>
      </c>
      <c r="U128" s="68" t="inlineStr">
        <is>
          <t>—</t>
        </is>
      </c>
      <c r="V128" s="68" t="inlineStr">
        <is>
          <t>FIN-17.08</t>
        </is>
      </c>
      <c r="W128" s="83" t="n"/>
    </row>
    <row r="129" ht="15" customHeight="1" s="53">
      <c r="A129" s="81" t="inlineStr">
        <is>
          <t>FIN-17.04</t>
        </is>
      </c>
      <c r="B129" s="67" t="inlineStr">
        <is>
          <t>FIN-17</t>
        </is>
      </c>
      <c r="C129" s="95">
        <f>IFERROR(INDEX(Thèmes!$D$2:$D$190,MATCH(B129,Thèmes!$A$2:$A$190,0)),"")</f>
        <v/>
      </c>
      <c r="D129" s="68" t="inlineStr">
        <is>
          <t>F12 · Vos encaissements</t>
        </is>
      </c>
      <c r="E129" s="68" t="inlineStr">
        <is>
          <t>Délai réel par rapport à il y a 12 mois : plus court, identique, plus long</t>
        </is>
      </c>
      <c r="F129" s="68" t="inlineStr">
        <is>
          <t>Choix</t>
        </is>
      </c>
      <c r="G129" s="67" t="inlineStr">
        <is>
          <t>Demandée</t>
        </is>
      </c>
      <c r="H129" s="67" t="inlineStr">
        <is>
          <t>Approfondi</t>
        </is>
      </c>
      <c r="I129" s="99" t="inlineStr">
        <is>
          <t>D09 · si paiement après facture</t>
        </is>
      </c>
      <c r="J129" s="68" t="inlineStr">
        <is>
          <t>Il y a 12 mois (masquée avant 12 mois d'existence)</t>
        </is>
      </c>
      <c r="K129" s="67" t="n"/>
      <c r="L129" s="67" t="n"/>
      <c r="M129" s="67" t="n"/>
      <c r="N129" s="67" t="n"/>
      <c r="O129" s="67" t="inlineStr">
        <is>
          <t>●</t>
        </is>
      </c>
      <c r="P129" s="67" t="inlineStr">
        <is>
          <t>●</t>
        </is>
      </c>
      <c r="Q129" s="67" t="inlineStr">
        <is>
          <t>●</t>
        </is>
      </c>
      <c r="R129" s="67" t="n"/>
      <c r="S129" s="68" t="inlineStr">
        <is>
          <t>Problème</t>
        </is>
      </c>
      <c r="T129" s="68" t="inlineStr">
        <is>
          <t>—</t>
        </is>
      </c>
      <c r="U129" s="68" t="inlineStr">
        <is>
          <t>—</t>
        </is>
      </c>
      <c r="V129" s="68" t="inlineStr">
        <is>
          <t>XF21</t>
        </is>
      </c>
      <c r="W129" s="83" t="n"/>
    </row>
    <row r="130" ht="23.85" customHeight="1" s="53">
      <c r="A130" s="81" t="inlineStr">
        <is>
          <t>FIN-17.05</t>
        </is>
      </c>
      <c r="B130" s="67" t="inlineStr">
        <is>
          <t>FIN-17</t>
        </is>
      </c>
      <c r="C130" s="95">
        <f>IFERROR(INDEX(Thèmes!$D$2:$D$190,MATCH(B130,Thèmes!$A$2:$A$190,0)),"")</f>
        <v/>
      </c>
      <c r="D130" s="68" t="inlineStr">
        <is>
          <t>—</t>
        </is>
      </c>
      <c r="E130" s="68" t="inlineStr">
        <is>
          <t>Délai réel moyen d'encaissement</t>
        </is>
      </c>
      <c r="F130" s="68" t="inlineStr">
        <is>
          <t>Jours</t>
        </is>
      </c>
      <c r="G130" s="96" t="inlineStr">
        <is>
          <t>Calculée</t>
        </is>
      </c>
      <c r="H130" s="67" t="inlineStr">
        <is>
          <t>—</t>
        </is>
      </c>
      <c r="I130" s="68" t="inlineStr">
        <is>
          <t>—</t>
        </is>
      </c>
      <c r="J130" s="68" t="inlineStr">
        <is>
          <t>—</t>
        </is>
      </c>
      <c r="K130" s="67" t="n"/>
      <c r="L130" s="67" t="n"/>
      <c r="M130" s="67" t="n"/>
      <c r="N130" s="67" t="n"/>
      <c r="O130" s="67" t="inlineStr">
        <is>
          <t>●</t>
        </is>
      </c>
      <c r="P130" s="67" t="inlineStr">
        <is>
          <t>●</t>
        </is>
      </c>
      <c r="Q130" s="67" t="inlineStr">
        <is>
          <t>●</t>
        </is>
      </c>
      <c r="R130" s="67" t="n"/>
      <c r="S130" s="68" t="inlineStr">
        <is>
          <t>Mesure</t>
        </is>
      </c>
      <c r="T130" s="68" t="inlineStr">
        <is>
          <t>Moyenne des tranches pondérée par leur part</t>
        </is>
      </c>
      <c r="U130" s="68" t="inlineStr">
        <is>
          <t>FIN-17.02</t>
        </is>
      </c>
      <c r="V130" s="68" t="inlineStr">
        <is>
          <t>FIN-17.07, FIN-17.09, FIN-20.06, FIN-32.01</t>
        </is>
      </c>
      <c r="W130" s="83" t="n"/>
    </row>
    <row r="131" ht="23.85" customHeight="1" s="53">
      <c r="A131" s="81" t="inlineStr">
        <is>
          <t>FIN-17.06</t>
        </is>
      </c>
      <c r="B131" s="67" t="inlineStr">
        <is>
          <t>FIN-17</t>
        </is>
      </c>
      <c r="C131" s="95">
        <f>IFERROR(INDEX(Thèmes!$D$2:$D$190,MATCH(B131,Thèmes!$A$2:$A$190,0)),"")</f>
        <v/>
      </c>
      <c r="D131" s="68" t="inlineStr">
        <is>
          <t>—</t>
        </is>
      </c>
      <c r="E131" s="68" t="inlineStr">
        <is>
          <t>Délai médian d'encaissement</t>
        </is>
      </c>
      <c r="F131" s="68" t="inlineStr">
        <is>
          <t>Tranche</t>
        </is>
      </c>
      <c r="G131" s="96" t="inlineStr">
        <is>
          <t>Calculée</t>
        </is>
      </c>
      <c r="H131" s="67" t="inlineStr">
        <is>
          <t>—</t>
        </is>
      </c>
      <c r="I131" s="68" t="inlineStr">
        <is>
          <t>—</t>
        </is>
      </c>
      <c r="J131" s="68" t="inlineStr">
        <is>
          <t>—</t>
        </is>
      </c>
      <c r="K131" s="67" t="n"/>
      <c r="L131" s="67" t="n"/>
      <c r="M131" s="67" t="n"/>
      <c r="N131" s="67" t="n"/>
      <c r="O131" s="67" t="inlineStr">
        <is>
          <t>●</t>
        </is>
      </c>
      <c r="P131" s="67" t="inlineStr">
        <is>
          <t>●</t>
        </is>
      </c>
      <c r="Q131" s="67" t="inlineStr">
        <is>
          <t>●</t>
        </is>
      </c>
      <c r="R131" s="67" t="n"/>
      <c r="S131" s="68" t="inlineStr">
        <is>
          <t>Cible</t>
        </is>
      </c>
      <c r="T131" s="68" t="inlineStr">
        <is>
          <t>Tranche dans laquelle on atteint 50 % des paiements</t>
        </is>
      </c>
      <c r="U131" s="68" t="inlineStr">
        <is>
          <t>FIN-17.02</t>
        </is>
      </c>
      <c r="V131" s="68" t="inlineStr">
        <is>
          <t>Affichée dans le rapport</t>
        </is>
      </c>
      <c r="W131" s="83" t="n"/>
    </row>
    <row r="132" ht="23.85" customHeight="1" s="53">
      <c r="A132" s="81" t="inlineStr">
        <is>
          <t>FIN-17.07</t>
        </is>
      </c>
      <c r="B132" s="67" t="inlineStr">
        <is>
          <t>FIN-17</t>
        </is>
      </c>
      <c r="C132" s="95">
        <f>IFERROR(INDEX(Thèmes!$D$2:$D$190,MATCH(B132,Thèmes!$A$2:$A$190,0)),"")</f>
        <v/>
      </c>
      <c r="D132" s="68" t="inlineStr">
        <is>
          <t>—</t>
        </is>
      </c>
      <c r="E132" s="68" t="inlineStr">
        <is>
          <t>Retard moyen par rapport au délai prévu</t>
        </is>
      </c>
      <c r="F132" s="68" t="inlineStr">
        <is>
          <t>Jours</t>
        </is>
      </c>
      <c r="G132" s="96" t="inlineStr">
        <is>
          <t>Calculée</t>
        </is>
      </c>
      <c r="H132" s="67" t="inlineStr">
        <is>
          <t>—</t>
        </is>
      </c>
      <c r="I132" s="68" t="inlineStr">
        <is>
          <t>—</t>
        </is>
      </c>
      <c r="J132" s="68" t="inlineStr">
        <is>
          <t>—</t>
        </is>
      </c>
      <c r="K132" s="67" t="n"/>
      <c r="L132" s="67" t="n"/>
      <c r="M132" s="67" t="n"/>
      <c r="N132" s="67" t="n"/>
      <c r="O132" s="67" t="inlineStr">
        <is>
          <t>●</t>
        </is>
      </c>
      <c r="P132" s="67" t="inlineStr">
        <is>
          <t>●</t>
        </is>
      </c>
      <c r="Q132" s="67" t="inlineStr">
        <is>
          <t>●</t>
        </is>
      </c>
      <c r="R132" s="67" t="n"/>
      <c r="S132" s="68" t="inlineStr">
        <is>
          <t>Problème</t>
        </is>
      </c>
      <c r="T132" s="68" t="inlineStr">
        <is>
          <t>Délai réel − délai indiqué sur la facture</t>
        </is>
      </c>
      <c r="U132" s="68" t="inlineStr">
        <is>
          <t>FIN-17.05, FIN-17.01</t>
        </is>
      </c>
      <c r="V132" s="68" t="inlineStr">
        <is>
          <t>XF22</t>
        </is>
      </c>
      <c r="W132" s="83" t="n"/>
    </row>
    <row r="133" ht="23.85" customHeight="1" s="53">
      <c r="A133" s="81" t="inlineStr">
        <is>
          <t>FIN-17.08</t>
        </is>
      </c>
      <c r="B133" s="67" t="inlineStr">
        <is>
          <t>FIN-17</t>
        </is>
      </c>
      <c r="C133" s="95">
        <f>IFERROR(INDEX(Thèmes!$D$2:$D$190,MATCH(B133,Thèmes!$A$2:$A$190,0)),"")</f>
        <v/>
      </c>
      <c r="D133" s="68" t="inlineStr">
        <is>
          <t>—</t>
        </is>
      </c>
      <c r="E133" s="68" t="inlineStr">
        <is>
          <t>Argent dû à un instant donné par vos 5 plus gros clients</t>
        </is>
      </c>
      <c r="F133" s="68" t="inlineStr">
        <is>
          <t>€</t>
        </is>
      </c>
      <c r="G133" s="96" t="inlineStr">
        <is>
          <t>Calculée</t>
        </is>
      </c>
      <c r="H133" s="67" t="inlineStr">
        <is>
          <t>—</t>
        </is>
      </c>
      <c r="I133" s="68" t="inlineStr">
        <is>
          <t>—</t>
        </is>
      </c>
      <c r="J133" s="68" t="inlineStr">
        <is>
          <t>—</t>
        </is>
      </c>
      <c r="K133" s="67" t="n"/>
      <c r="L133" s="67" t="n"/>
      <c r="M133" s="67" t="n"/>
      <c r="N133" s="67" t="n"/>
      <c r="O133" s="67" t="inlineStr">
        <is>
          <t>●</t>
        </is>
      </c>
      <c r="P133" s="67" t="inlineStr">
        <is>
          <t>●</t>
        </is>
      </c>
      <c r="Q133" s="67" t="inlineStr">
        <is>
          <t>●</t>
        </is>
      </c>
      <c r="R133" s="67" t="n"/>
      <c r="S133" s="68" t="inlineStr">
        <is>
          <t>Risque</t>
        </is>
      </c>
      <c r="T133" s="68" t="inlineStr">
        <is>
          <t>CA annuel de chaque client ÷ 365 × son délai réel de paiement</t>
        </is>
      </c>
      <c r="U133" s="68" t="inlineStr">
        <is>
          <t>ACQ-16.01, FIN-17.03</t>
        </is>
      </c>
      <c r="V133" s="68" t="inlineStr">
        <is>
          <t>XF21</t>
        </is>
      </c>
      <c r="W133" s="83" t="n"/>
    </row>
    <row r="134" ht="23.85" customHeight="1" s="53">
      <c r="A134" s="81" t="inlineStr">
        <is>
          <t>FIN-17.09</t>
        </is>
      </c>
      <c r="B134" s="67" t="inlineStr">
        <is>
          <t>FIN-17</t>
        </is>
      </c>
      <c r="C134" s="95">
        <f>IFERROR(INDEX(Thèmes!$D$2:$D$190,MATCH(B134,Thèmes!$A$2:$A$190,0)),"")</f>
        <v/>
      </c>
      <c r="D134" s="68" t="inlineStr">
        <is>
          <t>—</t>
        </is>
      </c>
      <c r="E134" s="68" t="inlineStr">
        <is>
          <t>Argent dû par les clients à un instant donné</t>
        </is>
      </c>
      <c r="F134" s="68" t="inlineStr">
        <is>
          <t>€</t>
        </is>
      </c>
      <c r="G134" s="96" t="inlineStr">
        <is>
          <t>Calculée</t>
        </is>
      </c>
      <c r="H134" s="67" t="inlineStr">
        <is>
          <t>—</t>
        </is>
      </c>
      <c r="I134" s="68" t="inlineStr">
        <is>
          <t>—</t>
        </is>
      </c>
      <c r="J134" s="68" t="inlineStr">
        <is>
          <t>—</t>
        </is>
      </c>
      <c r="K134" s="67" t="n"/>
      <c r="L134" s="67" t="n"/>
      <c r="M134" s="67" t="n"/>
      <c r="N134" s="67" t="n"/>
      <c r="O134" s="67" t="inlineStr">
        <is>
          <t>●</t>
        </is>
      </c>
      <c r="P134" s="67" t="inlineStr">
        <is>
          <t>●</t>
        </is>
      </c>
      <c r="Q134" s="67" t="inlineStr">
        <is>
          <t>●</t>
        </is>
      </c>
      <c r="R134" s="67" t="n"/>
      <c r="S134" s="68" t="inlineStr">
        <is>
          <t>Risque</t>
        </is>
      </c>
      <c r="T134" s="68" t="inlineStr">
        <is>
          <t>CA d'une journée × délai réel moyen</t>
        </is>
      </c>
      <c r="U134" s="68" t="inlineStr">
        <is>
          <t>Inscription · CA mensuel, FIN-17.05</t>
        </is>
      </c>
      <c r="V134" s="68" t="inlineStr">
        <is>
          <t>FIN-37.05, XF16, XF20, XF21</t>
        </is>
      </c>
      <c r="W134" s="83" t="n"/>
    </row>
    <row r="135" ht="23.85" customHeight="1" s="53">
      <c r="A135" s="92" t="inlineStr">
        <is>
          <t>FIN-17.10</t>
        </is>
      </c>
      <c r="B135" s="67" t="inlineStr">
        <is>
          <t>FIN-17</t>
        </is>
      </c>
      <c r="C135" s="95">
        <f>IFERROR(INDEX(Thèmes!$D$2:$D$190,MATCH(B135,Thèmes!$A$2:$A$190,0)),"")</f>
        <v/>
      </c>
      <c r="D135" s="68" t="inlineStr">
        <is>
          <t>—</t>
        </is>
      </c>
      <c r="E135" s="68" t="inlineStr">
        <is>
          <t>Moyen de paiement le plus utilisé par les clients</t>
        </is>
      </c>
      <c r="F135" s="68" t="inlineStr">
        <is>
          <t>Choix</t>
        </is>
      </c>
      <c r="G135" s="67" t="inlineStr">
        <is>
          <t>Demandée</t>
        </is>
      </c>
      <c r="H135" s="67" t="inlineStr">
        <is>
          <t>Approfondi</t>
        </is>
      </c>
      <c r="I135" s="99" t="inlineStr">
        <is>
          <t>D09 · si paiement après facture</t>
        </is>
      </c>
      <c r="J135" s="68" t="inlineStr">
        <is>
          <t>—</t>
        </is>
      </c>
      <c r="K135" s="67" t="inlineStr">
        <is>
          <t>●</t>
        </is>
      </c>
      <c r="L135" s="67" t="inlineStr">
        <is>
          <t>●</t>
        </is>
      </c>
      <c r="M135" s="67" t="inlineStr">
        <is>
          <t>●</t>
        </is>
      </c>
      <c r="N135" s="67" t="inlineStr">
        <is>
          <t>●</t>
        </is>
      </c>
      <c r="O135" s="67" t="inlineStr">
        <is>
          <t>●</t>
        </is>
      </c>
      <c r="P135" s="67" t="inlineStr">
        <is>
          <t>●</t>
        </is>
      </c>
      <c r="Q135" s="67" t="inlineStr">
        <is>
          <t>●</t>
        </is>
      </c>
      <c r="R135" s="67" t="inlineStr">
        <is>
          <t>●</t>
        </is>
      </c>
      <c r="S135" s="68" t="inlineStr">
        <is>
          <t>—</t>
        </is>
      </c>
      <c r="T135" s="68" t="inlineStr">
        <is>
          <t>—</t>
        </is>
      </c>
      <c r="U135" s="68" t="inlineStr">
        <is>
          <t>—</t>
        </is>
      </c>
      <c r="V135" s="68" t="inlineStr">
        <is>
          <t>—</t>
        </is>
      </c>
      <c r="W135" s="83" t="inlineStr">
        <is>
          <t>Nouveau</t>
        </is>
      </c>
    </row>
    <row r="136" ht="35.05" customHeight="1" s="53">
      <c r="A136" s="85" t="inlineStr">
        <is>
          <t>FIN-18.01</t>
        </is>
      </c>
      <c r="B136" s="89" t="inlineStr">
        <is>
          <t>FIN-18</t>
        </is>
      </c>
      <c r="C136" s="97">
        <f>IFERROR(INDEX(Thèmes!$D$2:$D$190,MATCH(B136,Thèmes!$A$2:$A$190,0)),"")</f>
        <v/>
      </c>
      <c r="D136" s="86" t="inlineStr">
        <is>
          <t>F13 · Vos impayés (tableau par ancienneté)</t>
        </is>
      </c>
      <c r="E136" s="86" t="inlineStr">
        <is>
          <t>Montant en retard aujourd'hui, par ancienneté : moins de 30 jours, 30 à 60, 60 à 90, plus de 90</t>
        </is>
      </c>
      <c r="F136" s="86" t="inlineStr">
        <is>
          <t>4 montants</t>
        </is>
      </c>
      <c r="G136" s="89" t="inlineStr">
        <is>
          <t>Demandée</t>
        </is>
      </c>
      <c r="H136" s="89" t="inlineStr">
        <is>
          <t>Essentiel</t>
        </is>
      </c>
      <c r="I136" s="100" t="inlineStr">
        <is>
          <t>D09 · si paiement après facture</t>
        </is>
      </c>
      <c r="J136" s="86" t="inlineStr">
        <is>
          <t>—</t>
        </is>
      </c>
      <c r="K136" s="89" t="inlineStr">
        <is>
          <t>●</t>
        </is>
      </c>
      <c r="L136" s="89" t="n"/>
      <c r="M136" s="89" t="n"/>
      <c r="N136" s="89" t="n"/>
      <c r="O136" s="89" t="inlineStr">
        <is>
          <t>●</t>
        </is>
      </c>
      <c r="P136" s="89" t="inlineStr">
        <is>
          <t>●</t>
        </is>
      </c>
      <c r="Q136" s="89" t="inlineStr">
        <is>
          <t>●</t>
        </is>
      </c>
      <c r="R136" s="89" t="n"/>
      <c r="S136" s="86" t="inlineStr">
        <is>
          <t>Perte, Risque</t>
        </is>
      </c>
      <c r="T136" s="86" t="inlineStr">
        <is>
          <t>—</t>
        </is>
      </c>
      <c r="U136" s="86" t="inlineStr">
        <is>
          <t>—</t>
        </is>
      </c>
      <c r="V136" s="86" t="inlineStr">
        <is>
          <t>FIN-18.07, FIN-18.09</t>
        </is>
      </c>
      <c r="W136" s="91" t="n"/>
    </row>
    <row r="137" ht="35.05" customHeight="1" s="53">
      <c r="A137" s="94" t="inlineStr">
        <is>
          <t>FIN-18.02</t>
        </is>
      </c>
      <c r="B137" s="67" t="inlineStr">
        <is>
          <t>FIN-18</t>
        </is>
      </c>
      <c r="C137" s="95">
        <f>IFERROR(INDEX(Thèmes!$D$2:$D$190,MATCH(B137,Thèmes!$A$2:$A$190,0)),"")</f>
        <v/>
      </c>
      <c r="D137" s="68" t="inlineStr">
        <is>
          <t>F13 · Vos impayés (tableau par ancienneté)</t>
        </is>
      </c>
      <c r="E137" s="68" t="inlineStr">
        <is>
          <t>Clients en retard</t>
        </is>
      </c>
      <c r="F137" s="68" t="inlineStr">
        <is>
          <t>Nombre</t>
        </is>
      </c>
      <c r="G137" s="67" t="inlineStr">
        <is>
          <t>Demandée</t>
        </is>
      </c>
      <c r="H137" s="67" t="inlineStr">
        <is>
          <t>Approfondi</t>
        </is>
      </c>
      <c r="I137" s="99" t="inlineStr">
        <is>
          <t>D09 · si paiement après facture</t>
        </is>
      </c>
      <c r="J137" s="68" t="inlineStr">
        <is>
          <t>—</t>
        </is>
      </c>
      <c r="K137" s="67" t="inlineStr">
        <is>
          <t>●</t>
        </is>
      </c>
      <c r="L137" s="67" t="n"/>
      <c r="M137" s="67" t="n"/>
      <c r="N137" s="67" t="n"/>
      <c r="O137" s="67" t="inlineStr">
        <is>
          <t>●</t>
        </is>
      </c>
      <c r="P137" s="67" t="inlineStr">
        <is>
          <t>●</t>
        </is>
      </c>
      <c r="Q137" s="67" t="inlineStr">
        <is>
          <t>●</t>
        </is>
      </c>
      <c r="R137" s="67" t="n"/>
      <c r="S137" s="68" t="inlineStr">
        <is>
          <t>Risque</t>
        </is>
      </c>
      <c r="T137" s="68" t="inlineStr">
        <is>
          <t>—</t>
        </is>
      </c>
      <c r="U137" s="68" t="inlineStr">
        <is>
          <t>—</t>
        </is>
      </c>
      <c r="V137" s="68" t="inlineStr">
        <is>
          <t>XF23</t>
        </is>
      </c>
      <c r="W137" s="83" t="inlineStr">
        <is>
          <t>Niveau</t>
        </is>
      </c>
    </row>
    <row r="138" ht="35.05" customHeight="1" s="53">
      <c r="A138" s="94" t="inlineStr">
        <is>
          <t>FIN-18.03</t>
        </is>
      </c>
      <c r="B138" s="67" t="inlineStr">
        <is>
          <t>FIN-18</t>
        </is>
      </c>
      <c r="C138" s="95">
        <f>IFERROR(INDEX(Thèmes!$D$2:$D$190,MATCH(B138,Thèmes!$A$2:$A$190,0)),"")</f>
        <v/>
      </c>
      <c r="D138" s="68" t="inlineStr">
        <is>
          <t>F13 · Vos impayés (tableau par ancienneté)</t>
        </is>
      </c>
      <c r="E138" s="68" t="inlineStr">
        <is>
          <t>Montant du plus gros impayé</t>
        </is>
      </c>
      <c r="F138" s="68" t="inlineStr">
        <is>
          <t>€</t>
        </is>
      </c>
      <c r="G138" s="67" t="inlineStr">
        <is>
          <t>Demandée</t>
        </is>
      </c>
      <c r="H138" s="67" t="inlineStr">
        <is>
          <t>Approfondi</t>
        </is>
      </c>
      <c r="I138" s="99" t="inlineStr">
        <is>
          <t>D09 · si paiement après facture</t>
        </is>
      </c>
      <c r="J138" s="68" t="inlineStr">
        <is>
          <t>—</t>
        </is>
      </c>
      <c r="K138" s="67" t="inlineStr">
        <is>
          <t>●</t>
        </is>
      </c>
      <c r="L138" s="67" t="n"/>
      <c r="M138" s="67" t="n"/>
      <c r="N138" s="67" t="n"/>
      <c r="O138" s="67" t="inlineStr">
        <is>
          <t>●</t>
        </is>
      </c>
      <c r="P138" s="67" t="inlineStr">
        <is>
          <t>●</t>
        </is>
      </c>
      <c r="Q138" s="67" t="inlineStr">
        <is>
          <t>●</t>
        </is>
      </c>
      <c r="R138" s="67" t="n"/>
      <c r="S138" s="68" t="inlineStr">
        <is>
          <t>Risque</t>
        </is>
      </c>
      <c r="T138" s="68" t="inlineStr">
        <is>
          <t>—</t>
        </is>
      </c>
      <c r="U138" s="68" t="inlineStr">
        <is>
          <t>—</t>
        </is>
      </c>
      <c r="V138" s="68" t="inlineStr">
        <is>
          <t>FIN-18.10, S13</t>
        </is>
      </c>
      <c r="W138" s="83" t="inlineStr">
        <is>
          <t>Niveau</t>
        </is>
      </c>
    </row>
    <row r="139" ht="15" customHeight="1" s="53">
      <c r="A139" s="81" t="inlineStr">
        <is>
          <t>FIN-18.04</t>
        </is>
      </c>
      <c r="B139" s="67" t="inlineStr">
        <is>
          <t>FIN-18</t>
        </is>
      </c>
      <c r="C139" s="95">
        <f>IFERROR(INDEX(Thèmes!$D$2:$D$190,MATCH(B139,Thèmes!$A$2:$A$190,0)),"")</f>
        <v/>
      </c>
      <c r="D139" s="68" t="inlineStr">
        <is>
          <t>F13 · Vos impayés (tableau par ancienneté)</t>
        </is>
      </c>
      <c r="E139" s="68" t="inlineStr">
        <is>
          <t>Relance des retards : délai avant la première relance, et méthode (écrite et systématique, au cas par cas, aucune)</t>
        </is>
      </c>
      <c r="F139" s="68" t="inlineStr">
        <is>
          <t>Jours et choix</t>
        </is>
      </c>
      <c r="G139" s="67" t="inlineStr">
        <is>
          <t>Demandée</t>
        </is>
      </c>
      <c r="H139" s="67" t="inlineStr">
        <is>
          <t>Essentiel</t>
        </is>
      </c>
      <c r="I139" s="99" t="inlineStr">
        <is>
          <t>D09 · si paiement après facture</t>
        </is>
      </c>
      <c r="J139" s="68" t="inlineStr">
        <is>
          <t>—</t>
        </is>
      </c>
      <c r="K139" s="67" t="inlineStr">
        <is>
          <t>●</t>
        </is>
      </c>
      <c r="L139" s="67" t="n"/>
      <c r="M139" s="67" t="n"/>
      <c r="N139" s="67" t="n"/>
      <c r="O139" s="67" t="inlineStr">
        <is>
          <t>●</t>
        </is>
      </c>
      <c r="P139" s="67" t="inlineStr">
        <is>
          <t>●</t>
        </is>
      </c>
      <c r="Q139" s="67" t="inlineStr">
        <is>
          <t>●</t>
        </is>
      </c>
      <c r="R139" s="67" t="n"/>
      <c r="S139" s="68" t="inlineStr">
        <is>
          <t>Levier</t>
        </is>
      </c>
      <c r="T139" s="68" t="inlineStr">
        <is>
          <t>—</t>
        </is>
      </c>
      <c r="U139" s="68" t="inlineStr">
        <is>
          <t>—</t>
        </is>
      </c>
      <c r="V139" s="68" t="inlineStr">
        <is>
          <t>Notée directement (couleur du thème)</t>
        </is>
      </c>
      <c r="W139" s="83" t="n"/>
    </row>
    <row r="140" ht="23.85" customHeight="1" s="53">
      <c r="A140" s="81" t="inlineStr">
        <is>
          <t>FIN-18.05</t>
        </is>
      </c>
      <c r="B140" s="67" t="inlineStr">
        <is>
          <t>FIN-18</t>
        </is>
      </c>
      <c r="C140" s="95">
        <f>IFERROR(INDEX(Thèmes!$D$2:$D$190,MATCH(B140,Thèmes!$A$2:$A$190,0)),"")</f>
        <v/>
      </c>
      <c r="D140" s="68" t="inlineStr">
        <is>
          <t>F13 · Vos impayés (tableau par ancienneté)</t>
        </is>
      </c>
      <c r="E140" s="68" t="inlineStr">
        <is>
          <t>Pertes définitives sur 12 mois : montant et nombre de créances abandonnées</t>
        </is>
      </c>
      <c r="F140" s="68" t="inlineStr">
        <is>
          <t>€ et nombre</t>
        </is>
      </c>
      <c r="G140" s="67" t="inlineStr">
        <is>
          <t>Demandée</t>
        </is>
      </c>
      <c r="H140" s="67" t="inlineStr">
        <is>
          <t>Essentiel</t>
        </is>
      </c>
      <c r="I140" s="99" t="inlineStr">
        <is>
          <t>D09 · si paiement après facture</t>
        </is>
      </c>
      <c r="J140" s="68" t="inlineStr">
        <is>
          <t>Période adaptée : depuis la création si moins de 12 mois</t>
        </is>
      </c>
      <c r="K140" s="67" t="inlineStr">
        <is>
          <t>●</t>
        </is>
      </c>
      <c r="L140" s="67" t="n"/>
      <c r="M140" s="67" t="n"/>
      <c r="N140" s="67" t="n"/>
      <c r="O140" s="67" t="inlineStr">
        <is>
          <t>●</t>
        </is>
      </c>
      <c r="P140" s="67" t="inlineStr">
        <is>
          <t>●</t>
        </is>
      </c>
      <c r="Q140" s="67" t="inlineStr">
        <is>
          <t>●</t>
        </is>
      </c>
      <c r="R140" s="67" t="n"/>
      <c r="S140" s="68" t="inlineStr">
        <is>
          <t>Perte</t>
        </is>
      </c>
      <c r="T140" s="68" t="inlineStr">
        <is>
          <t>—</t>
        </is>
      </c>
      <c r="U140" s="68" t="inlineStr">
        <is>
          <t>—</t>
        </is>
      </c>
      <c r="V140" s="68" t="inlineStr">
        <is>
          <t>FIN-18.11, FIN-18.12</t>
        </is>
      </c>
      <c r="W140" s="83" t="n"/>
    </row>
    <row r="141" ht="15" customHeight="1" s="53">
      <c r="A141" s="81" t="inlineStr">
        <is>
          <t>FIN-18.06</t>
        </is>
      </c>
      <c r="B141" s="67" t="inlineStr">
        <is>
          <t>FIN-18</t>
        </is>
      </c>
      <c r="C141" s="95">
        <f>IFERROR(INDEX(Thèmes!$D$2:$D$190,MATCH(B141,Thèmes!$A$2:$A$190,0)),"")</f>
        <v/>
      </c>
      <c r="D141" s="68" t="inlineStr">
        <is>
          <t>F13 · Vos impayés (tableau par ancienneté)</t>
        </is>
      </c>
      <c r="E141" s="68" t="inlineStr">
        <is>
          <t>Pertes définitives de l'année précédente</t>
        </is>
      </c>
      <c r="F141" s="68" t="inlineStr">
        <is>
          <t>€</t>
        </is>
      </c>
      <c r="G141" s="67" t="inlineStr">
        <is>
          <t>Demandée</t>
        </is>
      </c>
      <c r="H141" s="67" t="inlineStr">
        <is>
          <t>Approfondi</t>
        </is>
      </c>
      <c r="I141" s="99" t="inlineStr">
        <is>
          <t>D09 · si paiement après facture</t>
        </is>
      </c>
      <c r="J141" s="68" t="inlineStr">
        <is>
          <t>12 mois précédents (masquée avant 24 mois d'existence)</t>
        </is>
      </c>
      <c r="K141" s="67" t="inlineStr">
        <is>
          <t>●</t>
        </is>
      </c>
      <c r="L141" s="67" t="n"/>
      <c r="M141" s="67" t="n"/>
      <c r="N141" s="67" t="n"/>
      <c r="O141" s="67" t="inlineStr">
        <is>
          <t>●</t>
        </is>
      </c>
      <c r="P141" s="67" t="inlineStr">
        <is>
          <t>●</t>
        </is>
      </c>
      <c r="Q141" s="67" t="inlineStr">
        <is>
          <t>●</t>
        </is>
      </c>
      <c r="R141" s="67" t="n"/>
      <c r="S141" s="68" t="inlineStr">
        <is>
          <t>Problème</t>
        </is>
      </c>
      <c r="T141" s="68" t="inlineStr">
        <is>
          <t>—</t>
        </is>
      </c>
      <c r="U141" s="68" t="inlineStr">
        <is>
          <t>—</t>
        </is>
      </c>
      <c r="V141" s="68" t="inlineStr">
        <is>
          <t>FIN-18.12</t>
        </is>
      </c>
      <c r="W141" s="83" t="n"/>
    </row>
    <row r="142" ht="15" customHeight="1" s="53">
      <c r="A142" s="81" t="inlineStr">
        <is>
          <t>FIN-18.07</t>
        </is>
      </c>
      <c r="B142" s="67" t="inlineStr">
        <is>
          <t>FIN-18</t>
        </is>
      </c>
      <c r="C142" s="95">
        <f>IFERROR(INDEX(Thèmes!$D$2:$D$190,MATCH(B142,Thèmes!$A$2:$A$190,0)),"")</f>
        <v/>
      </c>
      <c r="D142" s="68" t="inlineStr">
        <is>
          <t>—</t>
        </is>
      </c>
      <c r="E142" s="68" t="inlineStr">
        <is>
          <t>Total en retard</t>
        </is>
      </c>
      <c r="F142" s="68" t="inlineStr">
        <is>
          <t>€</t>
        </is>
      </c>
      <c r="G142" s="96" t="inlineStr">
        <is>
          <t>Calculée</t>
        </is>
      </c>
      <c r="H142" s="67" t="inlineStr">
        <is>
          <t>—</t>
        </is>
      </c>
      <c r="I142" s="68" t="inlineStr">
        <is>
          <t>—</t>
        </is>
      </c>
      <c r="J142" s="68" t="inlineStr">
        <is>
          <t>—</t>
        </is>
      </c>
      <c r="K142" s="67" t="inlineStr">
        <is>
          <t>●</t>
        </is>
      </c>
      <c r="L142" s="67" t="n"/>
      <c r="M142" s="67" t="n"/>
      <c r="N142" s="67" t="n"/>
      <c r="O142" s="67" t="inlineStr">
        <is>
          <t>●</t>
        </is>
      </c>
      <c r="P142" s="67" t="inlineStr">
        <is>
          <t>●</t>
        </is>
      </c>
      <c r="Q142" s="67" t="inlineStr">
        <is>
          <t>●</t>
        </is>
      </c>
      <c r="R142" s="67" t="n"/>
      <c r="S142" s="68" t="inlineStr">
        <is>
          <t>Mesure</t>
        </is>
      </c>
      <c r="T142" s="68" t="inlineStr">
        <is>
          <t>Somme des 4 tranches</t>
        </is>
      </c>
      <c r="U142" s="68" t="inlineStr">
        <is>
          <t>FIN-18.01</t>
        </is>
      </c>
      <c r="V142" s="68" t="inlineStr">
        <is>
          <t>FIN-18.08, FIN-18.10</t>
        </is>
      </c>
      <c r="W142" s="83" t="n"/>
    </row>
    <row r="143" ht="23.85" customHeight="1" s="53">
      <c r="A143" s="81" t="inlineStr">
        <is>
          <t>FIN-18.08</t>
        </is>
      </c>
      <c r="B143" s="67" t="inlineStr">
        <is>
          <t>FIN-18</t>
        </is>
      </c>
      <c r="C143" s="95">
        <f>IFERROR(INDEX(Thèmes!$D$2:$D$190,MATCH(B143,Thèmes!$A$2:$A$190,0)),"")</f>
        <v/>
      </c>
      <c r="D143" s="68" t="inlineStr">
        <is>
          <t>—</t>
        </is>
      </c>
      <c r="E143" s="68" t="inlineStr">
        <is>
          <t>Retards en % du CA mensuel</t>
        </is>
      </c>
      <c r="F143" s="68" t="inlineStr">
        <is>
          <t>%</t>
        </is>
      </c>
      <c r="G143" s="96" t="inlineStr">
        <is>
          <t>Calculée</t>
        </is>
      </c>
      <c r="H143" s="67" t="inlineStr">
        <is>
          <t>—</t>
        </is>
      </c>
      <c r="I143" s="68" t="inlineStr">
        <is>
          <t>—</t>
        </is>
      </c>
      <c r="J143" s="68" t="inlineStr">
        <is>
          <t>—</t>
        </is>
      </c>
      <c r="K143" s="67" t="inlineStr">
        <is>
          <t>●</t>
        </is>
      </c>
      <c r="L143" s="67" t="n"/>
      <c r="M143" s="67" t="n"/>
      <c r="N143" s="67" t="n"/>
      <c r="O143" s="67" t="inlineStr">
        <is>
          <t>●</t>
        </is>
      </c>
      <c r="P143" s="67" t="inlineStr">
        <is>
          <t>●</t>
        </is>
      </c>
      <c r="Q143" s="67" t="inlineStr">
        <is>
          <t>●</t>
        </is>
      </c>
      <c r="R143" s="67" t="n"/>
      <c r="S143" s="68" t="inlineStr">
        <is>
          <t>Cible</t>
        </is>
      </c>
      <c r="T143" s="68" t="inlineStr">
        <is>
          <t>Total en retard ÷ CA mensuel</t>
        </is>
      </c>
      <c r="U143" s="68" t="inlineStr">
        <is>
          <t>FIN-18.07, Inscription · CA mensuel</t>
        </is>
      </c>
      <c r="V143" s="68" t="inlineStr">
        <is>
          <t>XF23</t>
        </is>
      </c>
      <c r="W143" s="83" t="n"/>
    </row>
    <row r="144" ht="23.85" customHeight="1" s="53">
      <c r="A144" s="81" t="inlineStr">
        <is>
          <t>FIN-18.09</t>
        </is>
      </c>
      <c r="B144" s="67" t="inlineStr">
        <is>
          <t>FIN-18</t>
        </is>
      </c>
      <c r="C144" s="95">
        <f>IFERROR(INDEX(Thèmes!$D$2:$D$190,MATCH(B144,Thèmes!$A$2:$A$190,0)),"")</f>
        <v/>
      </c>
      <c r="D144" s="68" t="inlineStr">
        <is>
          <t>—</t>
        </is>
      </c>
      <c r="E144" s="68" t="inlineStr">
        <is>
          <t>Part des retards de plus de 90 jours</t>
        </is>
      </c>
      <c r="F144" s="68" t="inlineStr">
        <is>
          <t>%</t>
        </is>
      </c>
      <c r="G144" s="96" t="inlineStr">
        <is>
          <t>Calculée</t>
        </is>
      </c>
      <c r="H144" s="67" t="inlineStr">
        <is>
          <t>—</t>
        </is>
      </c>
      <c r="I144" s="68" t="inlineStr">
        <is>
          <t>—</t>
        </is>
      </c>
      <c r="J144" s="68" t="inlineStr">
        <is>
          <t>—</t>
        </is>
      </c>
      <c r="K144" s="67" t="inlineStr">
        <is>
          <t>●</t>
        </is>
      </c>
      <c r="L144" s="67" t="n"/>
      <c r="M144" s="67" t="n"/>
      <c r="N144" s="67" t="n"/>
      <c r="O144" s="67" t="inlineStr">
        <is>
          <t>●</t>
        </is>
      </c>
      <c r="P144" s="67" t="inlineStr">
        <is>
          <t>●</t>
        </is>
      </c>
      <c r="Q144" s="67" t="inlineStr">
        <is>
          <t>●</t>
        </is>
      </c>
      <c r="R144" s="67" t="n"/>
      <c r="S144" s="68" t="inlineStr">
        <is>
          <t>Risque</t>
        </is>
      </c>
      <c r="T144" s="68" t="inlineStr">
        <is>
          <t>Tranche plus de 90 jours ÷ total</t>
        </is>
      </c>
      <c r="U144" s="68" t="inlineStr">
        <is>
          <t>FIN-18.01</t>
        </is>
      </c>
      <c r="V144" s="68" t="inlineStr">
        <is>
          <t>XF23</t>
        </is>
      </c>
      <c r="W144" s="83" t="n"/>
    </row>
    <row r="145" ht="23.85" customHeight="1" s="53">
      <c r="A145" s="81" t="inlineStr">
        <is>
          <t>FIN-18.10</t>
        </is>
      </c>
      <c r="B145" s="67" t="inlineStr">
        <is>
          <t>FIN-18</t>
        </is>
      </c>
      <c r="C145" s="95">
        <f>IFERROR(INDEX(Thèmes!$D$2:$D$190,MATCH(B145,Thèmes!$A$2:$A$190,0)),"")</f>
        <v/>
      </c>
      <c r="D145" s="68" t="inlineStr">
        <is>
          <t>—</t>
        </is>
      </c>
      <c r="E145" s="68" t="inlineStr">
        <is>
          <t>Part du plus gros impayé dans le total</t>
        </is>
      </c>
      <c r="F145" s="68" t="inlineStr">
        <is>
          <t>%</t>
        </is>
      </c>
      <c r="G145" s="96" t="inlineStr">
        <is>
          <t>Calculée</t>
        </is>
      </c>
      <c r="H145" s="67" t="inlineStr">
        <is>
          <t>—</t>
        </is>
      </c>
      <c r="I145" s="68" t="inlineStr">
        <is>
          <t>—</t>
        </is>
      </c>
      <c r="J145" s="68" t="inlineStr">
        <is>
          <t>—</t>
        </is>
      </c>
      <c r="K145" s="67" t="inlineStr">
        <is>
          <t>●</t>
        </is>
      </c>
      <c r="L145" s="67" t="n"/>
      <c r="M145" s="67" t="n"/>
      <c r="N145" s="67" t="n"/>
      <c r="O145" s="67" t="inlineStr">
        <is>
          <t>●</t>
        </is>
      </c>
      <c r="P145" s="67" t="inlineStr">
        <is>
          <t>●</t>
        </is>
      </c>
      <c r="Q145" s="67" t="inlineStr">
        <is>
          <t>●</t>
        </is>
      </c>
      <c r="R145" s="67" t="n"/>
      <c r="S145" s="68" t="inlineStr">
        <is>
          <t>Risque</t>
        </is>
      </c>
      <c r="T145" s="68" t="inlineStr">
        <is>
          <t>Plus gros impayé ÷ total en retard</t>
        </is>
      </c>
      <c r="U145" s="68" t="inlineStr">
        <is>
          <t>FIN-18.03, FIN-18.07</t>
        </is>
      </c>
      <c r="V145" s="68" t="inlineStr">
        <is>
          <t>XF23</t>
        </is>
      </c>
      <c r="W145" s="83" t="n"/>
    </row>
    <row r="146" ht="35.05" customHeight="1" s="53">
      <c r="A146" s="81" t="inlineStr">
        <is>
          <t>FIN-18.11</t>
        </is>
      </c>
      <c r="B146" s="67" t="inlineStr">
        <is>
          <t>FIN-18</t>
        </is>
      </c>
      <c r="C146" s="95">
        <f>IFERROR(INDEX(Thèmes!$D$2:$D$190,MATCH(B146,Thèmes!$A$2:$A$190,0)),"")</f>
        <v/>
      </c>
      <c r="D146" s="68" t="inlineStr">
        <is>
          <t>—</t>
        </is>
      </c>
      <c r="E146" s="68" t="inlineStr">
        <is>
          <t>Taux de pertes sur impayés</t>
        </is>
      </c>
      <c r="F146" s="68" t="inlineStr">
        <is>
          <t>%</t>
        </is>
      </c>
      <c r="G146" s="96" t="inlineStr">
        <is>
          <t>Calculée</t>
        </is>
      </c>
      <c r="H146" s="67" t="inlineStr">
        <is>
          <t>—</t>
        </is>
      </c>
      <c r="I146" s="68" t="inlineStr">
        <is>
          <t>—</t>
        </is>
      </c>
      <c r="J146" s="68" t="inlineStr">
        <is>
          <t>—</t>
        </is>
      </c>
      <c r="K146" s="67" t="inlineStr">
        <is>
          <t>●</t>
        </is>
      </c>
      <c r="L146" s="67" t="n"/>
      <c r="M146" s="67" t="n"/>
      <c r="N146" s="67" t="n"/>
      <c r="O146" s="67" t="inlineStr">
        <is>
          <t>●</t>
        </is>
      </c>
      <c r="P146" s="67" t="inlineStr">
        <is>
          <t>●</t>
        </is>
      </c>
      <c r="Q146" s="67" t="inlineStr">
        <is>
          <t>●</t>
        </is>
      </c>
      <c r="R146" s="67" t="n"/>
      <c r="S146" s="68" t="inlineStr">
        <is>
          <t>Cible</t>
        </is>
      </c>
      <c r="T146" s="68" t="inlineStr">
        <is>
          <t>Pertes définitives ÷ (CA mensuel × 12)</t>
        </is>
      </c>
      <c r="U146" s="68" t="inlineStr">
        <is>
          <t>FIN-18.05, Inscription · CA mensuel</t>
        </is>
      </c>
      <c r="V146" s="68" t="inlineStr">
        <is>
          <t>XF24</t>
        </is>
      </c>
      <c r="W146" s="83" t="n"/>
    </row>
    <row r="147" ht="23.85" customHeight="1" s="53">
      <c r="A147" s="81" t="inlineStr">
        <is>
          <t>FIN-18.12</t>
        </is>
      </c>
      <c r="B147" s="67" t="inlineStr">
        <is>
          <t>FIN-18</t>
        </is>
      </c>
      <c r="C147" s="95">
        <f>IFERROR(INDEX(Thèmes!$D$2:$D$190,MATCH(B147,Thèmes!$A$2:$A$190,0)),"")</f>
        <v/>
      </c>
      <c r="D147" s="68" t="inlineStr">
        <is>
          <t>—</t>
        </is>
      </c>
      <c r="E147" s="68" t="inlineStr">
        <is>
          <t>Évolution des pertes sur un an</t>
        </is>
      </c>
      <c r="F147" s="68" t="inlineStr">
        <is>
          <t>%</t>
        </is>
      </c>
      <c r="G147" s="96" t="inlineStr">
        <is>
          <t>Calculée</t>
        </is>
      </c>
      <c r="H147" s="67" t="inlineStr">
        <is>
          <t>—</t>
        </is>
      </c>
      <c r="I147" s="68" t="inlineStr">
        <is>
          <t>—</t>
        </is>
      </c>
      <c r="J147" s="68" t="inlineStr">
        <is>
          <t>—</t>
        </is>
      </c>
      <c r="K147" s="67" t="inlineStr">
        <is>
          <t>●</t>
        </is>
      </c>
      <c r="L147" s="67" t="n"/>
      <c r="M147" s="67" t="n"/>
      <c r="N147" s="67" t="n"/>
      <c r="O147" s="67" t="inlineStr">
        <is>
          <t>●</t>
        </is>
      </c>
      <c r="P147" s="67" t="inlineStr">
        <is>
          <t>●</t>
        </is>
      </c>
      <c r="Q147" s="67" t="inlineStr">
        <is>
          <t>●</t>
        </is>
      </c>
      <c r="R147" s="67" t="n"/>
      <c r="S147" s="68" t="inlineStr">
        <is>
          <t>Problème</t>
        </is>
      </c>
      <c r="T147" s="68" t="inlineStr">
        <is>
          <t>(Pertes de l'année − pertes de l'année précédente) ÷ pertes de l'année précédente</t>
        </is>
      </c>
      <c r="U147" s="68" t="inlineStr">
        <is>
          <t>FIN-18.05, FIN-18.06</t>
        </is>
      </c>
      <c r="V147" s="68" t="inlineStr">
        <is>
          <t>XF24</t>
        </is>
      </c>
      <c r="W147" s="83" t="n"/>
    </row>
    <row r="148" ht="23.85" customHeight="1" s="53">
      <c r="A148" s="98" t="inlineStr">
        <is>
          <t>FIN-19.01</t>
        </is>
      </c>
      <c r="B148" s="89" t="inlineStr">
        <is>
          <t>FIN-19</t>
        </is>
      </c>
      <c r="C148" s="97">
        <f>IFERROR(INDEX(Thèmes!$D$2:$D$190,MATCH(B148,Thèmes!$A$2:$A$190,0)),"")</f>
        <v/>
      </c>
      <c r="D148" s="86" t="inlineStr">
        <is>
          <t>F14 · Vos acomptes</t>
        </is>
      </c>
      <c r="E148" s="86" t="inlineStr">
        <is>
          <t>Part des ventes avec acompte, et acompte moyen en % du montant</t>
        </is>
      </c>
      <c r="F148" s="86" t="inlineStr">
        <is>
          <t>% et %</t>
        </is>
      </c>
      <c r="G148" s="89" t="inlineStr">
        <is>
          <t>Demandée</t>
        </is>
      </c>
      <c r="H148" s="89" t="inlineStr">
        <is>
          <t>Essentiel</t>
        </is>
      </c>
      <c r="I148" s="100" t="inlineStr">
        <is>
          <t>D06 · si devis ou propositions</t>
        </is>
      </c>
      <c r="J148" s="86" t="inlineStr">
        <is>
          <t>—</t>
        </is>
      </c>
      <c r="K148" s="89" t="inlineStr">
        <is>
          <t>●</t>
        </is>
      </c>
      <c r="L148" s="89" t="inlineStr">
        <is>
          <t>●</t>
        </is>
      </c>
      <c r="M148" s="89" t="inlineStr">
        <is>
          <t>●</t>
        </is>
      </c>
      <c r="N148" s="89" t="inlineStr">
        <is>
          <t>●</t>
        </is>
      </c>
      <c r="O148" s="89" t="inlineStr">
        <is>
          <t>●</t>
        </is>
      </c>
      <c r="P148" s="89" t="inlineStr">
        <is>
          <t>●</t>
        </is>
      </c>
      <c r="Q148" s="89" t="inlineStr">
        <is>
          <t>●</t>
        </is>
      </c>
      <c r="R148" s="89" t="inlineStr">
        <is>
          <t>●</t>
        </is>
      </c>
      <c r="S148" s="86" t="inlineStr">
        <is>
          <t>Levier</t>
        </is>
      </c>
      <c r="T148" s="86" t="inlineStr">
        <is>
          <t>—</t>
        </is>
      </c>
      <c r="U148" s="86" t="inlineStr">
        <is>
          <t>—</t>
        </is>
      </c>
      <c r="V148" s="86" t="inlineStr">
        <is>
          <t>FIN-19.03, FIN-19.04, FIN-32.01</t>
        </is>
      </c>
      <c r="W148" s="91" t="inlineStr">
        <is>
          <t>Profils ou tailles concernés</t>
        </is>
      </c>
    </row>
    <row r="149" ht="23.85" customHeight="1" s="53">
      <c r="A149" s="94" t="inlineStr">
        <is>
          <t>FIN-19.02</t>
        </is>
      </c>
      <c r="B149" s="67" t="inlineStr">
        <is>
          <t>FIN-19</t>
        </is>
      </c>
      <c r="C149" s="95">
        <f>IFERROR(INDEX(Thèmes!$D$2:$D$190,MATCH(B149,Thèmes!$A$2:$A$190,0)),"")</f>
        <v/>
      </c>
      <c r="D149" s="68" t="inlineStr">
        <is>
          <t>F14 · Vos acomptes</t>
        </is>
      </c>
      <c r="E149" s="68" t="inlineStr">
        <is>
          <t>Part des projets où vous payez des achats ou de la sous-traitance avant d'être payé, et montant moyen avancé</t>
        </is>
      </c>
      <c r="F149" s="68" t="inlineStr">
        <is>
          <t>% et €</t>
        </is>
      </c>
      <c r="G149" s="67" t="inlineStr">
        <is>
          <t>Demandée</t>
        </is>
      </c>
      <c r="H149" s="67" t="inlineStr">
        <is>
          <t>Essentiel</t>
        </is>
      </c>
      <c r="I149" s="99" t="inlineStr">
        <is>
          <t>D06 · si devis ou propositions</t>
        </is>
      </c>
      <c r="J149" s="68" t="inlineStr">
        <is>
          <t>—</t>
        </is>
      </c>
      <c r="K149" s="67" t="inlineStr">
        <is>
          <t>●</t>
        </is>
      </c>
      <c r="L149" s="67" t="inlineStr">
        <is>
          <t>●</t>
        </is>
      </c>
      <c r="M149" s="67" t="inlineStr">
        <is>
          <t>●</t>
        </is>
      </c>
      <c r="N149" s="67" t="inlineStr">
        <is>
          <t>●</t>
        </is>
      </c>
      <c r="O149" s="67" t="inlineStr">
        <is>
          <t>●</t>
        </is>
      </c>
      <c r="P149" s="67" t="inlineStr">
        <is>
          <t>●</t>
        </is>
      </c>
      <c r="Q149" s="67" t="inlineStr">
        <is>
          <t>●</t>
        </is>
      </c>
      <c r="R149" s="67" t="inlineStr">
        <is>
          <t>●</t>
        </is>
      </c>
      <c r="S149" s="68" t="inlineStr">
        <is>
          <t>Risque</t>
        </is>
      </c>
      <c r="T149" s="68" t="inlineStr">
        <is>
          <t>—</t>
        </is>
      </c>
      <c r="U149" s="68" t="inlineStr">
        <is>
          <t>—</t>
        </is>
      </c>
      <c r="V149" s="68" t="inlineStr">
        <is>
          <t>FIN-19.03</t>
        </is>
      </c>
      <c r="W149" s="83" t="inlineStr">
        <is>
          <t>Profils ou tailles concernés</t>
        </is>
      </c>
    </row>
    <row r="150" ht="23.85" customHeight="1" s="53">
      <c r="A150" s="81" t="inlineStr">
        <is>
          <t>FIN-19.03</t>
        </is>
      </c>
      <c r="B150" s="67" t="inlineStr">
        <is>
          <t>FIN-19</t>
        </is>
      </c>
      <c r="C150" s="95">
        <f>IFERROR(INDEX(Thèmes!$D$2:$D$190,MATCH(B150,Thèmes!$A$2:$A$190,0)),"")</f>
        <v/>
      </c>
      <c r="D150" s="68" t="inlineStr">
        <is>
          <t>—</t>
        </is>
      </c>
      <c r="E150" s="68" t="inlineStr">
        <is>
          <t>Trésorerie que l'entreprise avance à ses clients chaque mois</t>
        </is>
      </c>
      <c r="F150" s="68" t="inlineStr">
        <is>
          <t>€</t>
        </is>
      </c>
      <c r="G150" s="96" t="inlineStr">
        <is>
          <t>Calculée</t>
        </is>
      </c>
      <c r="H150" s="67" t="inlineStr">
        <is>
          <t>—</t>
        </is>
      </c>
      <c r="I150" s="68" t="inlineStr">
        <is>
          <t>—</t>
        </is>
      </c>
      <c r="J150" s="68" t="inlineStr">
        <is>
          <t>—</t>
        </is>
      </c>
      <c r="K150" s="67" t="n"/>
      <c r="L150" s="67" t="n"/>
      <c r="M150" s="67" t="n"/>
      <c r="N150" s="67" t="n"/>
      <c r="O150" s="67" t="inlineStr">
        <is>
          <t>●</t>
        </is>
      </c>
      <c r="P150" s="67" t="inlineStr">
        <is>
          <t>●</t>
        </is>
      </c>
      <c r="Q150" s="67" t="n"/>
      <c r="R150" s="67" t="n"/>
      <c r="S150" s="68" t="inlineStr">
        <is>
          <t>Perte</t>
        </is>
      </c>
      <c r="T150" s="68" t="inlineStr">
        <is>
          <t>Projets sans acompte avec avance × montant moyen avancé</t>
        </is>
      </c>
      <c r="U150" s="68" t="inlineStr">
        <is>
          <t>FIN-19.01, FIN-19.02, FIN-06.02</t>
        </is>
      </c>
      <c r="V150" s="68" t="inlineStr">
        <is>
          <t>XF25</t>
        </is>
      </c>
      <c r="W150" s="83" t="n"/>
    </row>
    <row r="151" ht="23.85" customHeight="1" s="53">
      <c r="A151" s="81" t="inlineStr">
        <is>
          <t>FIN-19.04</t>
        </is>
      </c>
      <c r="B151" s="67" t="inlineStr">
        <is>
          <t>FIN-19</t>
        </is>
      </c>
      <c r="C151" s="95">
        <f>IFERROR(INDEX(Thèmes!$D$2:$D$190,MATCH(B151,Thèmes!$A$2:$A$190,0)),"")</f>
        <v/>
      </c>
      <c r="D151" s="68" t="inlineStr">
        <is>
          <t>—</t>
        </is>
      </c>
      <c r="E151" s="68" t="inlineStr">
        <is>
          <t>Trésorerie libérée par un acompte de 30 % sur les projets qui n'en ont pas</t>
        </is>
      </c>
      <c r="F151" s="68" t="inlineStr">
        <is>
          <t>€</t>
        </is>
      </c>
      <c r="G151" s="96" t="inlineStr">
        <is>
          <t>Calculée</t>
        </is>
      </c>
      <c r="H151" s="67" t="inlineStr">
        <is>
          <t>—</t>
        </is>
      </c>
      <c r="I151" s="68" t="inlineStr">
        <is>
          <t>—</t>
        </is>
      </c>
      <c r="J151" s="68" t="inlineStr">
        <is>
          <t>—</t>
        </is>
      </c>
      <c r="K151" s="67" t="n"/>
      <c r="L151" s="67" t="n"/>
      <c r="M151" s="67" t="n"/>
      <c r="N151" s="67" t="n"/>
      <c r="O151" s="67" t="inlineStr">
        <is>
          <t>●</t>
        </is>
      </c>
      <c r="P151" s="67" t="inlineStr">
        <is>
          <t>●</t>
        </is>
      </c>
      <c r="Q151" s="67" t="n"/>
      <c r="R151" s="67" t="n"/>
      <c r="S151" s="68" t="inlineStr">
        <is>
          <t>Levier</t>
        </is>
      </c>
      <c r="T151" s="68" t="inlineStr">
        <is>
          <t>Projets sans acompte × montant moyen × 30 %</t>
        </is>
      </c>
      <c r="U151" s="68" t="inlineStr">
        <is>
          <t>FIN-19.01, ACQ-15.06, FIN-06.02</t>
        </is>
      </c>
      <c r="V151" s="68" t="inlineStr">
        <is>
          <t>XF25</t>
        </is>
      </c>
      <c r="W151" s="83" t="n"/>
    </row>
    <row r="152" ht="35.05" customHeight="1" s="53">
      <c r="A152" s="85" t="inlineStr">
        <is>
          <t>FIN-20.01</t>
        </is>
      </c>
      <c r="B152" s="89" t="inlineStr">
        <is>
          <t>FIN-20</t>
        </is>
      </c>
      <c r="C152" s="97">
        <f>IFERROR(INDEX(Thèmes!$D$2:$D$190,MATCH(B152,Thèmes!$A$2:$A$190,0)),"")</f>
        <v/>
      </c>
      <c r="D152" s="86" t="inlineStr">
        <is>
          <t>F15 · Vos paiements fournisseurs</t>
        </is>
      </c>
      <c r="E152" s="86" t="inlineStr">
        <is>
          <t>Délai de paiement accordé par vos fournisseurs</t>
        </is>
      </c>
      <c r="F152" s="86" t="inlineStr">
        <is>
          <t>Jours</t>
        </is>
      </c>
      <c r="G152" s="89" t="inlineStr">
        <is>
          <t>Demandée</t>
        </is>
      </c>
      <c r="H152" s="89" t="inlineStr">
        <is>
          <t>Essentiel</t>
        </is>
      </c>
      <c r="I152" s="100" t="inlineStr">
        <is>
          <t>D08 · si fournisseurs réguliers</t>
        </is>
      </c>
      <c r="J152" s="86" t="inlineStr">
        <is>
          <t>—</t>
        </is>
      </c>
      <c r="K152" s="89" t="inlineStr">
        <is>
          <t>●</t>
        </is>
      </c>
      <c r="L152" s="89" t="inlineStr">
        <is>
          <t>●</t>
        </is>
      </c>
      <c r="M152" s="89" t="inlineStr">
        <is>
          <t>●</t>
        </is>
      </c>
      <c r="N152" s="89" t="inlineStr">
        <is>
          <t>●</t>
        </is>
      </c>
      <c r="O152" s="89" t="inlineStr">
        <is>
          <t>●</t>
        </is>
      </c>
      <c r="P152" s="89" t="inlineStr">
        <is>
          <t>●</t>
        </is>
      </c>
      <c r="Q152" s="89" t="inlineStr">
        <is>
          <t>●</t>
        </is>
      </c>
      <c r="R152" s="89" t="inlineStr">
        <is>
          <t>●</t>
        </is>
      </c>
      <c r="S152" s="86" t="inlineStr">
        <is>
          <t>Levier</t>
        </is>
      </c>
      <c r="T152" s="86" t="inlineStr">
        <is>
          <t>—</t>
        </is>
      </c>
      <c r="U152" s="86" t="inlineStr">
        <is>
          <t>—</t>
        </is>
      </c>
      <c r="V152" s="86" t="inlineStr">
        <is>
          <t>FIN-20.07</t>
        </is>
      </c>
      <c r="W152" s="91" t="n"/>
    </row>
    <row r="153" ht="23.85" customHeight="1" s="53">
      <c r="A153" s="81" t="inlineStr">
        <is>
          <t>FIN-20.02</t>
        </is>
      </c>
      <c r="B153" s="67" t="inlineStr">
        <is>
          <t>FIN-20</t>
        </is>
      </c>
      <c r="C153" s="95">
        <f>IFERROR(INDEX(Thèmes!$D$2:$D$190,MATCH(B153,Thèmes!$A$2:$A$190,0)),"")</f>
        <v/>
      </c>
      <c r="D153" s="68" t="inlineStr">
        <is>
          <t>F15 · Vos paiements fournisseurs</t>
        </is>
      </c>
      <c r="E153" s="68" t="inlineStr">
        <is>
          <t>Délai réel moyen de paiement de vos fournisseurs</t>
        </is>
      </c>
      <c r="F153" s="68" t="inlineStr">
        <is>
          <t>Jours</t>
        </is>
      </c>
      <c r="G153" s="67" t="inlineStr">
        <is>
          <t>Demandée</t>
        </is>
      </c>
      <c r="H153" s="67" t="inlineStr">
        <is>
          <t>Essentiel</t>
        </is>
      </c>
      <c r="I153" s="99" t="inlineStr">
        <is>
          <t>D08 · si fournisseurs réguliers</t>
        </is>
      </c>
      <c r="J153" s="68" t="inlineStr">
        <is>
          <t>—</t>
        </is>
      </c>
      <c r="K153" s="67" t="inlineStr">
        <is>
          <t>●</t>
        </is>
      </c>
      <c r="L153" s="67" t="inlineStr">
        <is>
          <t>●</t>
        </is>
      </c>
      <c r="M153" s="67" t="inlineStr">
        <is>
          <t>●</t>
        </is>
      </c>
      <c r="N153" s="67" t="inlineStr">
        <is>
          <t>●</t>
        </is>
      </c>
      <c r="O153" s="67" t="inlineStr">
        <is>
          <t>●</t>
        </is>
      </c>
      <c r="P153" s="67" t="inlineStr">
        <is>
          <t>●</t>
        </is>
      </c>
      <c r="Q153" s="67" t="inlineStr">
        <is>
          <t>●</t>
        </is>
      </c>
      <c r="R153" s="67" t="inlineStr">
        <is>
          <t>●</t>
        </is>
      </c>
      <c r="S153" s="68" t="inlineStr">
        <is>
          <t>Mesure</t>
        </is>
      </c>
      <c r="T153" s="68" t="inlineStr">
        <is>
          <t>—</t>
        </is>
      </c>
      <c r="U153" s="68" t="inlineStr">
        <is>
          <t>—</t>
        </is>
      </c>
      <c r="V153" s="68" t="inlineStr">
        <is>
          <t>FIN-20.05, FIN-20.06, FIN-20.07, FIN-32.01</t>
        </is>
      </c>
      <c r="W153" s="83" t="n"/>
    </row>
    <row r="154" ht="35.05" customHeight="1" s="53">
      <c r="A154" s="94" t="inlineStr">
        <is>
          <t>FIN-20.03</t>
        </is>
      </c>
      <c r="B154" s="67" t="inlineStr">
        <is>
          <t>FIN-20</t>
        </is>
      </c>
      <c r="C154" s="95">
        <f>IFERROR(INDEX(Thèmes!$D$2:$D$190,MATCH(B154,Thèmes!$A$2:$A$190,0)),"")</f>
        <v/>
      </c>
      <c r="D154" s="68" t="inlineStr">
        <is>
          <t>F15 · Vos paiements fournisseurs</t>
        </is>
      </c>
      <c r="E154" s="68" t="inlineStr">
        <is>
          <t>Remise pour paiement rapide proposée — déclencheur D43</t>
        </is>
      </c>
      <c r="F154" s="68" t="inlineStr">
        <is>
          <t>Oui / non + %</t>
        </is>
      </c>
      <c r="G154" s="67" t="inlineStr">
        <is>
          <t>Demandée</t>
        </is>
      </c>
      <c r="H154" s="67" t="inlineStr">
        <is>
          <t>Approfondi</t>
        </is>
      </c>
      <c r="I154" s="99" t="inlineStr">
        <is>
          <t>D08 · si fournisseurs réguliers</t>
        </is>
      </c>
      <c r="J154" s="68" t="inlineStr">
        <is>
          <t>—</t>
        </is>
      </c>
      <c r="K154" s="67" t="inlineStr">
        <is>
          <t>●</t>
        </is>
      </c>
      <c r="L154" s="67" t="inlineStr">
        <is>
          <t>●</t>
        </is>
      </c>
      <c r="M154" s="67" t="inlineStr">
        <is>
          <t>●</t>
        </is>
      </c>
      <c r="N154" s="67" t="inlineStr">
        <is>
          <t>●</t>
        </is>
      </c>
      <c r="O154" s="67" t="inlineStr">
        <is>
          <t>●</t>
        </is>
      </c>
      <c r="P154" s="67" t="inlineStr">
        <is>
          <t>●</t>
        </is>
      </c>
      <c r="Q154" s="67" t="inlineStr">
        <is>
          <t>●</t>
        </is>
      </c>
      <c r="R154" s="67" t="inlineStr">
        <is>
          <t>●</t>
        </is>
      </c>
      <c r="S154" s="68" t="inlineStr">
        <is>
          <t>Levier</t>
        </is>
      </c>
      <c r="T154" s="68" t="inlineStr">
        <is>
          <t>—</t>
        </is>
      </c>
      <c r="U154" s="68" t="inlineStr">
        <is>
          <t>—</t>
        </is>
      </c>
      <c r="V154" s="68" t="inlineStr">
        <is>
          <t>XF26</t>
        </is>
      </c>
      <c r="W154" s="83" t="inlineStr">
        <is>
          <t>Libellé (« Donnée »)</t>
        </is>
      </c>
    </row>
    <row r="155" ht="23.85" customHeight="1" s="53">
      <c r="A155" s="81" t="inlineStr">
        <is>
          <t>FIN-20.04</t>
        </is>
      </c>
      <c r="B155" s="67" t="inlineStr">
        <is>
          <t>FIN-20</t>
        </is>
      </c>
      <c r="C155" s="95">
        <f>IFERROR(INDEX(Thèmes!$D$2:$D$190,MATCH(B155,Thèmes!$A$2:$A$190,0)),"")</f>
        <v/>
      </c>
      <c r="D155" s="68" t="inlineStr">
        <is>
          <t>F15 · Vos paiements fournisseurs</t>
        </is>
      </c>
      <c r="E155" s="68" t="inlineStr">
        <is>
          <t>Pénalités de retard payées sur 12 mois</t>
        </is>
      </c>
      <c r="F155" s="68" t="inlineStr">
        <is>
          <t>€</t>
        </is>
      </c>
      <c r="G155" s="67" t="inlineStr">
        <is>
          <t>Demandée</t>
        </is>
      </c>
      <c r="H155" s="67" t="inlineStr">
        <is>
          <t>Approfondi</t>
        </is>
      </c>
      <c r="I155" s="99" t="inlineStr">
        <is>
          <t>D08 · si fournisseurs réguliers</t>
        </is>
      </c>
      <c r="J155" s="68" t="inlineStr">
        <is>
          <t>Période adaptée : depuis la création si moins de 12 mois</t>
        </is>
      </c>
      <c r="K155" s="67" t="inlineStr">
        <is>
          <t>●</t>
        </is>
      </c>
      <c r="L155" s="67" t="inlineStr">
        <is>
          <t>●</t>
        </is>
      </c>
      <c r="M155" s="67" t="inlineStr">
        <is>
          <t>●</t>
        </is>
      </c>
      <c r="N155" s="67" t="inlineStr">
        <is>
          <t>●</t>
        </is>
      </c>
      <c r="O155" s="67" t="inlineStr">
        <is>
          <t>●</t>
        </is>
      </c>
      <c r="P155" s="67" t="inlineStr">
        <is>
          <t>●</t>
        </is>
      </c>
      <c r="Q155" s="67" t="inlineStr">
        <is>
          <t>●</t>
        </is>
      </c>
      <c r="R155" s="67" t="inlineStr">
        <is>
          <t>●</t>
        </is>
      </c>
      <c r="S155" s="68" t="inlineStr">
        <is>
          <t>Perte</t>
        </is>
      </c>
      <c r="T155" s="68" t="inlineStr">
        <is>
          <t>—</t>
        </is>
      </c>
      <c r="U155" s="68" t="inlineStr">
        <is>
          <t>—</t>
        </is>
      </c>
      <c r="V155" s="68" t="inlineStr">
        <is>
          <t>XF28</t>
        </is>
      </c>
      <c r="W155" s="83" t="n"/>
    </row>
    <row r="156" ht="23.85" customHeight="1" s="53">
      <c r="A156" s="81" t="inlineStr">
        <is>
          <t>FIN-20.05</t>
        </is>
      </c>
      <c r="B156" s="67" t="inlineStr">
        <is>
          <t>FIN-20</t>
        </is>
      </c>
      <c r="C156" s="95">
        <f>IFERROR(INDEX(Thèmes!$D$2:$D$190,MATCH(B156,Thèmes!$A$2:$A$190,0)),"")</f>
        <v/>
      </c>
      <c r="D156" s="68" t="inlineStr">
        <is>
          <t>—</t>
        </is>
      </c>
      <c r="E156" s="68" t="inlineStr">
        <is>
          <t>Argent dû aux fournisseurs à un instant donné</t>
        </is>
      </c>
      <c r="F156" s="68" t="inlineStr">
        <is>
          <t>€</t>
        </is>
      </c>
      <c r="G156" s="96" t="inlineStr">
        <is>
          <t>Calculée</t>
        </is>
      </c>
      <c r="H156" s="67" t="inlineStr">
        <is>
          <t>—</t>
        </is>
      </c>
      <c r="I156" s="68" t="inlineStr">
        <is>
          <t>—</t>
        </is>
      </c>
      <c r="J156" s="68" t="inlineStr">
        <is>
          <t>—</t>
        </is>
      </c>
      <c r="K156" s="67" t="inlineStr">
        <is>
          <t>●</t>
        </is>
      </c>
      <c r="L156" s="67" t="inlineStr">
        <is>
          <t>●</t>
        </is>
      </c>
      <c r="M156" s="67" t="inlineStr">
        <is>
          <t>●</t>
        </is>
      </c>
      <c r="N156" s="67" t="inlineStr">
        <is>
          <t>●</t>
        </is>
      </c>
      <c r="O156" s="67" t="inlineStr">
        <is>
          <t>●</t>
        </is>
      </c>
      <c r="P156" s="67" t="inlineStr">
        <is>
          <t>●</t>
        </is>
      </c>
      <c r="Q156" s="67" t="inlineStr">
        <is>
          <t>●</t>
        </is>
      </c>
      <c r="R156" s="67" t="inlineStr">
        <is>
          <t>●</t>
        </is>
      </c>
      <c r="S156" s="68" t="inlineStr">
        <is>
          <t>Mesure</t>
        </is>
      </c>
      <c r="T156" s="68" t="inlineStr">
        <is>
          <t>(Achats + sous-traitance) d'une journée × délai réel de paiement</t>
        </is>
      </c>
      <c r="U156" s="68" t="inlineStr">
        <is>
          <t>FIN-08.01, FIN-08.02, FIN-20.02</t>
        </is>
      </c>
      <c r="V156" s="68" t="inlineStr">
        <is>
          <t>XF20, XF21</t>
        </is>
      </c>
      <c r="W156" s="83" t="n"/>
    </row>
    <row r="157" ht="23.85" customHeight="1" s="53">
      <c r="A157" s="81" t="inlineStr">
        <is>
          <t>FIN-20.06</t>
        </is>
      </c>
      <c r="B157" s="67" t="inlineStr">
        <is>
          <t>FIN-20</t>
        </is>
      </c>
      <c r="C157" s="95">
        <f>IFERROR(INDEX(Thèmes!$D$2:$D$190,MATCH(B157,Thèmes!$A$2:$A$190,0)),"")</f>
        <v/>
      </c>
      <c r="D157" s="68" t="inlineStr">
        <is>
          <t>—</t>
        </is>
      </c>
      <c r="E157" s="68" t="inlineStr">
        <is>
          <t>Écart entre délai client et délai fournisseur</t>
        </is>
      </c>
      <c r="F157" s="68" t="inlineStr">
        <is>
          <t>Jours</t>
        </is>
      </c>
      <c r="G157" s="96" t="inlineStr">
        <is>
          <t>Calculée</t>
        </is>
      </c>
      <c r="H157" s="67" t="inlineStr">
        <is>
          <t>—</t>
        </is>
      </c>
      <c r="I157" s="68" t="inlineStr">
        <is>
          <t>—</t>
        </is>
      </c>
      <c r="J157" s="68" t="inlineStr">
        <is>
          <t>—</t>
        </is>
      </c>
      <c r="K157" s="67" t="inlineStr">
        <is>
          <t>●</t>
        </is>
      </c>
      <c r="L157" s="67" t="inlineStr">
        <is>
          <t>●</t>
        </is>
      </c>
      <c r="M157" s="67" t="inlineStr">
        <is>
          <t>●</t>
        </is>
      </c>
      <c r="N157" s="67" t="inlineStr">
        <is>
          <t>●</t>
        </is>
      </c>
      <c r="O157" s="67" t="inlineStr">
        <is>
          <t>●</t>
        </is>
      </c>
      <c r="P157" s="67" t="inlineStr">
        <is>
          <t>●</t>
        </is>
      </c>
      <c r="Q157" s="67" t="inlineStr">
        <is>
          <t>●</t>
        </is>
      </c>
      <c r="R157" s="67" t="n"/>
      <c r="S157" s="68" t="inlineStr">
        <is>
          <t>Problème</t>
        </is>
      </c>
      <c r="T157" s="68" t="inlineStr">
        <is>
          <t>Délai réel d'encaissement − délai réel de paiement fournisseur (commerce, restaurant : encaissement comptant)</t>
        </is>
      </c>
      <c r="U157" s="68" t="inlineStr">
        <is>
          <t>FIN-17.05, FIN-20.02</t>
        </is>
      </c>
      <c r="V157" s="68" t="inlineStr">
        <is>
          <t>XF21</t>
        </is>
      </c>
      <c r="W157" s="83" t="n"/>
    </row>
    <row r="158" ht="23.85" customHeight="1" s="53">
      <c r="A158" s="81" t="inlineStr">
        <is>
          <t>FIN-20.07</t>
        </is>
      </c>
      <c r="B158" s="67" t="inlineStr">
        <is>
          <t>FIN-20</t>
        </is>
      </c>
      <c r="C158" s="95">
        <f>IFERROR(INDEX(Thèmes!$D$2:$D$190,MATCH(B158,Thèmes!$A$2:$A$190,0)),"")</f>
        <v/>
      </c>
      <c r="D158" s="68" t="inlineStr">
        <is>
          <t>—</t>
        </is>
      </c>
      <c r="E158" s="68" t="inlineStr">
        <is>
          <t>Jours de délai fournisseur encore disponibles</t>
        </is>
      </c>
      <c r="F158" s="68" t="inlineStr">
        <is>
          <t>Jours</t>
        </is>
      </c>
      <c r="G158" s="96" t="inlineStr">
        <is>
          <t>Calculée</t>
        </is>
      </c>
      <c r="H158" s="67" t="inlineStr">
        <is>
          <t>—</t>
        </is>
      </c>
      <c r="I158" s="68" t="inlineStr">
        <is>
          <t>—</t>
        </is>
      </c>
      <c r="J158" s="68" t="inlineStr">
        <is>
          <t>—</t>
        </is>
      </c>
      <c r="K158" s="67" t="inlineStr">
        <is>
          <t>●</t>
        </is>
      </c>
      <c r="L158" s="67" t="inlineStr">
        <is>
          <t>●</t>
        </is>
      </c>
      <c r="M158" s="67" t="inlineStr">
        <is>
          <t>●</t>
        </is>
      </c>
      <c r="N158" s="67" t="inlineStr">
        <is>
          <t>●</t>
        </is>
      </c>
      <c r="O158" s="67" t="inlineStr">
        <is>
          <t>●</t>
        </is>
      </c>
      <c r="P158" s="67" t="inlineStr">
        <is>
          <t>●</t>
        </is>
      </c>
      <c r="Q158" s="67" t="inlineStr">
        <is>
          <t>●</t>
        </is>
      </c>
      <c r="R158" s="67" t="inlineStr">
        <is>
          <t>●</t>
        </is>
      </c>
      <c r="S158" s="68" t="inlineStr">
        <is>
          <t>Levier</t>
        </is>
      </c>
      <c r="T158" s="68" t="inlineStr">
        <is>
          <t>Délai accordé − délai réel</t>
        </is>
      </c>
      <c r="U158" s="68" t="inlineStr">
        <is>
          <t>FIN-20.01, FIN-20.02</t>
        </is>
      </c>
      <c r="V158" s="68" t="inlineStr">
        <is>
          <t>XF22</t>
        </is>
      </c>
      <c r="W158" s="83" t="n"/>
    </row>
    <row r="159" ht="23.85" customHeight="1" s="53">
      <c r="A159" s="92" t="inlineStr">
        <is>
          <t>FIN-20.08</t>
        </is>
      </c>
      <c r="B159" s="67" t="inlineStr">
        <is>
          <t>FIN-20</t>
        </is>
      </c>
      <c r="C159" s="95">
        <f>IFERROR(INDEX(Thèmes!$D$2:$D$190,MATCH(B159,Thèmes!$A$2:$A$190,0)),"")</f>
        <v/>
      </c>
      <c r="D159" s="68" t="inlineStr">
        <is>
          <t>—</t>
        </is>
      </c>
      <c r="E159" s="68" t="inlineStr">
        <is>
          <t>Remise proposée pour paiement rapide</t>
        </is>
      </c>
      <c r="F159" s="68" t="inlineStr">
        <is>
          <t>%</t>
        </is>
      </c>
      <c r="G159" s="67" t="inlineStr">
        <is>
          <t>Demandée</t>
        </is>
      </c>
      <c r="H159" s="67" t="inlineStr">
        <is>
          <t>Approfondi</t>
        </is>
      </c>
      <c r="I159" s="99" t="inlineStr">
        <is>
          <t>D43 · si remise pour paiement rapide</t>
        </is>
      </c>
      <c r="J159" s="68" t="inlineStr">
        <is>
          <t>—</t>
        </is>
      </c>
      <c r="K159" s="67" t="inlineStr">
        <is>
          <t>●</t>
        </is>
      </c>
      <c r="L159" s="67" t="inlineStr">
        <is>
          <t>●</t>
        </is>
      </c>
      <c r="M159" s="67" t="inlineStr">
        <is>
          <t>●</t>
        </is>
      </c>
      <c r="N159" s="67" t="inlineStr">
        <is>
          <t>●</t>
        </is>
      </c>
      <c r="O159" s="67" t="inlineStr">
        <is>
          <t>●</t>
        </is>
      </c>
      <c r="P159" s="67" t="inlineStr">
        <is>
          <t>●</t>
        </is>
      </c>
      <c r="Q159" s="67" t="inlineStr">
        <is>
          <t>●</t>
        </is>
      </c>
      <c r="R159" s="67" t="inlineStr">
        <is>
          <t>●</t>
        </is>
      </c>
      <c r="S159" s="68" t="inlineStr">
        <is>
          <t>—</t>
        </is>
      </c>
      <c r="T159" s="68" t="inlineStr">
        <is>
          <t>—</t>
        </is>
      </c>
      <c r="U159" s="68" t="inlineStr">
        <is>
          <t>—</t>
        </is>
      </c>
      <c r="V159" s="68" t="inlineStr">
        <is>
          <t>—</t>
        </is>
      </c>
      <c r="W159" s="83" t="inlineStr">
        <is>
          <t>Nouveau</t>
        </is>
      </c>
    </row>
    <row r="160" ht="23.85" customHeight="1" s="53">
      <c r="A160" s="85" t="inlineStr">
        <is>
          <t>FIN-21.01</t>
        </is>
      </c>
      <c r="B160" s="89" t="inlineStr">
        <is>
          <t>FIN-21</t>
        </is>
      </c>
      <c r="C160" s="97">
        <f>IFERROR(INDEX(Thèmes!$D$2:$D$190,MATCH(B160,Thèmes!$A$2:$A$190,0)),"")</f>
        <v/>
      </c>
      <c r="D160" s="86" t="inlineStr">
        <is>
          <t>F11 · Votre facturation</t>
        </is>
      </c>
      <c r="E160" s="86" t="inlineStr">
        <is>
          <t>Montant des travaux réalisés mais pas encore facturés aujourd'hui</t>
        </is>
      </c>
      <c r="F160" s="86" t="inlineStr">
        <is>
          <t>€</t>
        </is>
      </c>
      <c r="G160" s="89" t="inlineStr">
        <is>
          <t>Demandée</t>
        </is>
      </c>
      <c r="H160" s="89" t="inlineStr">
        <is>
          <t>Essentiel</t>
        </is>
      </c>
      <c r="I160" s="100" t="inlineStr">
        <is>
          <t>D19 · si travail planifié à l'avance</t>
        </is>
      </c>
      <c r="J160" s="86" t="inlineStr">
        <is>
          <t>—</t>
        </is>
      </c>
      <c r="K160" s="89" t="n"/>
      <c r="L160" s="89" t="n"/>
      <c r="M160" s="89" t="n"/>
      <c r="N160" s="89" t="n"/>
      <c r="O160" s="89" t="inlineStr">
        <is>
          <t>●</t>
        </is>
      </c>
      <c r="P160" s="89" t="inlineStr">
        <is>
          <t>●</t>
        </is>
      </c>
      <c r="Q160" s="89" t="n"/>
      <c r="R160" s="89" t="n"/>
      <c r="S160" s="86" t="inlineStr">
        <is>
          <t>Perte</t>
        </is>
      </c>
      <c r="T160" s="86" t="inlineStr">
        <is>
          <t>—</t>
        </is>
      </c>
      <c r="U160" s="86" t="inlineStr">
        <is>
          <t>—</t>
        </is>
      </c>
      <c r="V160" s="86" t="inlineStr">
        <is>
          <t>FIN-21.02, XF20</t>
        </is>
      </c>
      <c r="W160" s="91" t="n"/>
    </row>
    <row r="161" ht="23.85" customHeight="1" s="53">
      <c r="A161" s="81" t="inlineStr">
        <is>
          <t>FIN-21.02</t>
        </is>
      </c>
      <c r="B161" s="67" t="inlineStr">
        <is>
          <t>FIN-21</t>
        </is>
      </c>
      <c r="C161" s="95">
        <f>IFERROR(INDEX(Thèmes!$D$2:$D$190,MATCH(B161,Thèmes!$A$2:$A$190,0)),"")</f>
        <v/>
      </c>
      <c r="D161" s="68" t="inlineStr">
        <is>
          <t>—</t>
        </is>
      </c>
      <c r="E161" s="68" t="inlineStr">
        <is>
          <t>Travaux non facturés en jours de CA</t>
        </is>
      </c>
      <c r="F161" s="68" t="inlineStr">
        <is>
          <t>Jours</t>
        </is>
      </c>
      <c r="G161" s="96" t="inlineStr">
        <is>
          <t>Calculée</t>
        </is>
      </c>
      <c r="H161" s="67" t="inlineStr">
        <is>
          <t>—</t>
        </is>
      </c>
      <c r="I161" s="68" t="inlineStr">
        <is>
          <t>—</t>
        </is>
      </c>
      <c r="J161" s="68" t="inlineStr">
        <is>
          <t>—</t>
        </is>
      </c>
      <c r="K161" s="67" t="n"/>
      <c r="L161" s="67" t="n"/>
      <c r="M161" s="67" t="n"/>
      <c r="N161" s="67" t="n"/>
      <c r="O161" s="67" t="inlineStr">
        <is>
          <t>●</t>
        </is>
      </c>
      <c r="P161" s="67" t="inlineStr">
        <is>
          <t>●</t>
        </is>
      </c>
      <c r="Q161" s="67" t="n"/>
      <c r="R161" s="67" t="n"/>
      <c r="S161" s="68" t="inlineStr">
        <is>
          <t>Problème</t>
        </is>
      </c>
      <c r="T161" s="68" t="inlineStr">
        <is>
          <t>Travaux non facturés ÷ CA d'une journée</t>
        </is>
      </c>
      <c r="U161" s="68" t="inlineStr">
        <is>
          <t>FIN-21.01, Inscription · CA mensuel</t>
        </is>
      </c>
      <c r="V161" s="68" t="inlineStr">
        <is>
          <t>Affichée dans le rapport</t>
        </is>
      </c>
      <c r="W161" s="83" t="n"/>
    </row>
    <row r="162" ht="23.85" customHeight="1" s="53">
      <c r="A162" s="85" t="inlineStr">
        <is>
          <t>FIN-22.01</t>
        </is>
      </c>
      <c r="B162" s="89" t="inlineStr">
        <is>
          <t>FIN-22</t>
        </is>
      </c>
      <c r="C162" s="97">
        <f>IFERROR(INDEX(Thèmes!$D$2:$D$190,MATCH(B162,Thèmes!$A$2:$A$190,0)),"")</f>
        <v/>
      </c>
      <c r="D162" s="86" t="inlineStr">
        <is>
          <t>F16 · Vos emprunts et leasings (tableau)</t>
        </is>
      </c>
      <c r="E162" s="86" t="inlineStr">
        <is>
          <t>Vos crédits et leasings (véhicules, matériel, crédit-bail) : mensualité, capital restant dû, date de fin</t>
        </is>
      </c>
      <c r="F162" s="86" t="inlineStr">
        <is>
          <t>Tableau (une ligne par crédit)</t>
        </is>
      </c>
      <c r="G162" s="89" t="inlineStr">
        <is>
          <t>Demandée</t>
        </is>
      </c>
      <c r="H162" s="89" t="inlineStr">
        <is>
          <t>Essentiel</t>
        </is>
      </c>
      <c r="I162" s="100" t="inlineStr">
        <is>
          <t>D10 · si crédit ou leasing en cours</t>
        </is>
      </c>
      <c r="J162" s="86" t="inlineStr">
        <is>
          <t>—</t>
        </is>
      </c>
      <c r="K162" s="89" t="inlineStr">
        <is>
          <t>●</t>
        </is>
      </c>
      <c r="L162" s="89" t="inlineStr">
        <is>
          <t>●</t>
        </is>
      </c>
      <c r="M162" s="89" t="inlineStr">
        <is>
          <t>●</t>
        </is>
      </c>
      <c r="N162" s="89" t="inlineStr">
        <is>
          <t>●</t>
        </is>
      </c>
      <c r="O162" s="89" t="inlineStr">
        <is>
          <t>●</t>
        </is>
      </c>
      <c r="P162" s="89" t="inlineStr">
        <is>
          <t>●</t>
        </is>
      </c>
      <c r="Q162" s="89" t="inlineStr">
        <is>
          <t>●</t>
        </is>
      </c>
      <c r="R162" s="89" t="inlineStr">
        <is>
          <t>●</t>
        </is>
      </c>
      <c r="S162" s="86" t="inlineStr">
        <is>
          <t>Risque</t>
        </is>
      </c>
      <c r="T162" s="86" t="inlineStr">
        <is>
          <t>—</t>
        </is>
      </c>
      <c r="U162" s="86" t="inlineStr">
        <is>
          <t>—</t>
        </is>
      </c>
      <c r="V162" s="86" t="inlineStr">
        <is>
          <t>FIN-22.03, FIN-22.04, FIN-22.06</t>
        </is>
      </c>
      <c r="W162" s="91" t="n"/>
    </row>
    <row r="163" ht="23.85" customHeight="1" s="53">
      <c r="A163" s="81" t="inlineStr">
        <is>
          <t>FIN-22.02</t>
        </is>
      </c>
      <c r="B163" s="67" t="inlineStr">
        <is>
          <t>FIN-22</t>
        </is>
      </c>
      <c r="C163" s="95">
        <f>IFERROR(INDEX(Thèmes!$D$2:$D$190,MATCH(B163,Thèmes!$A$2:$A$190,0)),"")</f>
        <v/>
      </c>
      <c r="D163" s="68" t="inlineStr">
        <is>
          <t>F16 · Vos emprunts et leasings (tableau)</t>
        </is>
      </c>
      <c r="E163" s="68" t="inlineStr">
        <is>
          <t>Taux d'intérêt de chaque crédit</t>
        </is>
      </c>
      <c r="F163" s="68" t="inlineStr">
        <is>
          <t>% par ligne</t>
        </is>
      </c>
      <c r="G163" s="67" t="inlineStr">
        <is>
          <t>Demandée</t>
        </is>
      </c>
      <c r="H163" s="67" t="inlineStr">
        <is>
          <t>Approfondi</t>
        </is>
      </c>
      <c r="I163" s="99" t="inlineStr">
        <is>
          <t>D10 · si crédit ou leasing en cours</t>
        </is>
      </c>
      <c r="J163" s="68" t="inlineStr">
        <is>
          <t>—</t>
        </is>
      </c>
      <c r="K163" s="67" t="inlineStr">
        <is>
          <t>●</t>
        </is>
      </c>
      <c r="L163" s="67" t="inlineStr">
        <is>
          <t>●</t>
        </is>
      </c>
      <c r="M163" s="67" t="inlineStr">
        <is>
          <t>●</t>
        </is>
      </c>
      <c r="N163" s="67" t="inlineStr">
        <is>
          <t>●</t>
        </is>
      </c>
      <c r="O163" s="67" t="inlineStr">
        <is>
          <t>●</t>
        </is>
      </c>
      <c r="P163" s="67" t="inlineStr">
        <is>
          <t>●</t>
        </is>
      </c>
      <c r="Q163" s="67" t="inlineStr">
        <is>
          <t>●</t>
        </is>
      </c>
      <c r="R163" s="67" t="inlineStr">
        <is>
          <t>●</t>
        </is>
      </c>
      <c r="S163" s="68" t="inlineStr">
        <is>
          <t>Levier</t>
        </is>
      </c>
      <c r="T163" s="68" t="inlineStr">
        <is>
          <t>—</t>
        </is>
      </c>
      <c r="U163" s="68" t="inlineStr">
        <is>
          <t>—</t>
        </is>
      </c>
      <c r="V163" s="68" t="inlineStr">
        <is>
          <t>Lue par l'IA pour adapter le conseil</t>
        </is>
      </c>
      <c r="W163" s="83" t="n"/>
    </row>
    <row r="164" ht="23.85" customHeight="1" s="53">
      <c r="A164" s="81" t="inlineStr">
        <is>
          <t>FIN-22.03</t>
        </is>
      </c>
      <c r="B164" s="67" t="inlineStr">
        <is>
          <t>FIN-22</t>
        </is>
      </c>
      <c r="C164" s="95">
        <f>IFERROR(INDEX(Thèmes!$D$2:$D$190,MATCH(B164,Thèmes!$A$2:$A$190,0)),"")</f>
        <v/>
      </c>
      <c r="D164" s="68" t="inlineStr">
        <is>
          <t>—</t>
        </is>
      </c>
      <c r="E164" s="68" t="inlineStr">
        <is>
          <t>Mensualités totales, par mois et par an</t>
        </is>
      </c>
      <c r="F164" s="68" t="inlineStr">
        <is>
          <t>€</t>
        </is>
      </c>
      <c r="G164" s="96" t="inlineStr">
        <is>
          <t>Calculée</t>
        </is>
      </c>
      <c r="H164" s="67" t="inlineStr">
        <is>
          <t>—</t>
        </is>
      </c>
      <c r="I164" s="68" t="inlineStr">
        <is>
          <t>—</t>
        </is>
      </c>
      <c r="J164" s="68" t="inlineStr">
        <is>
          <t>—</t>
        </is>
      </c>
      <c r="K164" s="67" t="inlineStr">
        <is>
          <t>●</t>
        </is>
      </c>
      <c r="L164" s="67" t="inlineStr">
        <is>
          <t>●</t>
        </is>
      </c>
      <c r="M164" s="67" t="inlineStr">
        <is>
          <t>●</t>
        </is>
      </c>
      <c r="N164" s="67" t="inlineStr">
        <is>
          <t>●</t>
        </is>
      </c>
      <c r="O164" s="67" t="inlineStr">
        <is>
          <t>●</t>
        </is>
      </c>
      <c r="P164" s="67" t="inlineStr">
        <is>
          <t>●</t>
        </is>
      </c>
      <c r="Q164" s="67" t="inlineStr">
        <is>
          <t>●</t>
        </is>
      </c>
      <c r="R164" s="67" t="inlineStr">
        <is>
          <t>●</t>
        </is>
      </c>
      <c r="S164" s="68" t="inlineStr">
        <is>
          <t>Mesure</t>
        </is>
      </c>
      <c r="T164" s="68" t="inlineStr">
        <is>
          <t>Somme des mensualités, puis × 12</t>
        </is>
      </c>
      <c r="U164" s="68" t="inlineStr">
        <is>
          <t>FIN-22.01</t>
        </is>
      </c>
      <c r="V164" s="68" t="inlineStr">
        <is>
          <t>FIN-22.05, XF04, XF38</t>
        </is>
      </c>
      <c r="W164" s="83" t="n"/>
    </row>
    <row r="165" ht="35.05" customHeight="1" s="53">
      <c r="A165" s="81" t="inlineStr">
        <is>
          <t>FIN-22.04</t>
        </is>
      </c>
      <c r="B165" s="67" t="inlineStr">
        <is>
          <t>FIN-22</t>
        </is>
      </c>
      <c r="C165" s="95">
        <f>IFERROR(INDEX(Thèmes!$D$2:$D$190,MATCH(B165,Thèmes!$A$2:$A$190,0)),"")</f>
        <v/>
      </c>
      <c r="D165" s="68" t="inlineStr">
        <is>
          <t>—</t>
        </is>
      </c>
      <c r="E165" s="68" t="inlineStr">
        <is>
          <t>Capital restant dû total</t>
        </is>
      </c>
      <c r="F165" s="68" t="inlineStr">
        <is>
          <t>€</t>
        </is>
      </c>
      <c r="G165" s="96" t="inlineStr">
        <is>
          <t>Calculée</t>
        </is>
      </c>
      <c r="H165" s="67" t="inlineStr">
        <is>
          <t>—</t>
        </is>
      </c>
      <c r="I165" s="68" t="inlineStr">
        <is>
          <t>—</t>
        </is>
      </c>
      <c r="J165" s="68" t="inlineStr">
        <is>
          <t>—</t>
        </is>
      </c>
      <c r="K165" s="67" t="inlineStr">
        <is>
          <t>●</t>
        </is>
      </c>
      <c r="L165" s="67" t="inlineStr">
        <is>
          <t>●</t>
        </is>
      </c>
      <c r="M165" s="67" t="inlineStr">
        <is>
          <t>●</t>
        </is>
      </c>
      <c r="N165" s="67" t="inlineStr">
        <is>
          <t>●</t>
        </is>
      </c>
      <c r="O165" s="67" t="inlineStr">
        <is>
          <t>●</t>
        </is>
      </c>
      <c r="P165" s="67" t="inlineStr">
        <is>
          <t>●</t>
        </is>
      </c>
      <c r="Q165" s="67" t="inlineStr">
        <is>
          <t>●</t>
        </is>
      </c>
      <c r="R165" s="67" t="inlineStr">
        <is>
          <t>●</t>
        </is>
      </c>
      <c r="S165" s="68" t="inlineStr">
        <is>
          <t>Risque</t>
        </is>
      </c>
      <c r="T165" s="68" t="inlineStr">
        <is>
          <t>Somme du capital restant</t>
        </is>
      </c>
      <c r="U165" s="68" t="inlineStr">
        <is>
          <t>FIN-22.01</t>
        </is>
      </c>
      <c r="V165" s="68" t="inlineStr">
        <is>
          <t>Affichée dans le rapport</t>
        </is>
      </c>
      <c r="W165" s="83" t="n"/>
    </row>
    <row r="166" ht="23.85" customHeight="1" s="53">
      <c r="A166" s="81" t="inlineStr">
        <is>
          <t>FIN-22.05</t>
        </is>
      </c>
      <c r="B166" s="67" t="inlineStr">
        <is>
          <t>FIN-22</t>
        </is>
      </c>
      <c r="C166" s="95">
        <f>IFERROR(INDEX(Thèmes!$D$2:$D$190,MATCH(B166,Thèmes!$A$2:$A$190,0)),"")</f>
        <v/>
      </c>
      <c r="D166" s="68" t="inlineStr">
        <is>
          <t>—</t>
        </is>
      </c>
      <c r="E166" s="68" t="inlineStr">
        <is>
          <t>Mensualités en % du CA et en % de la marge</t>
        </is>
      </c>
      <c r="F166" s="68" t="inlineStr">
        <is>
          <t>%</t>
        </is>
      </c>
      <c r="G166" s="96" t="inlineStr">
        <is>
          <t>Calculée</t>
        </is>
      </c>
      <c r="H166" s="67" t="inlineStr">
        <is>
          <t>—</t>
        </is>
      </c>
      <c r="I166" s="68" t="inlineStr">
        <is>
          <t>—</t>
        </is>
      </c>
      <c r="J166" s="68" t="inlineStr">
        <is>
          <t>—</t>
        </is>
      </c>
      <c r="K166" s="67" t="inlineStr">
        <is>
          <t>●</t>
        </is>
      </c>
      <c r="L166" s="67" t="inlineStr">
        <is>
          <t>●</t>
        </is>
      </c>
      <c r="M166" s="67" t="inlineStr">
        <is>
          <t>●</t>
        </is>
      </c>
      <c r="N166" s="67" t="inlineStr">
        <is>
          <t>●</t>
        </is>
      </c>
      <c r="O166" s="67" t="inlineStr">
        <is>
          <t>●</t>
        </is>
      </c>
      <c r="P166" s="67" t="inlineStr">
        <is>
          <t>●</t>
        </is>
      </c>
      <c r="Q166" s="67" t="inlineStr">
        <is>
          <t>●</t>
        </is>
      </c>
      <c r="R166" s="67" t="inlineStr">
        <is>
          <t>●</t>
        </is>
      </c>
      <c r="S166" s="68" t="inlineStr">
        <is>
          <t>Risque</t>
        </is>
      </c>
      <c r="T166" s="68" t="inlineStr">
        <is>
          <t>Mensualités ÷ CA mensuel, et ÷ (CA × taux de marge)</t>
        </is>
      </c>
      <c r="U166" s="68" t="inlineStr">
        <is>
          <t>FIN-22.03, Inscription · CA mensuel, FIN-06.08</t>
        </is>
      </c>
      <c r="V166" s="68" t="inlineStr">
        <is>
          <t>XF27</t>
        </is>
      </c>
      <c r="W166" s="83" t="n"/>
    </row>
    <row r="167" ht="35.05" customHeight="1" s="53">
      <c r="A167" s="81" t="inlineStr">
        <is>
          <t>FIN-22.06</t>
        </is>
      </c>
      <c r="B167" s="67" t="inlineStr">
        <is>
          <t>FIN-22</t>
        </is>
      </c>
      <c r="C167" s="95">
        <f>IFERROR(INDEX(Thèmes!$D$2:$D$190,MATCH(B167,Thèmes!$A$2:$A$190,0)),"")</f>
        <v/>
      </c>
      <c r="D167" s="68" t="inlineStr">
        <is>
          <t>—</t>
        </is>
      </c>
      <c r="E167" s="68" t="inlineStr">
        <is>
          <t>Mensualités libérées dans les 12 prochains mois</t>
        </is>
      </c>
      <c r="F167" s="68" t="inlineStr">
        <is>
          <t>€ et mois</t>
        </is>
      </c>
      <c r="G167" s="96" t="inlineStr">
        <is>
          <t>Calculée</t>
        </is>
      </c>
      <c r="H167" s="67" t="inlineStr">
        <is>
          <t>—</t>
        </is>
      </c>
      <c r="I167" s="68" t="inlineStr">
        <is>
          <t>—</t>
        </is>
      </c>
      <c r="J167" s="68" t="inlineStr">
        <is>
          <t>—</t>
        </is>
      </c>
      <c r="K167" s="67" t="inlineStr">
        <is>
          <t>●</t>
        </is>
      </c>
      <c r="L167" s="67" t="inlineStr">
        <is>
          <t>●</t>
        </is>
      </c>
      <c r="M167" s="67" t="inlineStr">
        <is>
          <t>●</t>
        </is>
      </c>
      <c r="N167" s="67" t="inlineStr">
        <is>
          <t>●</t>
        </is>
      </c>
      <c r="O167" s="67" t="inlineStr">
        <is>
          <t>●</t>
        </is>
      </c>
      <c r="P167" s="67" t="inlineStr">
        <is>
          <t>●</t>
        </is>
      </c>
      <c r="Q167" s="67" t="inlineStr">
        <is>
          <t>●</t>
        </is>
      </c>
      <c r="R167" s="67" t="inlineStr">
        <is>
          <t>●</t>
        </is>
      </c>
      <c r="S167" s="68" t="inlineStr">
        <is>
          <t>Opportunité</t>
        </is>
      </c>
      <c r="T167" s="68" t="inlineStr">
        <is>
          <t>Crédits dont la date de fin tombe dans l'année</t>
        </is>
      </c>
      <c r="U167" s="68" t="inlineStr">
        <is>
          <t>FIN-22.01</t>
        </is>
      </c>
      <c r="V167" s="68" t="inlineStr">
        <is>
          <t>XF27</t>
        </is>
      </c>
      <c r="W167" s="83" t="n"/>
    </row>
    <row r="168" ht="23.85" customHeight="1" s="53">
      <c r="A168" s="85" t="inlineStr">
        <is>
          <t>FIN-23.01</t>
        </is>
      </c>
      <c r="B168" s="89" t="inlineStr">
        <is>
          <t>FIN-23</t>
        </is>
      </c>
      <c r="C168" s="97">
        <f>IFERROR(INDEX(Thèmes!$D$2:$D$190,MATCH(B168,Thèmes!$A$2:$A$190,0)),"")</f>
        <v/>
      </c>
      <c r="D168" s="86" t="inlineStr">
        <is>
          <t>F18 · Votre investissement (prévu et constaté)</t>
        </is>
      </c>
      <c r="E168" s="86" t="inlineStr">
        <is>
          <t>Financement de votre investissement principal : trésorerie, prêt, leasing, apport, subvention, paiement échelonné — et part payée en trésorerie</t>
        </is>
      </c>
      <c r="F168" s="86" t="inlineStr">
        <is>
          <t>Choix + %</t>
        </is>
      </c>
      <c r="G168" s="89" t="inlineStr">
        <is>
          <t>Demandée</t>
        </is>
      </c>
      <c r="H168" s="89" t="inlineStr">
        <is>
          <t>Essentiel</t>
        </is>
      </c>
      <c r="I168" s="100" t="inlineStr">
        <is>
          <t>D12 · si investissement prévu ou récent</t>
        </is>
      </c>
      <c r="J168" s="86" t="inlineStr">
        <is>
          <t>—</t>
        </is>
      </c>
      <c r="K168" s="89" t="inlineStr">
        <is>
          <t>●</t>
        </is>
      </c>
      <c r="L168" s="89" t="inlineStr">
        <is>
          <t>●</t>
        </is>
      </c>
      <c r="M168" s="89" t="inlineStr">
        <is>
          <t>●</t>
        </is>
      </c>
      <c r="N168" s="89" t="inlineStr">
        <is>
          <t>●</t>
        </is>
      </c>
      <c r="O168" s="89" t="inlineStr">
        <is>
          <t>●</t>
        </is>
      </c>
      <c r="P168" s="89" t="inlineStr">
        <is>
          <t>●</t>
        </is>
      </c>
      <c r="Q168" s="89" t="inlineStr">
        <is>
          <t>●</t>
        </is>
      </c>
      <c r="R168" s="89" t="inlineStr">
        <is>
          <t>●</t>
        </is>
      </c>
      <c r="S168" s="86" t="inlineStr">
        <is>
          <t>Risque</t>
        </is>
      </c>
      <c r="T168" s="86" t="inlineStr">
        <is>
          <t>—</t>
        </is>
      </c>
      <c r="U168" s="86" t="inlineStr">
        <is>
          <t>—</t>
        </is>
      </c>
      <c r="V168" s="86" t="inlineStr">
        <is>
          <t>FIN-23.02</t>
        </is>
      </c>
      <c r="W168" s="91" t="n"/>
    </row>
    <row r="169" ht="23.85" customHeight="1" s="53">
      <c r="A169" s="81" t="inlineStr">
        <is>
          <t>FIN-23.02</t>
        </is>
      </c>
      <c r="B169" s="67" t="inlineStr">
        <is>
          <t>FIN-23</t>
        </is>
      </c>
      <c r="C169" s="95">
        <f>IFERROR(INDEX(Thèmes!$D$2:$D$190,MATCH(B169,Thèmes!$A$2:$A$190,0)),"")</f>
        <v/>
      </c>
      <c r="D169" s="68" t="inlineStr">
        <is>
          <t>—</t>
        </is>
      </c>
      <c r="E169" s="68" t="inlineStr">
        <is>
          <t>Effet du financement sur la trésorerie</t>
        </is>
      </c>
      <c r="F169" s="68" t="inlineStr">
        <is>
          <t>Mois</t>
        </is>
      </c>
      <c r="G169" s="96" t="inlineStr">
        <is>
          <t>Calculée</t>
        </is>
      </c>
      <c r="H169" s="67" t="inlineStr">
        <is>
          <t>—</t>
        </is>
      </c>
      <c r="I169" s="68" t="inlineStr">
        <is>
          <t>—</t>
        </is>
      </c>
      <c r="J169" s="68" t="inlineStr">
        <is>
          <t>—</t>
        </is>
      </c>
      <c r="K169" s="67" t="inlineStr">
        <is>
          <t>●</t>
        </is>
      </c>
      <c r="L169" s="67" t="inlineStr">
        <is>
          <t>●</t>
        </is>
      </c>
      <c r="M169" s="67" t="inlineStr">
        <is>
          <t>●</t>
        </is>
      </c>
      <c r="N169" s="67" t="inlineStr">
        <is>
          <t>●</t>
        </is>
      </c>
      <c r="O169" s="67" t="inlineStr">
        <is>
          <t>●</t>
        </is>
      </c>
      <c r="P169" s="67" t="inlineStr">
        <is>
          <t>●</t>
        </is>
      </c>
      <c r="Q169" s="67" t="inlineStr">
        <is>
          <t>●</t>
        </is>
      </c>
      <c r="R169" s="67" t="inlineStr">
        <is>
          <t>●</t>
        </is>
      </c>
      <c r="S169" s="68" t="inlineStr">
        <is>
          <t>Risque</t>
        </is>
      </c>
      <c r="T169" s="68" t="inlineStr">
        <is>
          <t>Mois de charges couverts avant et après la part payée en trésorerie</t>
        </is>
      </c>
      <c r="U169" s="68" t="inlineStr">
        <is>
          <t>FIN-23.01, FIN-25.01, FIN-11.04, FIN-05.08</t>
        </is>
      </c>
      <c r="V169" s="68" t="inlineStr">
        <is>
          <t>XF30</t>
        </is>
      </c>
      <c r="W169" s="83" t="n"/>
    </row>
    <row r="170" ht="23.85" customHeight="1" s="53">
      <c r="A170" s="85" t="inlineStr">
        <is>
          <t>FIN-24.01</t>
        </is>
      </c>
      <c r="B170" s="89" t="inlineStr">
        <is>
          <t>FIN-24</t>
        </is>
      </c>
      <c r="C170" s="97">
        <f>IFERROR(INDEX(Thèmes!$D$2:$D$190,MATCH(B170,Thèmes!$A$2:$A$190,0)),"")</f>
        <v/>
      </c>
      <c r="D170" s="86" t="inlineStr">
        <is>
          <t>F17 · Votre découvert</t>
        </is>
      </c>
      <c r="E170" s="86" t="inlineStr">
        <is>
          <t>Jours de découvert par mois, en moyenne sur 12 mois</t>
        </is>
      </c>
      <c r="F170" s="86" t="inlineStr">
        <is>
          <t>Jours</t>
        </is>
      </c>
      <c r="G170" s="89" t="inlineStr">
        <is>
          <t>Demandée</t>
        </is>
      </c>
      <c r="H170" s="89" t="inlineStr">
        <is>
          <t>Essentiel</t>
        </is>
      </c>
      <c r="I170" s="100" t="inlineStr">
        <is>
          <t>D11 · si découvert sur la période</t>
        </is>
      </c>
      <c r="J170" s="86" t="inlineStr">
        <is>
          <t>Période adaptée : depuis la création si moins de 12 mois</t>
        </is>
      </c>
      <c r="K170" s="89" t="inlineStr">
        <is>
          <t>●</t>
        </is>
      </c>
      <c r="L170" s="89" t="inlineStr">
        <is>
          <t>●</t>
        </is>
      </c>
      <c r="M170" s="89" t="inlineStr">
        <is>
          <t>●</t>
        </is>
      </c>
      <c r="N170" s="89" t="inlineStr">
        <is>
          <t>●</t>
        </is>
      </c>
      <c r="O170" s="89" t="inlineStr">
        <is>
          <t>●</t>
        </is>
      </c>
      <c r="P170" s="89" t="inlineStr">
        <is>
          <t>●</t>
        </is>
      </c>
      <c r="Q170" s="89" t="inlineStr">
        <is>
          <t>●</t>
        </is>
      </c>
      <c r="R170" s="89" t="inlineStr">
        <is>
          <t>●</t>
        </is>
      </c>
      <c r="S170" s="86" t="inlineStr">
        <is>
          <t>Problème</t>
        </is>
      </c>
      <c r="T170" s="86" t="inlineStr">
        <is>
          <t>—</t>
        </is>
      </c>
      <c r="U170" s="86" t="inlineStr">
        <is>
          <t>—</t>
        </is>
      </c>
      <c r="V170" s="86" t="inlineStr">
        <is>
          <t>FIN-24.06</t>
        </is>
      </c>
      <c r="W170" s="91" t="n"/>
    </row>
    <row r="171" ht="35.05" customHeight="1" s="53">
      <c r="A171" s="81" t="inlineStr">
        <is>
          <t>FIN-24.02</t>
        </is>
      </c>
      <c r="B171" s="67" t="inlineStr">
        <is>
          <t>FIN-24</t>
        </is>
      </c>
      <c r="C171" s="95">
        <f>IFERROR(INDEX(Thèmes!$D$2:$D$190,MATCH(B171,Thèmes!$A$2:$A$190,0)),"")</f>
        <v/>
      </c>
      <c r="D171" s="68" t="inlineStr">
        <is>
          <t>F17 · Votre découvert</t>
        </is>
      </c>
      <c r="E171" s="68" t="inlineStr">
        <is>
          <t>Montant moyen et montant maximal du découvert</t>
        </is>
      </c>
      <c r="F171" s="68" t="inlineStr">
        <is>
          <t>€ (2 colonnes)</t>
        </is>
      </c>
      <c r="G171" s="67" t="inlineStr">
        <is>
          <t>Demandée</t>
        </is>
      </c>
      <c r="H171" s="67" t="inlineStr">
        <is>
          <t>Essentiel</t>
        </is>
      </c>
      <c r="I171" s="99" t="inlineStr">
        <is>
          <t>D11 · si découvert sur la période</t>
        </is>
      </c>
      <c r="J171" s="68" t="inlineStr">
        <is>
          <t>—</t>
        </is>
      </c>
      <c r="K171" s="67" t="inlineStr">
        <is>
          <t>●</t>
        </is>
      </c>
      <c r="L171" s="67" t="inlineStr">
        <is>
          <t>●</t>
        </is>
      </c>
      <c r="M171" s="67" t="inlineStr">
        <is>
          <t>●</t>
        </is>
      </c>
      <c r="N171" s="67" t="inlineStr">
        <is>
          <t>●</t>
        </is>
      </c>
      <c r="O171" s="67" t="inlineStr">
        <is>
          <t>●</t>
        </is>
      </c>
      <c r="P171" s="67" t="inlineStr">
        <is>
          <t>●</t>
        </is>
      </c>
      <c r="Q171" s="67" t="inlineStr">
        <is>
          <t>●</t>
        </is>
      </c>
      <c r="R171" s="67" t="inlineStr">
        <is>
          <t>●</t>
        </is>
      </c>
      <c r="S171" s="68" t="inlineStr">
        <is>
          <t>Risque</t>
        </is>
      </c>
      <c r="T171" s="68" t="inlineStr">
        <is>
          <t>—</t>
        </is>
      </c>
      <c r="U171" s="68" t="inlineStr">
        <is>
          <t>—</t>
        </is>
      </c>
      <c r="V171" s="68" t="inlineStr">
        <is>
          <t>FIN-24.08</t>
        </is>
      </c>
      <c r="W171" s="83" t="n"/>
    </row>
    <row r="172" ht="23.85" customHeight="1" s="53">
      <c r="A172" s="81" t="inlineStr">
        <is>
          <t>FIN-24.03</t>
        </is>
      </c>
      <c r="B172" s="67" t="inlineStr">
        <is>
          <t>FIN-24</t>
        </is>
      </c>
      <c r="C172" s="95">
        <f>IFERROR(INDEX(Thèmes!$D$2:$D$190,MATCH(B172,Thèmes!$A$2:$A$190,0)),"")</f>
        <v/>
      </c>
      <c r="D172" s="68" t="inlineStr">
        <is>
          <t>F17 · Votre découvert</t>
        </is>
      </c>
      <c r="E172" s="68" t="inlineStr">
        <is>
          <t>Agios et frais de découvert par mois</t>
        </is>
      </c>
      <c r="F172" s="68" t="inlineStr">
        <is>
          <t>€</t>
        </is>
      </c>
      <c r="G172" s="67" t="inlineStr">
        <is>
          <t>Demandée</t>
        </is>
      </c>
      <c r="H172" s="67" t="inlineStr">
        <is>
          <t>Essentiel</t>
        </is>
      </c>
      <c r="I172" s="99" t="inlineStr">
        <is>
          <t>D11 · si découvert sur la période</t>
        </is>
      </c>
      <c r="J172" s="68" t="inlineStr">
        <is>
          <t>—</t>
        </is>
      </c>
      <c r="K172" s="67" t="inlineStr">
        <is>
          <t>●</t>
        </is>
      </c>
      <c r="L172" s="67" t="inlineStr">
        <is>
          <t>●</t>
        </is>
      </c>
      <c r="M172" s="67" t="inlineStr">
        <is>
          <t>●</t>
        </is>
      </c>
      <c r="N172" s="67" t="inlineStr">
        <is>
          <t>●</t>
        </is>
      </c>
      <c r="O172" s="67" t="inlineStr">
        <is>
          <t>●</t>
        </is>
      </c>
      <c r="P172" s="67" t="inlineStr">
        <is>
          <t>●</t>
        </is>
      </c>
      <c r="Q172" s="67" t="inlineStr">
        <is>
          <t>●</t>
        </is>
      </c>
      <c r="R172" s="67" t="inlineStr">
        <is>
          <t>●</t>
        </is>
      </c>
      <c r="S172" s="68" t="inlineStr">
        <is>
          <t>Perte</t>
        </is>
      </c>
      <c r="T172" s="68" t="inlineStr">
        <is>
          <t>—</t>
        </is>
      </c>
      <c r="U172" s="68" t="inlineStr">
        <is>
          <t>—</t>
        </is>
      </c>
      <c r="V172" s="68" t="inlineStr">
        <is>
          <t>FIN-24.07</t>
        </is>
      </c>
      <c r="W172" s="83" t="n"/>
    </row>
    <row r="173" ht="23.85" customHeight="1" s="53">
      <c r="A173" s="94" t="inlineStr">
        <is>
          <t>FIN-24.04</t>
        </is>
      </c>
      <c r="B173" s="67" t="inlineStr">
        <is>
          <t>FIN-24</t>
        </is>
      </c>
      <c r="C173" s="95">
        <f>IFERROR(INDEX(Thèmes!$D$2:$D$190,MATCH(B173,Thèmes!$A$2:$A$190,0)),"")</f>
        <v/>
      </c>
      <c r="D173" s="68" t="inlineStr">
        <is>
          <t>F17 · Votre découvert</t>
        </is>
      </c>
      <c r="E173" s="68" t="inlineStr">
        <is>
          <t>Cause principale : client en retard, mois creux, gros achat, charges trop lourdes</t>
        </is>
      </c>
      <c r="F173" s="68" t="inlineStr">
        <is>
          <t>Choix</t>
        </is>
      </c>
      <c r="G173" s="67" t="inlineStr">
        <is>
          <t>Demandée</t>
        </is>
      </c>
      <c r="H173" s="67" t="inlineStr">
        <is>
          <t>Approfondi</t>
        </is>
      </c>
      <c r="I173" s="99" t="inlineStr">
        <is>
          <t>D11 · si découvert sur la période</t>
        </is>
      </c>
      <c r="J173" s="68" t="inlineStr">
        <is>
          <t>—</t>
        </is>
      </c>
      <c r="K173" s="67" t="inlineStr">
        <is>
          <t>●</t>
        </is>
      </c>
      <c r="L173" s="67" t="inlineStr">
        <is>
          <t>●</t>
        </is>
      </c>
      <c r="M173" s="67" t="inlineStr">
        <is>
          <t>●</t>
        </is>
      </c>
      <c r="N173" s="67" t="inlineStr">
        <is>
          <t>●</t>
        </is>
      </c>
      <c r="O173" s="67" t="inlineStr">
        <is>
          <t>●</t>
        </is>
      </c>
      <c r="P173" s="67" t="inlineStr">
        <is>
          <t>●</t>
        </is>
      </c>
      <c r="Q173" s="67" t="inlineStr">
        <is>
          <t>●</t>
        </is>
      </c>
      <c r="R173" s="67" t="inlineStr">
        <is>
          <t>●</t>
        </is>
      </c>
      <c r="S173" s="68" t="inlineStr">
        <is>
          <t>Levier</t>
        </is>
      </c>
      <c r="T173" s="68" t="inlineStr">
        <is>
          <t>—</t>
        </is>
      </c>
      <c r="U173" s="68" t="inlineStr">
        <is>
          <t>—</t>
        </is>
      </c>
      <c r="V173" s="68" t="inlineStr">
        <is>
          <t>XF28</t>
        </is>
      </c>
      <c r="W173" s="83" t="inlineStr">
        <is>
          <t>Niveau</t>
        </is>
      </c>
    </row>
    <row r="174" ht="23.85" customHeight="1" s="53">
      <c r="A174" s="94" t="inlineStr">
        <is>
          <t>FIN-24.05</t>
        </is>
      </c>
      <c r="B174" s="67" t="inlineStr">
        <is>
          <t>FIN-24</t>
        </is>
      </c>
      <c r="C174" s="95">
        <f>IFERROR(INDEX(Thèmes!$D$2:$D$190,MATCH(B174,Thèmes!$A$2:$A$190,0)),"")</f>
        <v/>
      </c>
      <c r="D174" s="68" t="inlineStr">
        <is>
          <t>F17 · Votre découvert</t>
        </is>
      </c>
      <c r="E174" s="68" t="inlineStr">
        <is>
          <t>Mois de l'année où l'entreprise est à découvert (le dernier mois sans découvert se déduit des réponses)</t>
        </is>
      </c>
      <c r="F174" s="68" t="inlineStr">
        <is>
          <t>Cases à cocher + mois</t>
        </is>
      </c>
      <c r="G174" s="67" t="inlineStr">
        <is>
          <t>Demandée</t>
        </is>
      </c>
      <c r="H174" s="67" t="inlineStr">
        <is>
          <t>Approfondi</t>
        </is>
      </c>
      <c r="I174" s="99" t="inlineStr">
        <is>
          <t>D11 · si découvert sur la période</t>
        </is>
      </c>
      <c r="J174" s="68" t="inlineStr">
        <is>
          <t>Période adaptée : depuis la création si moins de 12 mois</t>
        </is>
      </c>
      <c r="K174" s="67" t="inlineStr">
        <is>
          <t>●</t>
        </is>
      </c>
      <c r="L174" s="67" t="inlineStr">
        <is>
          <t>●</t>
        </is>
      </c>
      <c r="M174" s="67" t="inlineStr">
        <is>
          <t>●</t>
        </is>
      </c>
      <c r="N174" s="67" t="inlineStr">
        <is>
          <t>●</t>
        </is>
      </c>
      <c r="O174" s="67" t="inlineStr">
        <is>
          <t>●</t>
        </is>
      </c>
      <c r="P174" s="67" t="inlineStr">
        <is>
          <t>●</t>
        </is>
      </c>
      <c r="Q174" s="67" t="inlineStr">
        <is>
          <t>●</t>
        </is>
      </c>
      <c r="R174" s="67" t="inlineStr">
        <is>
          <t>●</t>
        </is>
      </c>
      <c r="S174" s="68" t="inlineStr">
        <is>
          <t>Problème</t>
        </is>
      </c>
      <c r="T174" s="68" t="inlineStr">
        <is>
          <t>—</t>
        </is>
      </c>
      <c r="U174" s="68" t="inlineStr">
        <is>
          <t>—</t>
        </is>
      </c>
      <c r="V174" s="68" t="inlineStr">
        <is>
          <t>FIN-24.06</t>
        </is>
      </c>
      <c r="W174" s="83" t="inlineStr">
        <is>
          <t>Libellé (« Donnée »)</t>
        </is>
      </c>
    </row>
    <row r="175" ht="46.25" customHeight="1" s="53">
      <c r="A175" s="81" t="inlineStr">
        <is>
          <t>FIN-24.06</t>
        </is>
      </c>
      <c r="B175" s="67" t="inlineStr">
        <is>
          <t>FIN-24</t>
        </is>
      </c>
      <c r="C175" s="95">
        <f>IFERROR(INDEX(Thèmes!$D$2:$D$190,MATCH(B175,Thèmes!$A$2:$A$190,0)),"")</f>
        <v/>
      </c>
      <c r="D175" s="68" t="inlineStr">
        <is>
          <t>—</t>
        </is>
      </c>
      <c r="E175" s="68" t="inlineStr">
        <is>
          <t>Découvert accidentel ou structurel</t>
        </is>
      </c>
      <c r="F175" s="68" t="inlineStr">
        <is>
          <t>Choix</t>
        </is>
      </c>
      <c r="G175" s="96" t="inlineStr">
        <is>
          <t>Calculée</t>
        </is>
      </c>
      <c r="H175" s="67" t="inlineStr">
        <is>
          <t>—</t>
        </is>
      </c>
      <c r="I175" s="68" t="inlineStr">
        <is>
          <t>—</t>
        </is>
      </c>
      <c r="J175" s="68" t="inlineStr">
        <is>
          <t>—</t>
        </is>
      </c>
      <c r="K175" s="67" t="inlineStr">
        <is>
          <t>●</t>
        </is>
      </c>
      <c r="L175" s="67" t="inlineStr">
        <is>
          <t>●</t>
        </is>
      </c>
      <c r="M175" s="67" t="inlineStr">
        <is>
          <t>●</t>
        </is>
      </c>
      <c r="N175" s="67" t="inlineStr">
        <is>
          <t>●</t>
        </is>
      </c>
      <c r="O175" s="67" t="inlineStr">
        <is>
          <t>●</t>
        </is>
      </c>
      <c r="P175" s="67" t="inlineStr">
        <is>
          <t>●</t>
        </is>
      </c>
      <c r="Q175" s="67" t="inlineStr">
        <is>
          <t>●</t>
        </is>
      </c>
      <c r="R175" s="67" t="inlineStr">
        <is>
          <t>●</t>
        </is>
      </c>
      <c r="S175" s="68" t="inlineStr">
        <is>
          <t>Risque</t>
        </is>
      </c>
      <c r="T175" s="68" t="inlineStr">
        <is>
          <t>Structurel si plus de 10 jours par mois sur plus de 6 mois de l'année</t>
        </is>
      </c>
      <c r="U175" s="68" t="inlineStr">
        <is>
          <t>FIN-24.01, FIN-24.05</t>
        </is>
      </c>
      <c r="V175" s="68" t="inlineStr">
        <is>
          <t>XF28</t>
        </is>
      </c>
      <c r="W175" s="83" t="n"/>
    </row>
    <row r="176" ht="23.85" customHeight="1" s="53">
      <c r="A176" s="81" t="inlineStr">
        <is>
          <t>FIN-24.07</t>
        </is>
      </c>
      <c r="B176" s="67" t="inlineStr">
        <is>
          <t>FIN-24</t>
        </is>
      </c>
      <c r="C176" s="95">
        <f>IFERROR(INDEX(Thèmes!$D$2:$D$190,MATCH(B176,Thèmes!$A$2:$A$190,0)),"")</f>
        <v/>
      </c>
      <c r="D176" s="68" t="inlineStr">
        <is>
          <t>—</t>
        </is>
      </c>
      <c r="E176" s="68" t="inlineStr">
        <is>
          <t>Coût annuel du découvert</t>
        </is>
      </c>
      <c r="F176" s="68" t="inlineStr">
        <is>
          <t>€</t>
        </is>
      </c>
      <c r="G176" s="96" t="inlineStr">
        <is>
          <t>Calculée</t>
        </is>
      </c>
      <c r="H176" s="67" t="inlineStr">
        <is>
          <t>—</t>
        </is>
      </c>
      <c r="I176" s="68" t="inlineStr">
        <is>
          <t>—</t>
        </is>
      </c>
      <c r="J176" s="68" t="inlineStr">
        <is>
          <t>—</t>
        </is>
      </c>
      <c r="K176" s="67" t="inlineStr">
        <is>
          <t>●</t>
        </is>
      </c>
      <c r="L176" s="67" t="inlineStr">
        <is>
          <t>●</t>
        </is>
      </c>
      <c r="M176" s="67" t="inlineStr">
        <is>
          <t>●</t>
        </is>
      </c>
      <c r="N176" s="67" t="inlineStr">
        <is>
          <t>●</t>
        </is>
      </c>
      <c r="O176" s="67" t="inlineStr">
        <is>
          <t>●</t>
        </is>
      </c>
      <c r="P176" s="67" t="inlineStr">
        <is>
          <t>●</t>
        </is>
      </c>
      <c r="Q176" s="67" t="inlineStr">
        <is>
          <t>●</t>
        </is>
      </c>
      <c r="R176" s="67" t="inlineStr">
        <is>
          <t>●</t>
        </is>
      </c>
      <c r="S176" s="68" t="inlineStr">
        <is>
          <t>Perte</t>
        </is>
      </c>
      <c r="T176" s="68" t="inlineStr">
        <is>
          <t>Agios × 12</t>
        </is>
      </c>
      <c r="U176" s="68" t="inlineStr">
        <is>
          <t>FIN-24.03</t>
        </is>
      </c>
      <c r="V176" s="68" t="inlineStr">
        <is>
          <t>XF26, XF28</t>
        </is>
      </c>
      <c r="W176" s="83" t="n"/>
    </row>
    <row r="177" ht="23.85" customHeight="1" s="53">
      <c r="A177" s="81" t="inlineStr">
        <is>
          <t>FIN-24.08</t>
        </is>
      </c>
      <c r="B177" s="67" t="inlineStr">
        <is>
          <t>FIN-24</t>
        </is>
      </c>
      <c r="C177" s="95">
        <f>IFERROR(INDEX(Thèmes!$D$2:$D$190,MATCH(B177,Thèmes!$A$2:$A$190,0)),"")</f>
        <v/>
      </c>
      <c r="D177" s="68" t="inlineStr">
        <is>
          <t>—</t>
        </is>
      </c>
      <c r="E177" s="68" t="inlineStr">
        <is>
          <t>Marge restante sous le découvert autorisé</t>
        </is>
      </c>
      <c r="F177" s="68" t="inlineStr">
        <is>
          <t>€</t>
        </is>
      </c>
      <c r="G177" s="96" t="inlineStr">
        <is>
          <t>Calculée</t>
        </is>
      </c>
      <c r="H177" s="67" t="inlineStr">
        <is>
          <t>—</t>
        </is>
      </c>
      <c r="I177" s="68" t="inlineStr">
        <is>
          <t>—</t>
        </is>
      </c>
      <c r="J177" s="68" t="inlineStr">
        <is>
          <t>—</t>
        </is>
      </c>
      <c r="K177" s="67" t="inlineStr">
        <is>
          <t>●</t>
        </is>
      </c>
      <c r="L177" s="67" t="inlineStr">
        <is>
          <t>●</t>
        </is>
      </c>
      <c r="M177" s="67" t="inlineStr">
        <is>
          <t>●</t>
        </is>
      </c>
      <c r="N177" s="67" t="inlineStr">
        <is>
          <t>●</t>
        </is>
      </c>
      <c r="O177" s="67" t="inlineStr">
        <is>
          <t>●</t>
        </is>
      </c>
      <c r="P177" s="67" t="inlineStr">
        <is>
          <t>●</t>
        </is>
      </c>
      <c r="Q177" s="67" t="inlineStr">
        <is>
          <t>●</t>
        </is>
      </c>
      <c r="R177" s="67" t="inlineStr">
        <is>
          <t>●</t>
        </is>
      </c>
      <c r="S177" s="68" t="inlineStr">
        <is>
          <t>Risque</t>
        </is>
      </c>
      <c r="T177" s="68" t="inlineStr">
        <is>
          <t>Découvert autorisé − découvert maximal</t>
        </is>
      </c>
      <c r="U177" s="68" t="inlineStr">
        <is>
          <t>FIN-11.03, FIN-24.02</t>
        </is>
      </c>
      <c r="V177" s="68" t="inlineStr">
        <is>
          <t>Affichée dans le rapport</t>
        </is>
      </c>
      <c r="W177" s="83" t="n"/>
    </row>
    <row r="178" ht="15" customHeight="1" s="53">
      <c r="A178" s="85" t="inlineStr">
        <is>
          <t>FIN-25.01</t>
        </is>
      </c>
      <c r="B178" s="89" t="inlineStr">
        <is>
          <t>FIN-25</t>
        </is>
      </c>
      <c r="C178" s="97">
        <f>IFERROR(INDEX(Thèmes!$D$2:$D$190,MATCH(B178,Thèmes!$A$2:$A$190,0)),"")</f>
        <v/>
      </c>
      <c r="D178" s="86" t="inlineStr">
        <is>
          <t>F18 · Votre investissement (prévu et constaté)</t>
        </is>
      </c>
      <c r="E178" s="86" t="inlineStr">
        <is>
          <t>Votre investissement principal (prévu ou des 24 derniers mois) : objet, prix d'achat, installation et frais annexes, coûts récurrents par mois, date de mise en service, durée d'utilisation prévue</t>
        </is>
      </c>
      <c r="F178" s="86" t="inlineStr">
        <is>
          <t>Tableau 1 × 6</t>
        </is>
      </c>
      <c r="G178" s="89" t="inlineStr">
        <is>
          <t>Demandée</t>
        </is>
      </c>
      <c r="H178" s="89" t="inlineStr">
        <is>
          <t>Essentiel</t>
        </is>
      </c>
      <c r="I178" s="100" t="inlineStr">
        <is>
          <t>D12 · si investissement prévu ou récent</t>
        </is>
      </c>
      <c r="J178" s="86" t="inlineStr">
        <is>
          <t>Investissements depuis la création si moins de 24 mois</t>
        </is>
      </c>
      <c r="K178" s="89" t="inlineStr">
        <is>
          <t>●</t>
        </is>
      </c>
      <c r="L178" s="89" t="inlineStr">
        <is>
          <t>●</t>
        </is>
      </c>
      <c r="M178" s="89" t="inlineStr">
        <is>
          <t>●</t>
        </is>
      </c>
      <c r="N178" s="89" t="inlineStr">
        <is>
          <t>●</t>
        </is>
      </c>
      <c r="O178" s="89" t="inlineStr">
        <is>
          <t>●</t>
        </is>
      </c>
      <c r="P178" s="89" t="inlineStr">
        <is>
          <t>●</t>
        </is>
      </c>
      <c r="Q178" s="89" t="inlineStr">
        <is>
          <t>●</t>
        </is>
      </c>
      <c r="R178" s="89" t="inlineStr">
        <is>
          <t>●</t>
        </is>
      </c>
      <c r="S178" s="86" t="inlineStr">
        <is>
          <t>Mesure</t>
        </is>
      </c>
      <c r="T178" s="86" t="inlineStr">
        <is>
          <t>—</t>
        </is>
      </c>
      <c r="U178" s="86" t="inlineStr">
        <is>
          <t>—</t>
        </is>
      </c>
      <c r="V178" s="86" t="inlineStr">
        <is>
          <t>FIN-23.02, FIN-26.01, FIN-26.02, FIN-27.02, FIN-28.03, FIN-28.05</t>
        </is>
      </c>
      <c r="W178" s="91" t="n"/>
    </row>
    <row r="179" ht="35.05" customHeight="1" s="53">
      <c r="A179" s="81" t="inlineStr">
        <is>
          <t>FIN-25.02</t>
        </is>
      </c>
      <c r="B179" s="67" t="inlineStr">
        <is>
          <t>FIN-25</t>
        </is>
      </c>
      <c r="C179" s="95">
        <f>IFERROR(INDEX(Thèmes!$D$2:$D$190,MATCH(B179,Thèmes!$A$2:$A$190,0)),"")</f>
        <v/>
      </c>
      <c r="D179" s="68" t="inlineStr">
        <is>
          <t>F18 · Votre investissement (prévu et constaté)</t>
        </is>
      </c>
      <c r="E179" s="68" t="inlineStr">
        <is>
          <t>Capacité supplémentaire créée (ventes ou dossiers en plus par mois)</t>
        </is>
      </c>
      <c r="F179" s="68" t="inlineStr">
        <is>
          <t>Nombre</t>
        </is>
      </c>
      <c r="G179" s="67" t="inlineStr">
        <is>
          <t>Demandée</t>
        </is>
      </c>
      <c r="H179" s="67" t="inlineStr">
        <is>
          <t>Approfondi</t>
        </is>
      </c>
      <c r="I179" s="99" t="inlineStr">
        <is>
          <t>D12 · si investissement prévu ou récent</t>
        </is>
      </c>
      <c r="J179" s="68" t="inlineStr">
        <is>
          <t>—</t>
        </is>
      </c>
      <c r="K179" s="67" t="inlineStr">
        <is>
          <t>●</t>
        </is>
      </c>
      <c r="L179" s="67" t="inlineStr">
        <is>
          <t>●</t>
        </is>
      </c>
      <c r="M179" s="67" t="inlineStr">
        <is>
          <t>●</t>
        </is>
      </c>
      <c r="N179" s="67" t="inlineStr">
        <is>
          <t>●</t>
        </is>
      </c>
      <c r="O179" s="67" t="inlineStr">
        <is>
          <t>●</t>
        </is>
      </c>
      <c r="P179" s="67" t="inlineStr">
        <is>
          <t>●</t>
        </is>
      </c>
      <c r="Q179" s="67" t="inlineStr">
        <is>
          <t>●</t>
        </is>
      </c>
      <c r="R179" s="67" t="inlineStr">
        <is>
          <t>●</t>
        </is>
      </c>
      <c r="S179" s="68" t="inlineStr">
        <is>
          <t>Capacité</t>
        </is>
      </c>
      <c r="T179" s="68" t="inlineStr">
        <is>
          <t>—</t>
        </is>
      </c>
      <c r="U179" s="68" t="inlineStr">
        <is>
          <t>—</t>
        </is>
      </c>
      <c r="V179" s="68" t="inlineStr">
        <is>
          <t>XF29</t>
        </is>
      </c>
      <c r="W179" s="83" t="n"/>
    </row>
    <row r="180" ht="35.05" customHeight="1" s="53">
      <c r="A180" s="85" t="inlineStr">
        <is>
          <t>FIN-26.01</t>
        </is>
      </c>
      <c r="B180" s="89" t="inlineStr">
        <is>
          <t>FIN-26</t>
        </is>
      </c>
      <c r="C180" s="97">
        <f>IFERROR(INDEX(Thèmes!$D$2:$D$190,MATCH(B180,Thèmes!$A$2:$A$190,0)),"")</f>
        <v/>
      </c>
      <c r="D180" s="86" t="inlineStr">
        <is>
          <t>—</t>
        </is>
      </c>
      <c r="E180" s="86" t="inlineStr">
        <is>
          <t>Coût total de l'investissement</t>
        </is>
      </c>
      <c r="F180" s="86" t="inlineStr">
        <is>
          <t>€</t>
        </is>
      </c>
      <c r="G180" s="102" t="inlineStr">
        <is>
          <t>Calculée</t>
        </is>
      </c>
      <c r="H180" s="89" t="inlineStr">
        <is>
          <t>—</t>
        </is>
      </c>
      <c r="I180" s="86" t="inlineStr">
        <is>
          <t>—</t>
        </is>
      </c>
      <c r="J180" s="86" t="inlineStr">
        <is>
          <t>—</t>
        </is>
      </c>
      <c r="K180" s="89" t="inlineStr">
        <is>
          <t>●</t>
        </is>
      </c>
      <c r="L180" s="89" t="inlineStr">
        <is>
          <t>●</t>
        </is>
      </c>
      <c r="M180" s="89" t="inlineStr">
        <is>
          <t>●</t>
        </is>
      </c>
      <c r="N180" s="89" t="inlineStr">
        <is>
          <t>●</t>
        </is>
      </c>
      <c r="O180" s="89" t="inlineStr">
        <is>
          <t>●</t>
        </is>
      </c>
      <c r="P180" s="89" t="inlineStr">
        <is>
          <t>●</t>
        </is>
      </c>
      <c r="Q180" s="89" t="inlineStr">
        <is>
          <t>●</t>
        </is>
      </c>
      <c r="R180" s="89" t="inlineStr">
        <is>
          <t>●</t>
        </is>
      </c>
      <c r="S180" s="86" t="inlineStr">
        <is>
          <t>Mesure</t>
        </is>
      </c>
      <c r="T180" s="86" t="inlineStr">
        <is>
          <t>Prix d'achat + installation et frais annexes</t>
        </is>
      </c>
      <c r="U180" s="86" t="inlineStr">
        <is>
          <t>FIN-25.01</t>
        </is>
      </c>
      <c r="V180" s="86" t="inlineStr">
        <is>
          <t>FIN-27.03, FIN-28.05, FIN-28.06, FIN-32.01, S06</t>
        </is>
      </c>
      <c r="W180" s="91" t="n"/>
    </row>
    <row r="181" ht="15" customHeight="1" s="53">
      <c r="A181" s="81" t="inlineStr">
        <is>
          <t>FIN-26.02</t>
        </is>
      </c>
      <c r="B181" s="67" t="inlineStr">
        <is>
          <t>FIN-26</t>
        </is>
      </c>
      <c r="C181" s="95">
        <f>IFERROR(INDEX(Thèmes!$D$2:$D$190,MATCH(B181,Thèmes!$A$2:$A$190,0)),"")</f>
        <v/>
      </c>
      <c r="D181" s="68" t="inlineStr">
        <is>
          <t>—</t>
        </is>
      </c>
      <c r="E181" s="68" t="inlineStr">
        <is>
          <t>Coûts récurrents créés, par an</t>
        </is>
      </c>
      <c r="F181" s="68" t="inlineStr">
        <is>
          <t>€</t>
        </is>
      </c>
      <c r="G181" s="96" t="inlineStr">
        <is>
          <t>Calculée</t>
        </is>
      </c>
      <c r="H181" s="67" t="inlineStr">
        <is>
          <t>—</t>
        </is>
      </c>
      <c r="I181" s="68" t="inlineStr">
        <is>
          <t>—</t>
        </is>
      </c>
      <c r="J181" s="68" t="inlineStr">
        <is>
          <t>—</t>
        </is>
      </c>
      <c r="K181" s="67" t="inlineStr">
        <is>
          <t>●</t>
        </is>
      </c>
      <c r="L181" s="67" t="inlineStr">
        <is>
          <t>●</t>
        </is>
      </c>
      <c r="M181" s="67" t="inlineStr">
        <is>
          <t>●</t>
        </is>
      </c>
      <c r="N181" s="67" t="inlineStr">
        <is>
          <t>●</t>
        </is>
      </c>
      <c r="O181" s="67" t="inlineStr">
        <is>
          <t>●</t>
        </is>
      </c>
      <c r="P181" s="67" t="inlineStr">
        <is>
          <t>●</t>
        </is>
      </c>
      <c r="Q181" s="67" t="inlineStr">
        <is>
          <t>●</t>
        </is>
      </c>
      <c r="R181" s="67" t="inlineStr">
        <is>
          <t>●</t>
        </is>
      </c>
      <c r="S181" s="68" t="inlineStr">
        <is>
          <t>Perte</t>
        </is>
      </c>
      <c r="T181" s="68" t="inlineStr">
        <is>
          <t>Coûts récurrents mensuels × 12</t>
        </is>
      </c>
      <c r="U181" s="68" t="inlineStr">
        <is>
          <t>FIN-25.01</t>
        </is>
      </c>
      <c r="V181" s="68" t="inlineStr">
        <is>
          <t>Affichée dans le rapport</t>
        </is>
      </c>
      <c r="W181" s="83" t="n"/>
    </row>
    <row r="182" ht="23.85" customHeight="1" s="53">
      <c r="A182" s="85" t="inlineStr">
        <is>
          <t>FIN-27.01</t>
        </is>
      </c>
      <c r="B182" s="89" t="inlineStr">
        <is>
          <t>FIN-27</t>
        </is>
      </c>
      <c r="C182" s="97">
        <f>IFERROR(INDEX(Thèmes!$D$2:$D$190,MATCH(B182,Thèmes!$A$2:$A$190,0)),"")</f>
        <v/>
      </c>
      <c r="D182" s="86" t="inlineStr">
        <is>
          <t>F18 · Votre investissement (prévu et constaté)</t>
        </is>
      </c>
      <c r="E182" s="86" t="inlineStr">
        <is>
          <t>Gain attendu par mois, en trois parts : CA supplémentaire, économies de charges, heures économisées</t>
        </is>
      </c>
      <c r="F182" s="86" t="inlineStr">
        <is>
          <t>3 valeurs</t>
        </is>
      </c>
      <c r="G182" s="89" t="inlineStr">
        <is>
          <t>Demandée</t>
        </is>
      </c>
      <c r="H182" s="89" t="inlineStr">
        <is>
          <t>Essentiel</t>
        </is>
      </c>
      <c r="I182" s="100" t="inlineStr">
        <is>
          <t>D12 · si investissement prévu ou récent</t>
        </is>
      </c>
      <c r="J182" s="86" t="inlineStr">
        <is>
          <t>—</t>
        </is>
      </c>
      <c r="K182" s="89" t="inlineStr">
        <is>
          <t>●</t>
        </is>
      </c>
      <c r="L182" s="89" t="inlineStr">
        <is>
          <t>●</t>
        </is>
      </c>
      <c r="M182" s="89" t="inlineStr">
        <is>
          <t>●</t>
        </is>
      </c>
      <c r="N182" s="89" t="inlineStr">
        <is>
          <t>●</t>
        </is>
      </c>
      <c r="O182" s="89" t="inlineStr">
        <is>
          <t>●</t>
        </is>
      </c>
      <c r="P182" s="89" t="inlineStr">
        <is>
          <t>●</t>
        </is>
      </c>
      <c r="Q182" s="89" t="inlineStr">
        <is>
          <t>●</t>
        </is>
      </c>
      <c r="R182" s="89" t="inlineStr">
        <is>
          <t>●</t>
        </is>
      </c>
      <c r="S182" s="86" t="inlineStr">
        <is>
          <t>Mesure</t>
        </is>
      </c>
      <c r="T182" s="86" t="inlineStr">
        <is>
          <t>—</t>
        </is>
      </c>
      <c r="U182" s="86" t="inlineStr">
        <is>
          <t>—</t>
        </is>
      </c>
      <c r="V182" s="86" t="inlineStr">
        <is>
          <t>FIN-27.02</t>
        </is>
      </c>
      <c r="W182" s="91" t="n"/>
    </row>
    <row r="183" ht="23.85" customHeight="1" s="53">
      <c r="A183" s="81" t="inlineStr">
        <is>
          <t>FIN-27.02</t>
        </is>
      </c>
      <c r="B183" s="67" t="inlineStr">
        <is>
          <t>FIN-27</t>
        </is>
      </c>
      <c r="C183" s="95">
        <f>IFERROR(INDEX(Thèmes!$D$2:$D$190,MATCH(B183,Thèmes!$A$2:$A$190,0)),"")</f>
        <v/>
      </c>
      <c r="D183" s="68" t="inlineStr">
        <is>
          <t>—</t>
        </is>
      </c>
      <c r="E183" s="68" t="inlineStr">
        <is>
          <t>Gain financier réel attendu par mois (et non le CA)</t>
        </is>
      </c>
      <c r="F183" s="68" t="inlineStr">
        <is>
          <t>€</t>
        </is>
      </c>
      <c r="G183" s="96" t="inlineStr">
        <is>
          <t>Calculée</t>
        </is>
      </c>
      <c r="H183" s="67" t="inlineStr">
        <is>
          <t>—</t>
        </is>
      </c>
      <c r="I183" s="68" t="inlineStr">
        <is>
          <t>—</t>
        </is>
      </c>
      <c r="J183" s="68" t="inlineStr">
        <is>
          <t>—</t>
        </is>
      </c>
      <c r="K183" s="67" t="inlineStr">
        <is>
          <t>●</t>
        </is>
      </c>
      <c r="L183" s="67" t="inlineStr">
        <is>
          <t>●</t>
        </is>
      </c>
      <c r="M183" s="67" t="inlineStr">
        <is>
          <t>●</t>
        </is>
      </c>
      <c r="N183" s="67" t="inlineStr">
        <is>
          <t>●</t>
        </is>
      </c>
      <c r="O183" s="67" t="inlineStr">
        <is>
          <t>●</t>
        </is>
      </c>
      <c r="P183" s="67" t="inlineStr">
        <is>
          <t>●</t>
        </is>
      </c>
      <c r="Q183" s="67" t="inlineStr">
        <is>
          <t>●</t>
        </is>
      </c>
      <c r="R183" s="67" t="n"/>
      <c r="S183" s="68" t="inlineStr">
        <is>
          <t>Mesure</t>
        </is>
      </c>
      <c r="T183" s="68" t="inlineStr">
        <is>
          <t>CA supplémentaire × taux de marge + économies + heures économisées × coût d'une heure − coûts récurrents</t>
        </is>
      </c>
      <c r="U183" s="68" t="inlineStr">
        <is>
          <t>FIN-27.01, FIN-06.08, FIN-07.12, FIN-25.01</t>
        </is>
      </c>
      <c r="V183" s="68" t="inlineStr">
        <is>
          <t>FIN-27.03, FIN-28.04</t>
        </is>
      </c>
      <c r="W183" s="83" t="n"/>
    </row>
    <row r="184" ht="23.85" customHeight="1" s="53">
      <c r="A184" s="81" t="inlineStr">
        <is>
          <t>FIN-27.03</t>
        </is>
      </c>
      <c r="B184" s="67" t="inlineStr">
        <is>
          <t>FIN-27</t>
        </is>
      </c>
      <c r="C184" s="95">
        <f>IFERROR(INDEX(Thèmes!$D$2:$D$190,MATCH(B184,Thèmes!$A$2:$A$190,0)),"")</f>
        <v/>
      </c>
      <c r="D184" s="68" t="inlineStr">
        <is>
          <t>—</t>
        </is>
      </c>
      <c r="E184" s="68" t="inlineStr">
        <is>
          <t>Délai de remboursement prévu</t>
        </is>
      </c>
      <c r="F184" s="68" t="inlineStr">
        <is>
          <t>Mois</t>
        </is>
      </c>
      <c r="G184" s="96" t="inlineStr">
        <is>
          <t>Calculée</t>
        </is>
      </c>
      <c r="H184" s="67" t="inlineStr">
        <is>
          <t>—</t>
        </is>
      </c>
      <c r="I184" s="68" t="inlineStr">
        <is>
          <t>—</t>
        </is>
      </c>
      <c r="J184" s="68" t="inlineStr">
        <is>
          <t>—</t>
        </is>
      </c>
      <c r="K184" s="67" t="inlineStr">
        <is>
          <t>●</t>
        </is>
      </c>
      <c r="L184" s="67" t="inlineStr">
        <is>
          <t>●</t>
        </is>
      </c>
      <c r="M184" s="67" t="inlineStr">
        <is>
          <t>●</t>
        </is>
      </c>
      <c r="N184" s="67" t="inlineStr">
        <is>
          <t>●</t>
        </is>
      </c>
      <c r="O184" s="67" t="inlineStr">
        <is>
          <t>●</t>
        </is>
      </c>
      <c r="P184" s="67" t="inlineStr">
        <is>
          <t>●</t>
        </is>
      </c>
      <c r="Q184" s="67" t="inlineStr">
        <is>
          <t>●</t>
        </is>
      </c>
      <c r="R184" s="67" t="n"/>
      <c r="S184" s="68" t="inlineStr">
        <is>
          <t>Cible</t>
        </is>
      </c>
      <c r="T184" s="68" t="inlineStr">
        <is>
          <t>Coût total ÷ gain financier attendu par mois</t>
        </is>
      </c>
      <c r="U184" s="68" t="inlineStr">
        <is>
          <t>FIN-26.01, FIN-27.02</t>
        </is>
      </c>
      <c r="V184" s="68" t="inlineStr">
        <is>
          <t>XF29</t>
        </is>
      </c>
      <c r="W184" s="83" t="n"/>
    </row>
    <row r="185" ht="15" customHeight="1" s="53">
      <c r="A185" s="85" t="inlineStr">
        <is>
          <t>FIN-28.01</t>
        </is>
      </c>
      <c r="B185" s="89" t="inlineStr">
        <is>
          <t>FIN-28</t>
        </is>
      </c>
      <c r="C185" s="97">
        <f>IFERROR(INDEX(Thèmes!$D$2:$D$190,MATCH(B185,Thèmes!$A$2:$A$190,0)),"")</f>
        <v/>
      </c>
      <c r="D185" s="86" t="inlineStr">
        <is>
          <t>F18 · Votre investissement (prévu et constaté)</t>
        </is>
      </c>
      <c r="E185" s="86" t="inlineStr">
        <is>
          <t>Gain constaté par mois depuis la mise en service, mêmes trois parts</t>
        </is>
      </c>
      <c r="F185" s="86" t="inlineStr">
        <is>
          <t>3 valeurs</t>
        </is>
      </c>
      <c r="G185" s="89" t="inlineStr">
        <is>
          <t>Demandée</t>
        </is>
      </c>
      <c r="H185" s="89" t="inlineStr">
        <is>
          <t>Essentiel</t>
        </is>
      </c>
      <c r="I185" s="100" t="inlineStr">
        <is>
          <t>D12 · si investissement déjà en service</t>
        </is>
      </c>
      <c r="J185" s="86" t="inlineStr">
        <is>
          <t>—</t>
        </is>
      </c>
      <c r="K185" s="89" t="inlineStr">
        <is>
          <t>●</t>
        </is>
      </c>
      <c r="L185" s="89" t="inlineStr">
        <is>
          <t>●</t>
        </is>
      </c>
      <c r="M185" s="89" t="inlineStr">
        <is>
          <t>●</t>
        </is>
      </c>
      <c r="N185" s="89" t="inlineStr">
        <is>
          <t>●</t>
        </is>
      </c>
      <c r="O185" s="89" t="inlineStr">
        <is>
          <t>●</t>
        </is>
      </c>
      <c r="P185" s="89" t="inlineStr">
        <is>
          <t>●</t>
        </is>
      </c>
      <c r="Q185" s="89" t="inlineStr">
        <is>
          <t>●</t>
        </is>
      </c>
      <c r="R185" s="89" t="inlineStr">
        <is>
          <t>●</t>
        </is>
      </c>
      <c r="S185" s="86" t="inlineStr">
        <is>
          <t>Mesure</t>
        </is>
      </c>
      <c r="T185" s="86" t="inlineStr">
        <is>
          <t>—</t>
        </is>
      </c>
      <c r="U185" s="86" t="inlineStr">
        <is>
          <t>—</t>
        </is>
      </c>
      <c r="V185" s="86" t="inlineStr">
        <is>
          <t>FIN-28.03</t>
        </is>
      </c>
      <c r="W185" s="91" t="n"/>
    </row>
    <row r="186" ht="23.85" customHeight="1" s="53">
      <c r="A186" s="81" t="inlineStr">
        <is>
          <t>FIN-28.02</t>
        </is>
      </c>
      <c r="B186" s="67" t="inlineStr">
        <is>
          <t>FIN-28</t>
        </is>
      </c>
      <c r="C186" s="95">
        <f>IFERROR(INDEX(Thèmes!$D$2:$D$190,MATCH(B186,Thèmes!$A$2:$A$190,0)),"")</f>
        <v/>
      </c>
      <c r="D186" s="68" t="inlineStr">
        <is>
          <t>F18 · Votre investissement (prévu et constaté)</t>
        </is>
      </c>
      <c r="E186" s="68" t="inlineStr">
        <is>
          <t>Utilisation réelle : comme prévu, partielle, très faible</t>
        </is>
      </c>
      <c r="F186" s="68" t="inlineStr">
        <is>
          <t>Choix</t>
        </is>
      </c>
      <c r="G186" s="67" t="inlineStr">
        <is>
          <t>Demandée</t>
        </is>
      </c>
      <c r="H186" s="67" t="inlineStr">
        <is>
          <t>Essentiel</t>
        </is>
      </c>
      <c r="I186" s="99" t="inlineStr">
        <is>
          <t>D12 · si investissement déjà en service</t>
        </is>
      </c>
      <c r="J186" s="68" t="inlineStr">
        <is>
          <t>—</t>
        </is>
      </c>
      <c r="K186" s="67" t="inlineStr">
        <is>
          <t>●</t>
        </is>
      </c>
      <c r="L186" s="67" t="inlineStr">
        <is>
          <t>●</t>
        </is>
      </c>
      <c r="M186" s="67" t="inlineStr">
        <is>
          <t>●</t>
        </is>
      </c>
      <c r="N186" s="67" t="inlineStr">
        <is>
          <t>●</t>
        </is>
      </c>
      <c r="O186" s="67" t="inlineStr">
        <is>
          <t>●</t>
        </is>
      </c>
      <c r="P186" s="67" t="inlineStr">
        <is>
          <t>●</t>
        </is>
      </c>
      <c r="Q186" s="67" t="inlineStr">
        <is>
          <t>●</t>
        </is>
      </c>
      <c r="R186" s="67" t="inlineStr">
        <is>
          <t>●</t>
        </is>
      </c>
      <c r="S186" s="68" t="inlineStr">
        <is>
          <t>Problème</t>
        </is>
      </c>
      <c r="T186" s="68" t="inlineStr">
        <is>
          <t>—</t>
        </is>
      </c>
      <c r="U186" s="68" t="inlineStr">
        <is>
          <t>—</t>
        </is>
      </c>
      <c r="V186" s="68" t="inlineStr">
        <is>
          <t>XF29</t>
        </is>
      </c>
      <c r="W186" s="83" t="n"/>
    </row>
    <row r="187" ht="23.85" customHeight="1" s="53">
      <c r="A187" s="81" t="inlineStr">
        <is>
          <t>FIN-28.03</t>
        </is>
      </c>
      <c r="B187" s="67" t="inlineStr">
        <is>
          <t>FIN-28</t>
        </is>
      </c>
      <c r="C187" s="95">
        <f>IFERROR(INDEX(Thèmes!$D$2:$D$190,MATCH(B187,Thèmes!$A$2:$A$190,0)),"")</f>
        <v/>
      </c>
      <c r="D187" s="68" t="inlineStr">
        <is>
          <t>—</t>
        </is>
      </c>
      <c r="E187" s="68" t="inlineStr">
        <is>
          <t>Gain financier réel constaté par mois</t>
        </is>
      </c>
      <c r="F187" s="68" t="inlineStr">
        <is>
          <t>€</t>
        </is>
      </c>
      <c r="G187" s="96" t="inlineStr">
        <is>
          <t>Calculée</t>
        </is>
      </c>
      <c r="H187" s="67" t="inlineStr">
        <is>
          <t>—</t>
        </is>
      </c>
      <c r="I187" s="68" t="inlineStr">
        <is>
          <t>—</t>
        </is>
      </c>
      <c r="J187" s="68" t="inlineStr">
        <is>
          <t>—</t>
        </is>
      </c>
      <c r="K187" s="67" t="inlineStr">
        <is>
          <t>●</t>
        </is>
      </c>
      <c r="L187" s="67" t="inlineStr">
        <is>
          <t>●</t>
        </is>
      </c>
      <c r="M187" s="67" t="inlineStr">
        <is>
          <t>●</t>
        </is>
      </c>
      <c r="N187" s="67" t="inlineStr">
        <is>
          <t>●</t>
        </is>
      </c>
      <c r="O187" s="67" t="inlineStr">
        <is>
          <t>●</t>
        </is>
      </c>
      <c r="P187" s="67" t="inlineStr">
        <is>
          <t>●</t>
        </is>
      </c>
      <c r="Q187" s="67" t="inlineStr">
        <is>
          <t>●</t>
        </is>
      </c>
      <c r="R187" s="67" t="n"/>
      <c r="S187" s="68" t="inlineStr">
        <is>
          <t>Mesure</t>
        </is>
      </c>
      <c r="T187" s="68" t="inlineStr">
        <is>
          <t>Même calcul que le gain attendu, avec les gains constatés</t>
        </is>
      </c>
      <c r="U187" s="68" t="inlineStr">
        <is>
          <t>FIN-28.01, FIN-06.08, FIN-07.12, FIN-25.01</t>
        </is>
      </c>
      <c r="V187" s="68" t="inlineStr">
        <is>
          <t>FIN-28.04, FIN-28.05, FIN-28.06</t>
        </is>
      </c>
      <c r="W187" s="83" t="n"/>
    </row>
    <row r="188" ht="35.05" customHeight="1" s="53">
      <c r="A188" s="81" t="inlineStr">
        <is>
          <t>FIN-28.04</t>
        </is>
      </c>
      <c r="B188" s="67" t="inlineStr">
        <is>
          <t>FIN-28</t>
        </is>
      </c>
      <c r="C188" s="95">
        <f>IFERROR(INDEX(Thèmes!$D$2:$D$190,MATCH(B188,Thèmes!$A$2:$A$190,0)),"")</f>
        <v/>
      </c>
      <c r="D188" s="68" t="inlineStr">
        <is>
          <t>—</t>
        </is>
      </c>
      <c r="E188" s="68" t="inlineStr">
        <is>
          <t>Écart entre gain prévu et gain réel</t>
        </is>
      </c>
      <c r="F188" s="68" t="inlineStr">
        <is>
          <t>€ et %</t>
        </is>
      </c>
      <c r="G188" s="96" t="inlineStr">
        <is>
          <t>Calculée</t>
        </is>
      </c>
      <c r="H188" s="67" t="inlineStr">
        <is>
          <t>—</t>
        </is>
      </c>
      <c r="I188" s="68" t="inlineStr">
        <is>
          <t>—</t>
        </is>
      </c>
      <c r="J188" s="68" t="inlineStr">
        <is>
          <t>—</t>
        </is>
      </c>
      <c r="K188" s="67" t="inlineStr">
        <is>
          <t>●</t>
        </is>
      </c>
      <c r="L188" s="67" t="inlineStr">
        <is>
          <t>●</t>
        </is>
      </c>
      <c r="M188" s="67" t="inlineStr">
        <is>
          <t>●</t>
        </is>
      </c>
      <c r="N188" s="67" t="inlineStr">
        <is>
          <t>●</t>
        </is>
      </c>
      <c r="O188" s="67" t="inlineStr">
        <is>
          <t>●</t>
        </is>
      </c>
      <c r="P188" s="67" t="inlineStr">
        <is>
          <t>●</t>
        </is>
      </c>
      <c r="Q188" s="67" t="inlineStr">
        <is>
          <t>●</t>
        </is>
      </c>
      <c r="R188" s="67" t="n"/>
      <c r="S188" s="68" t="inlineStr">
        <is>
          <t>Problème</t>
        </is>
      </c>
      <c r="T188" s="68" t="inlineStr">
        <is>
          <t>Gain réel − gain attendu, puis ÷ gain attendu</t>
        </is>
      </c>
      <c r="U188" s="68" t="inlineStr">
        <is>
          <t>FIN-28.03, FIN-27.02</t>
        </is>
      </c>
      <c r="V188" s="68" t="inlineStr">
        <is>
          <t>XF29</t>
        </is>
      </c>
      <c r="W188" s="83" t="n"/>
    </row>
    <row r="189" ht="23.85" customHeight="1" s="53">
      <c r="A189" s="81" t="inlineStr">
        <is>
          <t>FIN-28.05</t>
        </is>
      </c>
      <c r="B189" s="67" t="inlineStr">
        <is>
          <t>FIN-28</t>
        </is>
      </c>
      <c r="C189" s="95">
        <f>IFERROR(INDEX(Thèmes!$D$2:$D$190,MATCH(B189,Thèmes!$A$2:$A$190,0)),"")</f>
        <v/>
      </c>
      <c r="D189" s="68" t="inlineStr">
        <is>
          <t>—</t>
        </is>
      </c>
      <c r="E189" s="68" t="inlineStr">
        <is>
          <t>Gain cumulé depuis la mise en service et rentabilité simple</t>
        </is>
      </c>
      <c r="F189" s="68" t="inlineStr">
        <is>
          <t>€ et %</t>
        </is>
      </c>
      <c r="G189" s="96" t="inlineStr">
        <is>
          <t>Calculée</t>
        </is>
      </c>
      <c r="H189" s="67" t="inlineStr">
        <is>
          <t>—</t>
        </is>
      </c>
      <c r="I189" s="68" t="inlineStr">
        <is>
          <t>—</t>
        </is>
      </c>
      <c r="J189" s="68" t="inlineStr">
        <is>
          <t>—</t>
        </is>
      </c>
      <c r="K189" s="67" t="inlineStr">
        <is>
          <t>●</t>
        </is>
      </c>
      <c r="L189" s="67" t="inlineStr">
        <is>
          <t>●</t>
        </is>
      </c>
      <c r="M189" s="67" t="inlineStr">
        <is>
          <t>●</t>
        </is>
      </c>
      <c r="N189" s="67" t="inlineStr">
        <is>
          <t>●</t>
        </is>
      </c>
      <c r="O189" s="67" t="inlineStr">
        <is>
          <t>●</t>
        </is>
      </c>
      <c r="P189" s="67" t="inlineStr">
        <is>
          <t>●</t>
        </is>
      </c>
      <c r="Q189" s="67" t="inlineStr">
        <is>
          <t>●</t>
        </is>
      </c>
      <c r="R189" s="67" t="n"/>
      <c r="S189" s="68" t="inlineStr">
        <is>
          <t>Mesure</t>
        </is>
      </c>
      <c r="T189" s="68" t="inlineStr">
        <is>
          <t>Gain réel × mois écoulés, puis ÷ coût total</t>
        </is>
      </c>
      <c r="U189" s="68" t="inlineStr">
        <is>
          <t>FIN-28.03, FIN-25.01, FIN-26.01</t>
        </is>
      </c>
      <c r="V189" s="68" t="inlineStr">
        <is>
          <t>FIN-28.06</t>
        </is>
      </c>
      <c r="W189" s="83" t="n"/>
    </row>
    <row r="190" ht="46.25" customHeight="1" s="53">
      <c r="A190" s="81" t="inlineStr">
        <is>
          <t>FIN-28.06</t>
        </is>
      </c>
      <c r="B190" s="67" t="inlineStr">
        <is>
          <t>FIN-28</t>
        </is>
      </c>
      <c r="C190" s="95">
        <f>IFERROR(INDEX(Thèmes!$D$2:$D$190,MATCH(B190,Thèmes!$A$2:$A$190,0)),"")</f>
        <v/>
      </c>
      <c r="D190" s="68" t="inlineStr">
        <is>
          <t>—</t>
        </is>
      </c>
      <c r="E190" s="68" t="inlineStr">
        <is>
          <t>Mois restants avant remboursement complet</t>
        </is>
      </c>
      <c r="F190" s="68" t="inlineStr">
        <is>
          <t>Mois</t>
        </is>
      </c>
      <c r="G190" s="96" t="inlineStr">
        <is>
          <t>Calculée</t>
        </is>
      </c>
      <c r="H190" s="67" t="inlineStr">
        <is>
          <t>—</t>
        </is>
      </c>
      <c r="I190" s="68" t="inlineStr">
        <is>
          <t>—</t>
        </is>
      </c>
      <c r="J190" s="68" t="inlineStr">
        <is>
          <t>—</t>
        </is>
      </c>
      <c r="K190" s="67" t="inlineStr">
        <is>
          <t>●</t>
        </is>
      </c>
      <c r="L190" s="67" t="inlineStr">
        <is>
          <t>●</t>
        </is>
      </c>
      <c r="M190" s="67" t="inlineStr">
        <is>
          <t>●</t>
        </is>
      </c>
      <c r="N190" s="67" t="inlineStr">
        <is>
          <t>●</t>
        </is>
      </c>
      <c r="O190" s="67" t="inlineStr">
        <is>
          <t>●</t>
        </is>
      </c>
      <c r="P190" s="67" t="inlineStr">
        <is>
          <t>●</t>
        </is>
      </c>
      <c r="Q190" s="67" t="inlineStr">
        <is>
          <t>●</t>
        </is>
      </c>
      <c r="R190" s="67" t="n"/>
      <c r="S190" s="68" t="inlineStr">
        <is>
          <t>Cible</t>
        </is>
      </c>
      <c r="T190" s="68" t="inlineStr">
        <is>
          <t>(Coût total − gain cumulé) ÷ gain réel par mois</t>
        </is>
      </c>
      <c r="U190" s="68" t="inlineStr">
        <is>
          <t>FIN-26.01, FIN-28.05, FIN-28.03</t>
        </is>
      </c>
      <c r="V190" s="68" t="inlineStr">
        <is>
          <t>XF29</t>
        </is>
      </c>
      <c r="W190" s="83" t="n"/>
    </row>
    <row r="191" ht="68.65000000000001" customHeight="1" s="53">
      <c r="A191" s="85" t="inlineStr">
        <is>
          <t>FIN-29.01</t>
        </is>
      </c>
      <c r="B191" s="89" t="inlineStr">
        <is>
          <t>FIN-29</t>
        </is>
      </c>
      <c r="C191" s="97">
        <f>IFERROR(INDEX(Thèmes!$D$2:$D$190,MATCH(B191,Thèmes!$A$2:$A$190,0)),"")</f>
        <v/>
      </c>
      <c r="D191" s="86" t="inlineStr">
        <is>
          <t>A16 · Vos plus gros clients (tableau)</t>
        </is>
      </c>
      <c r="E191" s="86" t="inlineStr">
        <is>
          <t>CA sur 12 mois de vos 5 plus gros clients</t>
        </is>
      </c>
      <c r="F191" s="86" t="inlineStr">
        <is>
          <t>€ (5 lignes)</t>
        </is>
      </c>
      <c r="G191" s="88" t="inlineStr">
        <is>
          <t>Partagée</t>
        </is>
      </c>
      <c r="H191" s="89" t="inlineStr">
        <is>
          <t>Essentiel</t>
        </is>
      </c>
      <c r="I191" s="100" t="inlineStr">
        <is>
          <t>D15 · si clients professionnels réguliers</t>
        </is>
      </c>
      <c r="J191" s="86" t="inlineStr">
        <is>
          <t>Période adaptée : depuis la création si moins de 12 mois</t>
        </is>
      </c>
      <c r="K191" s="89" t="n"/>
      <c r="L191" s="89" t="n"/>
      <c r="M191" s="89" t="n"/>
      <c r="N191" s="89" t="n"/>
      <c r="O191" s="89" t="inlineStr">
        <is>
          <t>●</t>
        </is>
      </c>
      <c r="P191" s="89" t="inlineStr">
        <is>
          <t>●</t>
        </is>
      </c>
      <c r="Q191" s="89" t="inlineStr">
        <is>
          <t>●</t>
        </is>
      </c>
      <c r="R191" s="89" t="n"/>
      <c r="S191" s="86" t="inlineStr">
        <is>
          <t>Risque</t>
        </is>
      </c>
      <c r="T191" s="86" t="inlineStr">
        <is>
          <t>Posée une seule fois, par le premier agent souscrit qui en a besoin (ACQ-16.01), sinon ici</t>
        </is>
      </c>
      <c r="U191" s="86" t="inlineStr">
        <is>
          <t>ACQ-16.01</t>
        </is>
      </c>
      <c r="V191" s="86" t="inlineStr">
        <is>
          <t>FIN-02.02, FIN-17.08, FIN-31.01</t>
        </is>
      </c>
      <c r="W191" s="91" t="n"/>
    </row>
    <row r="192" ht="35.05" customHeight="1" s="53">
      <c r="A192" s="85" t="inlineStr">
        <is>
          <t>FIN-30.01</t>
        </is>
      </c>
      <c r="B192" s="89" t="inlineStr">
        <is>
          <t>FIN-30</t>
        </is>
      </c>
      <c r="C192" s="97">
        <f>IFERROR(INDEX(Thèmes!$D$2:$D$190,MATCH(B192,Thèmes!$A$2:$A$190,0)),"")</f>
        <v/>
      </c>
      <c r="D192" s="86" t="inlineStr">
        <is>
          <t>—</t>
        </is>
      </c>
      <c r="E192" s="86" t="inlineStr">
        <is>
          <t>Dépendance au fournisseur principal</t>
        </is>
      </c>
      <c r="F192" s="86" t="inlineStr">
        <is>
          <t>% et oui / non</t>
        </is>
      </c>
      <c r="G192" s="102" t="inlineStr">
        <is>
          <t>Calculée</t>
        </is>
      </c>
      <c r="H192" s="89" t="inlineStr">
        <is>
          <t>—</t>
        </is>
      </c>
      <c r="I192" s="86" t="inlineStr">
        <is>
          <t>—</t>
        </is>
      </c>
      <c r="J192" s="86" t="inlineStr">
        <is>
          <t>—</t>
        </is>
      </c>
      <c r="K192" s="89" t="inlineStr">
        <is>
          <t>●</t>
        </is>
      </c>
      <c r="L192" s="89" t="inlineStr">
        <is>
          <t>●</t>
        </is>
      </c>
      <c r="M192" s="89" t="inlineStr">
        <is>
          <t>●</t>
        </is>
      </c>
      <c r="N192" s="89" t="inlineStr">
        <is>
          <t>●</t>
        </is>
      </c>
      <c r="O192" s="89" t="inlineStr">
        <is>
          <t>●</t>
        </is>
      </c>
      <c r="P192" s="89" t="inlineStr">
        <is>
          <t>●</t>
        </is>
      </c>
      <c r="Q192" s="89" t="inlineStr">
        <is>
          <t>●</t>
        </is>
      </c>
      <c r="R192" s="89" t="inlineStr">
        <is>
          <t>●</t>
        </is>
      </c>
      <c r="S192" s="86" t="inlineStr">
        <is>
          <t>Risque</t>
        </is>
      </c>
      <c r="T192" s="86" t="inlineStr">
        <is>
          <t>Part du 1er fournisseur, et existence d'un fournisseur de remplacement</t>
        </is>
      </c>
      <c r="U192" s="86" t="inlineStr">
        <is>
          <t>FIN-08.09, FIN-08.03</t>
        </is>
      </c>
      <c r="V192" s="86" t="inlineStr">
        <is>
          <t>XF11</t>
        </is>
      </c>
      <c r="W192" s="91" t="n"/>
    </row>
    <row r="193" ht="23.85" customHeight="1" s="53">
      <c r="A193" s="85" t="inlineStr">
        <is>
          <t>FIN-31.01</t>
        </is>
      </c>
      <c r="B193" s="89" t="inlineStr">
        <is>
          <t>FIN-31</t>
        </is>
      </c>
      <c r="C193" s="97">
        <f>IFERROR(INDEX(Thèmes!$D$2:$D$190,MATCH(B193,Thèmes!$A$2:$A$190,0)),"")</f>
        <v/>
      </c>
      <c r="D193" s="86" t="inlineStr">
        <is>
          <t>—</t>
        </is>
      </c>
      <c r="E193" s="86" t="inlineStr">
        <is>
          <t>Mois tenables si le plus gros client part</t>
        </is>
      </c>
      <c r="F193" s="86" t="inlineStr">
        <is>
          <t>Mois</t>
        </is>
      </c>
      <c r="G193" s="102" t="inlineStr">
        <is>
          <t>Calculée</t>
        </is>
      </c>
      <c r="H193" s="89" t="inlineStr">
        <is>
          <t>—</t>
        </is>
      </c>
      <c r="I193" s="86" t="inlineStr">
        <is>
          <t>—</t>
        </is>
      </c>
      <c r="J193" s="86" t="inlineStr">
        <is>
          <t>—</t>
        </is>
      </c>
      <c r="K193" s="89" t="n"/>
      <c r="L193" s="89" t="n"/>
      <c r="M193" s="89" t="n"/>
      <c r="N193" s="89" t="n"/>
      <c r="O193" s="89" t="inlineStr">
        <is>
          <t>●</t>
        </is>
      </c>
      <c r="P193" s="89" t="inlineStr">
        <is>
          <t>●</t>
        </is>
      </c>
      <c r="Q193" s="89" t="inlineStr">
        <is>
          <t>●</t>
        </is>
      </c>
      <c r="R193" s="89" t="n"/>
      <c r="S193" s="86" t="inlineStr">
        <is>
          <t>Risque</t>
        </is>
      </c>
      <c r="T193" s="86" t="inlineStr">
        <is>
          <t>Trésorerie mobilisable ÷ déficit mensuel après départ ; déficit = charges fixes − (CA restant × taux de marge). Si l'entreprise reste rentable : sans limite</t>
        </is>
      </c>
      <c r="U193" s="86" t="inlineStr">
        <is>
          <t>FIN-11.04, ACQ-16.01, Inscription · CA mensuel, FIN-06.08, FIN-05.08</t>
        </is>
      </c>
      <c r="V193" s="86" t="inlineStr">
        <is>
          <t>XF31, S02</t>
        </is>
      </c>
      <c r="W193" s="91" t="n"/>
    </row>
    <row r="194" ht="23.85" customHeight="1" s="53">
      <c r="A194" s="85" t="inlineStr">
        <is>
          <t>FIN-32.01</t>
        </is>
      </c>
      <c r="B194" s="89" t="inlineStr">
        <is>
          <t>FIN-32</t>
        </is>
      </c>
      <c r="C194" s="97">
        <f>IFERROR(INDEX(Thèmes!$D$2:$D$190,MATCH(B194,Thèmes!$A$2:$A$190,0)),"")</f>
        <v/>
      </c>
      <c r="D194" s="86" t="inlineStr">
        <is>
          <t>—</t>
        </is>
      </c>
      <c r="E194" s="86" t="inlineStr">
        <is>
          <t>Trésorerie à avancer pour atteindre l'objectif</t>
        </is>
      </c>
      <c r="F194" s="86" t="inlineStr">
        <is>
          <t>€</t>
        </is>
      </c>
      <c r="G194" s="102" t="inlineStr">
        <is>
          <t>Calculée</t>
        </is>
      </c>
      <c r="H194" s="89" t="inlineStr">
        <is>
          <t>—</t>
        </is>
      </c>
      <c r="I194" s="86" t="inlineStr">
        <is>
          <t>—</t>
        </is>
      </c>
      <c r="J194" s="86" t="inlineStr">
        <is>
          <t>—</t>
        </is>
      </c>
      <c r="K194" s="89" t="inlineStr">
        <is>
          <t>●</t>
        </is>
      </c>
      <c r="L194" s="89" t="inlineStr">
        <is>
          <t>●</t>
        </is>
      </c>
      <c r="M194" s="89" t="inlineStr">
        <is>
          <t>●</t>
        </is>
      </c>
      <c r="N194" s="89" t="inlineStr">
        <is>
          <t>●</t>
        </is>
      </c>
      <c r="O194" s="89" t="inlineStr">
        <is>
          <t>●</t>
        </is>
      </c>
      <c r="P194" s="89" t="inlineStr">
        <is>
          <t>●</t>
        </is>
      </c>
      <c r="Q194" s="89" t="inlineStr">
        <is>
          <t>●</t>
        </is>
      </c>
      <c r="R194" s="89" t="n"/>
      <c r="S194" s="86" t="inlineStr">
        <is>
          <t>Risque</t>
        </is>
      </c>
      <c r="T194" s="86" t="inlineStr">
        <is>
          <t>CA supplémentaire mensuel × (délai client − délai fournisseur × part des achats) ÷ 30 + stock supplémentaire + coût d'acquisition des nouveaux clients (si l'agent Acquisition est souscrit) + investissement prévu − acomptes</t>
        </is>
      </c>
      <c r="U194" s="86" t="inlineStr">
        <is>
          <t>Inscription · CA mensuel, Inscription · objectif chiffré, FIN-17.05, FIN-20.02, FIN-08.07, FIN-38.01, ACQ-07.11, FIN-26.01, FIN-19.01</t>
        </is>
      </c>
      <c r="V194" s="86" t="inlineStr">
        <is>
          <t>XF32, XF33, S08</t>
        </is>
      </c>
      <c r="W194" s="91" t="n"/>
    </row>
    <row r="195" ht="46.25" customHeight="1" s="53">
      <c r="A195" s="85" t="inlineStr">
        <is>
          <t>FIN-33.01</t>
        </is>
      </c>
      <c r="B195" s="89" t="inlineStr">
        <is>
          <t>FIN-33</t>
        </is>
      </c>
      <c r="C195" s="97">
        <f>IFERROR(INDEX(Thèmes!$D$2:$D$190,MATCH(B195,Thèmes!$A$2:$A$190,0)),"")</f>
        <v/>
      </c>
      <c r="D195" s="86" t="inlineStr">
        <is>
          <t>—</t>
        </is>
      </c>
      <c r="E195" s="86" t="inlineStr">
        <is>
          <t>Maîtrise des chiffres financiers</t>
        </is>
      </c>
      <c r="F195" s="86" t="inlineStr">
        <is>
          <t>% et nombres</t>
        </is>
      </c>
      <c r="G195" s="102" t="inlineStr">
        <is>
          <t>Calculée</t>
        </is>
      </c>
      <c r="H195" s="89" t="inlineStr">
        <is>
          <t>—</t>
        </is>
      </c>
      <c r="I195" s="86" t="inlineStr">
        <is>
          <t>—</t>
        </is>
      </c>
      <c r="J195" s="86" t="inlineStr">
        <is>
          <t>—</t>
        </is>
      </c>
      <c r="K195" s="89" t="inlineStr">
        <is>
          <t>●</t>
        </is>
      </c>
      <c r="L195" s="89" t="inlineStr">
        <is>
          <t>●</t>
        </is>
      </c>
      <c r="M195" s="89" t="inlineStr">
        <is>
          <t>●</t>
        </is>
      </c>
      <c r="N195" s="89" t="inlineStr">
        <is>
          <t>●</t>
        </is>
      </c>
      <c r="O195" s="89" t="inlineStr">
        <is>
          <t>●</t>
        </is>
      </c>
      <c r="P195" s="89" t="inlineStr">
        <is>
          <t>●</t>
        </is>
      </c>
      <c r="Q195" s="89" t="inlineStr">
        <is>
          <t>●</t>
        </is>
      </c>
      <c r="R195" s="89" t="inlineStr">
        <is>
          <t>●</t>
        </is>
      </c>
      <c r="S195" s="86" t="inlineStr">
        <is>
          <t>Problème</t>
        </is>
      </c>
      <c r="T195" s="86" t="inlineStr">
        <is>
          <t>Réponses précises, estimées, « je ne sais pas » et sautées sur les questions Finance ; % de maîtrise = précises ÷ posées</t>
        </is>
      </c>
      <c r="U195" s="86" t="inlineStr">
        <is>
          <t>—</t>
        </is>
      </c>
      <c r="V195" s="86" t="inlineStr">
        <is>
          <t>XF46, XR31</t>
        </is>
      </c>
      <c r="W195" s="91" t="n"/>
    </row>
    <row r="196" ht="23.85" customHeight="1" s="53">
      <c r="A196" s="85" t="inlineStr">
        <is>
          <t>FIN-34.01</t>
        </is>
      </c>
      <c r="B196" s="89" t="inlineStr">
        <is>
          <t>FIN-34</t>
        </is>
      </c>
      <c r="C196" s="97">
        <f>IFERROR(INDEX(Thèmes!$D$2:$D$190,MATCH(B196,Thèmes!$A$2:$A$190,0)),"")</f>
        <v/>
      </c>
      <c r="D196" s="86" t="inlineStr">
        <is>
          <t>F19 · Votre pilotage</t>
        </is>
      </c>
      <c r="E196" s="86" t="inlineStr">
        <is>
          <t>Indicateurs que vous suivez réellement : CA, marge, trésorerie, impayés, charges, stock, autre</t>
        </is>
      </c>
      <c r="F196" s="86" t="inlineStr">
        <is>
          <t>Cases à cocher</t>
        </is>
      </c>
      <c r="G196" s="89" t="inlineStr">
        <is>
          <t>Demandée</t>
        </is>
      </c>
      <c r="H196" s="89" t="inlineStr">
        <is>
          <t>Essentiel</t>
        </is>
      </c>
      <c r="I196" s="86" t="inlineStr">
        <is>
          <t>—</t>
        </is>
      </c>
      <c r="J196" s="86" t="inlineStr">
        <is>
          <t>—</t>
        </is>
      </c>
      <c r="K196" s="89" t="inlineStr">
        <is>
          <t>●</t>
        </is>
      </c>
      <c r="L196" s="89" t="inlineStr">
        <is>
          <t>●</t>
        </is>
      </c>
      <c r="M196" s="89" t="inlineStr">
        <is>
          <t>●</t>
        </is>
      </c>
      <c r="N196" s="89" t="inlineStr">
        <is>
          <t>●</t>
        </is>
      </c>
      <c r="O196" s="89" t="inlineStr">
        <is>
          <t>●</t>
        </is>
      </c>
      <c r="P196" s="89" t="inlineStr">
        <is>
          <t>●</t>
        </is>
      </c>
      <c r="Q196" s="89" t="inlineStr">
        <is>
          <t>●</t>
        </is>
      </c>
      <c r="R196" s="89" t="inlineStr">
        <is>
          <t>●</t>
        </is>
      </c>
      <c r="S196" s="86" t="inlineStr">
        <is>
          <t>Levier</t>
        </is>
      </c>
      <c r="T196" s="86" t="inlineStr">
        <is>
          <t>—</t>
        </is>
      </c>
      <c r="U196" s="86" t="inlineStr">
        <is>
          <t>—</t>
        </is>
      </c>
      <c r="V196" s="86" t="inlineStr">
        <is>
          <t>XF46</t>
        </is>
      </c>
      <c r="W196" s="91" t="n"/>
    </row>
    <row r="197" ht="23.85" customHeight="1" s="53">
      <c r="A197" s="81" t="inlineStr">
        <is>
          <t>FIN-34.02</t>
        </is>
      </c>
      <c r="B197" s="67" t="inlineStr">
        <is>
          <t>FIN-34</t>
        </is>
      </c>
      <c r="C197" s="95">
        <f>IFERROR(INDEX(Thèmes!$D$2:$D$190,MATCH(B197,Thèmes!$A$2:$A$190,0)),"")</f>
        <v/>
      </c>
      <c r="D197" s="68" t="inlineStr">
        <is>
          <t>A19 · Votre suivi commercial</t>
        </is>
      </c>
      <c r="E197" s="68" t="inlineStr">
        <is>
          <t>Fréquence à laquelle vous regardez vos chiffres financiers (ligne « financiers » du tableau de suivi)</t>
        </is>
      </c>
      <c r="F197" s="68" t="inlineStr">
        <is>
          <t>Choix</t>
        </is>
      </c>
      <c r="G197" s="66" t="inlineStr">
        <is>
          <t>Partagée</t>
        </is>
      </c>
      <c r="H197" s="67" t="inlineStr">
        <is>
          <t>Essentiel</t>
        </is>
      </c>
      <c r="I197" s="68" t="inlineStr">
        <is>
          <t>—</t>
        </is>
      </c>
      <c r="J197" s="68" t="inlineStr">
        <is>
          <t>—</t>
        </is>
      </c>
      <c r="K197" s="67" t="inlineStr">
        <is>
          <t>●</t>
        </is>
      </c>
      <c r="L197" s="67" t="inlineStr">
        <is>
          <t>●</t>
        </is>
      </c>
      <c r="M197" s="67" t="inlineStr">
        <is>
          <t>●</t>
        </is>
      </c>
      <c r="N197" s="67" t="inlineStr">
        <is>
          <t>●</t>
        </is>
      </c>
      <c r="O197" s="67" t="inlineStr">
        <is>
          <t>●</t>
        </is>
      </c>
      <c r="P197" s="67" t="inlineStr">
        <is>
          <t>●</t>
        </is>
      </c>
      <c r="Q197" s="67" t="inlineStr">
        <is>
          <t>●</t>
        </is>
      </c>
      <c r="R197" s="67" t="inlineStr">
        <is>
          <t>●</t>
        </is>
      </c>
      <c r="S197" s="68" t="inlineStr">
        <is>
          <t>Levier</t>
        </is>
      </c>
      <c r="T197" s="68" t="inlineStr">
        <is>
          <t>Posée une seule fois, par le premier agent souscrit qui en a besoin (ACQ-20.02), sinon ici</t>
        </is>
      </c>
      <c r="U197" s="68" t="inlineStr">
        <is>
          <t>ACQ-20.02</t>
        </is>
      </c>
      <c r="V197" s="68" t="inlineStr">
        <is>
          <t>XF46</t>
        </is>
      </c>
      <c r="W197" s="83" t="n"/>
    </row>
    <row r="198" ht="23.85" customHeight="1" s="53">
      <c r="A198" s="94" t="inlineStr">
        <is>
          <t>FIN-34.03</t>
        </is>
      </c>
      <c r="B198" s="67" t="inlineStr">
        <is>
          <t>FIN-34</t>
        </is>
      </c>
      <c r="C198" s="95">
        <f>IFERROR(INDEX(Thèmes!$D$2:$D$190,MATCH(B198,Thèmes!$A$2:$A$190,0)),"")</f>
        <v/>
      </c>
      <c r="D198" s="68" t="inlineStr">
        <is>
          <t>F19 · Votre pilotage</t>
        </is>
      </c>
      <c r="E198" s="68" t="inlineStr">
        <is>
          <t>Outil de suivi de vos chiffres financiers : aucun, tableur, logiciel de gestion, tableau de bord du comptable — mis à jour automatiquement ou à la main (l'outil de suivi des contacts et des devis est un autre outil, ACQ-20)</t>
        </is>
      </c>
      <c r="F198" s="68" t="inlineStr">
        <is>
          <t>Choix</t>
        </is>
      </c>
      <c r="G198" s="67" t="inlineStr">
        <is>
          <t>Demandée</t>
        </is>
      </c>
      <c r="H198" s="67" t="inlineStr">
        <is>
          <t>Approfondi</t>
        </is>
      </c>
      <c r="I198" s="68" t="inlineStr">
        <is>
          <t>—</t>
        </is>
      </c>
      <c r="J198" s="68" t="inlineStr">
        <is>
          <t>—</t>
        </is>
      </c>
      <c r="K198" s="67" t="inlineStr">
        <is>
          <t>●</t>
        </is>
      </c>
      <c r="L198" s="67" t="inlineStr">
        <is>
          <t>●</t>
        </is>
      </c>
      <c r="M198" s="67" t="inlineStr">
        <is>
          <t>●</t>
        </is>
      </c>
      <c r="N198" s="67" t="inlineStr">
        <is>
          <t>●</t>
        </is>
      </c>
      <c r="O198" s="67" t="inlineStr">
        <is>
          <t>●</t>
        </is>
      </c>
      <c r="P198" s="67" t="inlineStr">
        <is>
          <t>●</t>
        </is>
      </c>
      <c r="Q198" s="67" t="inlineStr">
        <is>
          <t>●</t>
        </is>
      </c>
      <c r="R198" s="67" t="inlineStr">
        <is>
          <t>●</t>
        </is>
      </c>
      <c r="S198" s="68" t="inlineStr">
        <is>
          <t>Levier</t>
        </is>
      </c>
      <c r="T198" s="68" t="inlineStr">
        <is>
          <t>—</t>
        </is>
      </c>
      <c r="U198" s="68" t="inlineStr">
        <is>
          <t>—</t>
        </is>
      </c>
      <c r="V198" s="68" t="inlineStr">
        <is>
          <t>XF46</t>
        </is>
      </c>
      <c r="W198" s="83" t="inlineStr">
        <is>
          <t>Niveau</t>
        </is>
      </c>
    </row>
    <row r="199" ht="35.05" customHeight="1" s="53">
      <c r="A199" s="81" t="inlineStr">
        <is>
          <t>FIN-34.04</t>
        </is>
      </c>
      <c r="B199" s="67" t="inlineStr">
        <is>
          <t>FIN-34</t>
        </is>
      </c>
      <c r="C199" s="95">
        <f>IFERROR(INDEX(Thèmes!$D$2:$D$190,MATCH(B199,Thèmes!$A$2:$A$190,0)),"")</f>
        <v/>
      </c>
      <c r="D199" s="68" t="inlineStr">
        <is>
          <t>F19 · Votre pilotage</t>
        </is>
      </c>
      <c r="E199" s="68" t="inlineStr">
        <is>
          <t>Alerte en cas de seuil dépassé (trésorerie basse, impayé)</t>
        </is>
      </c>
      <c r="F199" s="68" t="inlineStr">
        <is>
          <t>Oui / non</t>
        </is>
      </c>
      <c r="G199" s="67" t="inlineStr">
        <is>
          <t>Demandée</t>
        </is>
      </c>
      <c r="H199" s="67" t="inlineStr">
        <is>
          <t>Approfondi</t>
        </is>
      </c>
      <c r="I199" s="68" t="inlineStr">
        <is>
          <t>—</t>
        </is>
      </c>
      <c r="J199" s="68" t="inlineStr">
        <is>
          <t>—</t>
        </is>
      </c>
      <c r="K199" s="67" t="inlineStr">
        <is>
          <t>●</t>
        </is>
      </c>
      <c r="L199" s="67" t="inlineStr">
        <is>
          <t>●</t>
        </is>
      </c>
      <c r="M199" s="67" t="inlineStr">
        <is>
          <t>●</t>
        </is>
      </c>
      <c r="N199" s="67" t="inlineStr">
        <is>
          <t>●</t>
        </is>
      </c>
      <c r="O199" s="67" t="inlineStr">
        <is>
          <t>●</t>
        </is>
      </c>
      <c r="P199" s="67" t="inlineStr">
        <is>
          <t>●</t>
        </is>
      </c>
      <c r="Q199" s="67" t="inlineStr">
        <is>
          <t>●</t>
        </is>
      </c>
      <c r="R199" s="67" t="inlineStr">
        <is>
          <t>●</t>
        </is>
      </c>
      <c r="S199" s="68" t="inlineStr">
        <is>
          <t>Levier</t>
        </is>
      </c>
      <c r="T199" s="68" t="inlineStr">
        <is>
          <t>—</t>
        </is>
      </c>
      <c r="U199" s="68" t="inlineStr">
        <is>
          <t>—</t>
        </is>
      </c>
      <c r="V199" s="68" t="inlineStr">
        <is>
          <t>XF46</t>
        </is>
      </c>
      <c r="W199" s="83" t="n"/>
    </row>
    <row r="200" ht="46.25" customHeight="1" s="53">
      <c r="A200" s="81" t="inlineStr">
        <is>
          <t>FIN-34.05</t>
        </is>
      </c>
      <c r="B200" s="67" t="inlineStr">
        <is>
          <t>FIN-34</t>
        </is>
      </c>
      <c r="C200" s="95">
        <f>IFERROR(INDEX(Thèmes!$D$2:$D$190,MATCH(B200,Thèmes!$A$2:$A$190,0)),"")</f>
        <v/>
      </c>
      <c r="D200" s="68" t="inlineStr">
        <is>
          <t>F19 · Votre pilotage</t>
        </is>
      </c>
      <c r="E200" s="68" t="inlineStr">
        <is>
          <t>Temps passé chaque mois à mettre à jour vos chiffres, et par qui</t>
        </is>
      </c>
      <c r="F200" s="68" t="inlineStr">
        <is>
          <t>Heures et choix</t>
        </is>
      </c>
      <c r="G200" s="67" t="inlineStr">
        <is>
          <t>Demandée</t>
        </is>
      </c>
      <c r="H200" s="67" t="inlineStr">
        <is>
          <t>Approfondi</t>
        </is>
      </c>
      <c r="I200" s="68" t="inlineStr">
        <is>
          <t>—</t>
        </is>
      </c>
      <c r="J200" s="68" t="inlineStr">
        <is>
          <t>—</t>
        </is>
      </c>
      <c r="K200" s="67" t="inlineStr">
        <is>
          <t>●</t>
        </is>
      </c>
      <c r="L200" s="67" t="inlineStr">
        <is>
          <t>●</t>
        </is>
      </c>
      <c r="M200" s="67" t="inlineStr">
        <is>
          <t>●</t>
        </is>
      </c>
      <c r="N200" s="67" t="inlineStr">
        <is>
          <t>●</t>
        </is>
      </c>
      <c r="O200" s="67" t="inlineStr">
        <is>
          <t>●</t>
        </is>
      </c>
      <c r="P200" s="67" t="inlineStr">
        <is>
          <t>●</t>
        </is>
      </c>
      <c r="Q200" s="67" t="inlineStr">
        <is>
          <t>●</t>
        </is>
      </c>
      <c r="R200" s="67" t="inlineStr">
        <is>
          <t>●</t>
        </is>
      </c>
      <c r="S200" s="68" t="inlineStr">
        <is>
          <t>Capacité</t>
        </is>
      </c>
      <c r="T200" s="68" t="inlineStr">
        <is>
          <t>—</t>
        </is>
      </c>
      <c r="U200" s="68" t="inlineStr">
        <is>
          <t>—</t>
        </is>
      </c>
      <c r="V200" s="68" t="inlineStr">
        <is>
          <t>XF46</t>
        </is>
      </c>
      <c r="W200" s="83" t="n"/>
    </row>
    <row r="201" ht="35.05" customHeight="1" s="53">
      <c r="A201" s="85" t="inlineStr">
        <is>
          <t>FIN-35.01</t>
        </is>
      </c>
      <c r="B201" s="89" t="inlineStr">
        <is>
          <t>FIN-35</t>
        </is>
      </c>
      <c r="C201" s="97">
        <f>IFERROR(INDEX(Thèmes!$D$2:$D$190,MATCH(B201,Thèmes!$A$2:$A$190,0)),"")</f>
        <v/>
      </c>
      <c r="D201" s="86" t="inlineStr">
        <is>
          <t>F19 · Votre pilotage</t>
        </is>
      </c>
      <c r="E201" s="86" t="inlineStr">
        <is>
          <t>Budget prévisionnel annuel comparé au réalisé : chaque mois, de temps en temps, jamais, pas de budget</t>
        </is>
      </c>
      <c r="F201" s="86" t="inlineStr">
        <is>
          <t>Choix</t>
        </is>
      </c>
      <c r="G201" s="89" t="inlineStr">
        <is>
          <t>Demandée</t>
        </is>
      </c>
      <c r="H201" s="89" t="inlineStr">
        <is>
          <t>Essentiel</t>
        </is>
      </c>
      <c r="I201" s="86" t="inlineStr">
        <is>
          <t>—</t>
        </is>
      </c>
      <c r="J201" s="86" t="inlineStr">
        <is>
          <t>—</t>
        </is>
      </c>
      <c r="K201" s="89" t="inlineStr">
        <is>
          <t>●</t>
        </is>
      </c>
      <c r="L201" s="89" t="inlineStr">
        <is>
          <t>●</t>
        </is>
      </c>
      <c r="M201" s="89" t="inlineStr">
        <is>
          <t>●</t>
        </is>
      </c>
      <c r="N201" s="89" t="inlineStr">
        <is>
          <t>●</t>
        </is>
      </c>
      <c r="O201" s="89" t="inlineStr">
        <is>
          <t>●</t>
        </is>
      </c>
      <c r="P201" s="89" t="inlineStr">
        <is>
          <t>●</t>
        </is>
      </c>
      <c r="Q201" s="89" t="inlineStr">
        <is>
          <t>●</t>
        </is>
      </c>
      <c r="R201" s="89" t="inlineStr">
        <is>
          <t>●</t>
        </is>
      </c>
      <c r="S201" s="86" t="inlineStr">
        <is>
          <t>Levier</t>
        </is>
      </c>
      <c r="T201" s="86" t="inlineStr">
        <is>
          <t>—</t>
        </is>
      </c>
      <c r="U201" s="86" t="inlineStr">
        <is>
          <t>—</t>
        </is>
      </c>
      <c r="V201" s="86" t="inlineStr">
        <is>
          <t>XF46</t>
        </is>
      </c>
      <c r="W201" s="91" t="n"/>
    </row>
    <row r="202" ht="23.85" customHeight="1" s="53">
      <c r="A202" s="85" t="inlineStr">
        <is>
          <t>FIN-36.01</t>
        </is>
      </c>
      <c r="B202" s="89" t="inlineStr">
        <is>
          <t>FIN-36</t>
        </is>
      </c>
      <c r="C202" s="97">
        <f>IFERROR(INDEX(Thèmes!$D$2:$D$190,MATCH(B202,Thèmes!$A$2:$A$190,0)),"")</f>
        <v/>
      </c>
      <c r="D202" s="86" t="inlineStr">
        <is>
          <t>F19 · Votre pilotage</t>
        </is>
      </c>
      <c r="E202" s="86" t="inlineStr">
        <is>
          <t>Avant une dépense importante, vous vérifiez : la trésorerie, le retour attendu, plusieurs devis, rien de particulier</t>
        </is>
      </c>
      <c r="F202" s="86" t="inlineStr">
        <is>
          <t>Cases à cocher</t>
        </is>
      </c>
      <c r="G202" s="89" t="inlineStr">
        <is>
          <t>Demandée</t>
        </is>
      </c>
      <c r="H202" s="89" t="inlineStr">
        <is>
          <t>Essentiel</t>
        </is>
      </c>
      <c r="I202" s="86" t="inlineStr">
        <is>
          <t>—</t>
        </is>
      </c>
      <c r="J202" s="86" t="inlineStr">
        <is>
          <t>—</t>
        </is>
      </c>
      <c r="K202" s="89" t="inlineStr">
        <is>
          <t>●</t>
        </is>
      </c>
      <c r="L202" s="89" t="inlineStr">
        <is>
          <t>●</t>
        </is>
      </c>
      <c r="M202" s="89" t="inlineStr">
        <is>
          <t>●</t>
        </is>
      </c>
      <c r="N202" s="89" t="inlineStr">
        <is>
          <t>●</t>
        </is>
      </c>
      <c r="O202" s="89" t="inlineStr">
        <is>
          <t>●</t>
        </is>
      </c>
      <c r="P202" s="89" t="inlineStr">
        <is>
          <t>●</t>
        </is>
      </c>
      <c r="Q202" s="89" t="inlineStr">
        <is>
          <t>●</t>
        </is>
      </c>
      <c r="R202" s="89" t="inlineStr">
        <is>
          <t>●</t>
        </is>
      </c>
      <c r="S202" s="86" t="inlineStr">
        <is>
          <t>Levier</t>
        </is>
      </c>
      <c r="T202" s="86" t="inlineStr">
        <is>
          <t>—</t>
        </is>
      </c>
      <c r="U202" s="86" t="inlineStr">
        <is>
          <t>—</t>
        </is>
      </c>
      <c r="V202" s="86" t="inlineStr">
        <is>
          <t>XF46</t>
        </is>
      </c>
      <c r="W202" s="91" t="n"/>
    </row>
    <row r="203" ht="23.85" customHeight="1" s="53">
      <c r="A203" s="98" t="inlineStr">
        <is>
          <t>FIN-37.01</t>
        </is>
      </c>
      <c r="B203" s="89" t="inlineStr">
        <is>
          <t>FIN-37</t>
        </is>
      </c>
      <c r="C203" s="97">
        <f>IFERROR(INDEX(Thèmes!$D$2:$D$190,MATCH(B203,Thèmes!$A$2:$A$190,0)),"")</f>
        <v/>
      </c>
      <c r="D203" s="86" t="inlineStr">
        <is>
          <t>F20 · Votre stock</t>
        </is>
      </c>
      <c r="E203" s="86" t="inlineStr">
        <is>
          <t>Valeur du stock aujourd'hui, au prix d'achat</t>
        </is>
      </c>
      <c r="F203" s="86" t="inlineStr">
        <is>
          <t>€</t>
        </is>
      </c>
      <c r="G203" s="89" t="inlineStr">
        <is>
          <t>Demandée</t>
        </is>
      </c>
      <c r="H203" s="89" t="inlineStr">
        <is>
          <t>Essentiel</t>
        </is>
      </c>
      <c r="I203" s="100" t="inlineStr">
        <is>
          <t>D07 · si stock</t>
        </is>
      </c>
      <c r="J203" s="86" t="inlineStr">
        <is>
          <t>Aujourd'hui</t>
        </is>
      </c>
      <c r="K203" s="89" t="inlineStr">
        <is>
          <t>●</t>
        </is>
      </c>
      <c r="L203" s="89" t="inlineStr">
        <is>
          <t>●</t>
        </is>
      </c>
      <c r="M203" s="89" t="inlineStr">
        <is>
          <t>●</t>
        </is>
      </c>
      <c r="N203" s="89" t="inlineStr">
        <is>
          <t>●</t>
        </is>
      </c>
      <c r="O203" s="89" t="inlineStr">
        <is>
          <t>●</t>
        </is>
      </c>
      <c r="P203" s="89" t="inlineStr">
        <is>
          <t>●</t>
        </is>
      </c>
      <c r="Q203" s="89" t="inlineStr">
        <is>
          <t>●</t>
        </is>
      </c>
      <c r="R203" s="89" t="inlineStr">
        <is>
          <t>●</t>
        </is>
      </c>
      <c r="S203" s="86" t="inlineStr">
        <is>
          <t>Risque</t>
        </is>
      </c>
      <c r="T203" s="86" t="inlineStr">
        <is>
          <t>—</t>
        </is>
      </c>
      <c r="U203" s="86" t="inlineStr">
        <is>
          <t>—</t>
        </is>
      </c>
      <c r="V203" s="86" t="inlineStr">
        <is>
          <t>FIN-37.05, FIN-37.06, FIN-38.01, FIN-39.04, FIN-43.03, FIN-44.02, FIN-45.04, XF16, XF20, XF40</t>
        </is>
      </c>
      <c r="W203" s="91" t="inlineStr">
        <is>
          <t>Profils ou tailles concernés</t>
        </is>
      </c>
    </row>
    <row r="204" ht="23.85" customHeight="1" s="53">
      <c r="A204" s="94" t="inlineStr">
        <is>
          <t>FIN-37.02</t>
        </is>
      </c>
      <c r="B204" s="67" t="inlineStr">
        <is>
          <t>FIN-37</t>
        </is>
      </c>
      <c r="C204" s="95">
        <f>IFERROR(INDEX(Thèmes!$D$2:$D$190,MATCH(B204,Thèmes!$A$2:$A$190,0)),"")</f>
        <v/>
      </c>
      <c r="D204" s="68" t="inlineStr">
        <is>
          <t>F20 · Votre stock</t>
        </is>
      </c>
      <c r="E204" s="68" t="inlineStr">
        <is>
          <t>Valeur du stock il y a 12 mois</t>
        </is>
      </c>
      <c r="F204" s="68" t="inlineStr">
        <is>
          <t>€</t>
        </is>
      </c>
      <c r="G204" s="67" t="inlineStr">
        <is>
          <t>Demandée</t>
        </is>
      </c>
      <c r="H204" s="67" t="inlineStr">
        <is>
          <t>Approfondi</t>
        </is>
      </c>
      <c r="I204" s="99" t="inlineStr">
        <is>
          <t>D07 · si stock</t>
        </is>
      </c>
      <c r="J204" s="68" t="inlineStr">
        <is>
          <t>Il y a 12 mois (masquée avant 12 mois d'existence)</t>
        </is>
      </c>
      <c r="K204" s="67" t="inlineStr">
        <is>
          <t>●</t>
        </is>
      </c>
      <c r="L204" s="67" t="inlineStr">
        <is>
          <t>●</t>
        </is>
      </c>
      <c r="M204" s="67" t="inlineStr">
        <is>
          <t>●</t>
        </is>
      </c>
      <c r="N204" s="67" t="inlineStr">
        <is>
          <t>●</t>
        </is>
      </c>
      <c r="O204" s="67" t="inlineStr">
        <is>
          <t>●</t>
        </is>
      </c>
      <c r="P204" s="67" t="inlineStr">
        <is>
          <t>●</t>
        </is>
      </c>
      <c r="Q204" s="67" t="inlineStr">
        <is>
          <t>●</t>
        </is>
      </c>
      <c r="R204" s="67" t="inlineStr">
        <is>
          <t>●</t>
        </is>
      </c>
      <c r="S204" s="68" t="inlineStr">
        <is>
          <t>Problème</t>
        </is>
      </c>
      <c r="T204" s="68" t="inlineStr">
        <is>
          <t>—</t>
        </is>
      </c>
      <c r="U204" s="68" t="inlineStr">
        <is>
          <t>—</t>
        </is>
      </c>
      <c r="V204" s="68" t="inlineStr">
        <is>
          <t>FIN-37.06</t>
        </is>
      </c>
      <c r="W204" s="83" t="inlineStr">
        <is>
          <t>Profils ou tailles concernés</t>
        </is>
      </c>
    </row>
    <row r="205" ht="23.85" customHeight="1" s="53">
      <c r="A205" s="94" t="inlineStr">
        <is>
          <t>FIN-37.03</t>
        </is>
      </c>
      <c r="B205" s="67" t="inlineStr">
        <is>
          <t>FIN-37</t>
        </is>
      </c>
      <c r="C205" s="95">
        <f>IFERROR(INDEX(Thèmes!$D$2:$D$190,MATCH(B205,Thèmes!$A$2:$A$190,0)),"")</f>
        <v/>
      </c>
      <c r="D205" s="68" t="inlineStr">
        <is>
          <t>F20 · Votre stock</t>
        </is>
      </c>
      <c r="E205" s="68" t="inlineStr">
        <is>
          <t>Répartition du stock par grande catégorie (jusqu'à 5)</t>
        </is>
      </c>
      <c r="F205" s="68" t="inlineStr">
        <is>
          <t>% par ligne</t>
        </is>
      </c>
      <c r="G205" s="67" t="inlineStr">
        <is>
          <t>Demandée</t>
        </is>
      </c>
      <c r="H205" s="67" t="inlineStr">
        <is>
          <t>Approfondi</t>
        </is>
      </c>
      <c r="I205" s="99" t="inlineStr">
        <is>
          <t>D07 · si stock</t>
        </is>
      </c>
      <c r="J205" s="68" t="inlineStr">
        <is>
          <t>—</t>
        </is>
      </c>
      <c r="K205" s="67" t="inlineStr">
        <is>
          <t>●</t>
        </is>
      </c>
      <c r="L205" s="67" t="inlineStr">
        <is>
          <t>●</t>
        </is>
      </c>
      <c r="M205" s="67" t="inlineStr">
        <is>
          <t>●</t>
        </is>
      </c>
      <c r="N205" s="67" t="inlineStr">
        <is>
          <t>●</t>
        </is>
      </c>
      <c r="O205" s="67" t="inlineStr">
        <is>
          <t>●</t>
        </is>
      </c>
      <c r="P205" s="67" t="inlineStr">
        <is>
          <t>●</t>
        </is>
      </c>
      <c r="Q205" s="67" t="inlineStr">
        <is>
          <t>●</t>
        </is>
      </c>
      <c r="R205" s="67" t="inlineStr">
        <is>
          <t>●</t>
        </is>
      </c>
      <c r="S205" s="68" t="inlineStr">
        <is>
          <t>Levier</t>
        </is>
      </c>
      <c r="T205" s="68" t="inlineStr">
        <is>
          <t>—</t>
        </is>
      </c>
      <c r="U205" s="68" t="inlineStr">
        <is>
          <t>—</t>
        </is>
      </c>
      <c r="V205" s="68" t="inlineStr">
        <is>
          <t>Lue par l'IA pour adapter le conseil</t>
        </is>
      </c>
      <c r="W205" s="83" t="inlineStr">
        <is>
          <t>Profils ou tailles concernés</t>
        </is>
      </c>
    </row>
    <row r="206" ht="23.85" customHeight="1" s="53">
      <c r="A206" s="94" t="inlineStr">
        <is>
          <t>FIN-37.04</t>
        </is>
      </c>
      <c r="B206" s="67" t="inlineStr">
        <is>
          <t>FIN-37</t>
        </is>
      </c>
      <c r="C206" s="95">
        <f>IFERROR(INDEX(Thèmes!$D$2:$D$190,MATCH(B206,Thèmes!$A$2:$A$190,0)),"")</f>
        <v/>
      </c>
      <c r="D206" s="68" t="inlineStr">
        <is>
          <t>F20 · Votre stock</t>
        </is>
      </c>
      <c r="E206" s="68" t="inlineStr">
        <is>
          <t>Stock de sécurité prévu sur vos meilleures ventes, en jours de ventes</t>
        </is>
      </c>
      <c r="F206" s="68" t="inlineStr">
        <is>
          <t>Jours</t>
        </is>
      </c>
      <c r="G206" s="67" t="inlineStr">
        <is>
          <t>Demandée</t>
        </is>
      </c>
      <c r="H206" s="67" t="inlineStr">
        <is>
          <t>Approfondi</t>
        </is>
      </c>
      <c r="I206" s="99" t="inlineStr">
        <is>
          <t>D07 · si stock</t>
        </is>
      </c>
      <c r="J206" s="68" t="inlineStr">
        <is>
          <t>—</t>
        </is>
      </c>
      <c r="K206" s="67" t="inlineStr">
        <is>
          <t>●</t>
        </is>
      </c>
      <c r="L206" s="67" t="inlineStr">
        <is>
          <t>●</t>
        </is>
      </c>
      <c r="M206" s="67" t="inlineStr">
        <is>
          <t>●</t>
        </is>
      </c>
      <c r="N206" s="67" t="inlineStr">
        <is>
          <t>●</t>
        </is>
      </c>
      <c r="O206" s="67" t="inlineStr">
        <is>
          <t>●</t>
        </is>
      </c>
      <c r="P206" s="67" t="inlineStr">
        <is>
          <t>●</t>
        </is>
      </c>
      <c r="Q206" s="67" t="inlineStr">
        <is>
          <t>●</t>
        </is>
      </c>
      <c r="R206" s="67" t="inlineStr">
        <is>
          <t>●</t>
        </is>
      </c>
      <c r="S206" s="68" t="inlineStr">
        <is>
          <t>Risque</t>
        </is>
      </c>
      <c r="T206" s="68" t="inlineStr">
        <is>
          <t>—</t>
        </is>
      </c>
      <c r="U206" s="68" t="inlineStr">
        <is>
          <t>—</t>
        </is>
      </c>
      <c r="V206" s="68" t="inlineStr">
        <is>
          <t>FIN-41.05</t>
        </is>
      </c>
      <c r="W206" s="83" t="inlineStr">
        <is>
          <t>Profils ou tailles concernés</t>
        </is>
      </c>
    </row>
    <row r="207" ht="46.25" customHeight="1" s="53">
      <c r="A207" s="81" t="inlineStr">
        <is>
          <t>FIN-37.05</t>
        </is>
      </c>
      <c r="B207" s="67" t="inlineStr">
        <is>
          <t>FIN-37</t>
        </is>
      </c>
      <c r="C207" s="95">
        <f>IFERROR(INDEX(Thèmes!$D$2:$D$190,MATCH(B207,Thèmes!$A$2:$A$190,0)),"")</f>
        <v/>
      </c>
      <c r="D207" s="68" t="inlineStr">
        <is>
          <t>—</t>
        </is>
      </c>
      <c r="E207" s="68" t="inlineStr">
        <is>
          <t>Part du stock dans l'argent immobilisé par l'activité</t>
        </is>
      </c>
      <c r="F207" s="68" t="inlineStr">
        <is>
          <t>%</t>
        </is>
      </c>
      <c r="G207" s="96" t="inlineStr">
        <is>
          <t>Calculée</t>
        </is>
      </c>
      <c r="H207" s="67" t="inlineStr">
        <is>
          <t>—</t>
        </is>
      </c>
      <c r="I207" s="68" t="inlineStr">
        <is>
          <t>—</t>
        </is>
      </c>
      <c r="J207" s="68" t="inlineStr">
        <is>
          <t>—</t>
        </is>
      </c>
      <c r="K207" s="67" t="n"/>
      <c r="L207" s="67" t="inlineStr">
        <is>
          <t>●</t>
        </is>
      </c>
      <c r="M207" s="67" t="inlineStr">
        <is>
          <t>●</t>
        </is>
      </c>
      <c r="N207" s="67" t="inlineStr">
        <is>
          <t>●</t>
        </is>
      </c>
      <c r="O207" s="67" t="inlineStr">
        <is>
          <t>●</t>
        </is>
      </c>
      <c r="P207" s="67" t="n"/>
      <c r="Q207" s="67" t="n"/>
      <c r="R207" s="67" t="n"/>
      <c r="S207" s="68" t="inlineStr">
        <is>
          <t>Risque</t>
        </is>
      </c>
      <c r="T207" s="68" t="inlineStr">
        <is>
          <t>Stock ÷ (stock + argent dû par les clients + trésorerie)</t>
        </is>
      </c>
      <c r="U207" s="68" t="inlineStr">
        <is>
          <t>FIN-37.01, FIN-17.09, FIN-11.01</t>
        </is>
      </c>
      <c r="V207" s="68" t="inlineStr">
        <is>
          <t>Affichée dans le rapport</t>
        </is>
      </c>
      <c r="W207" s="83" t="n"/>
    </row>
    <row r="208" ht="23.85" customHeight="1" s="53">
      <c r="A208" s="81" t="inlineStr">
        <is>
          <t>FIN-37.06</t>
        </is>
      </c>
      <c r="B208" s="67" t="inlineStr">
        <is>
          <t>FIN-37</t>
        </is>
      </c>
      <c r="C208" s="95">
        <f>IFERROR(INDEX(Thèmes!$D$2:$D$190,MATCH(B208,Thèmes!$A$2:$A$190,0)),"")</f>
        <v/>
      </c>
      <c r="D208" s="68" t="inlineStr">
        <is>
          <t>—</t>
        </is>
      </c>
      <c r="E208" s="68" t="inlineStr">
        <is>
          <t>Évolution du stock comparée à celle du CA</t>
        </is>
      </c>
      <c r="F208" s="68" t="inlineStr">
        <is>
          <t>Points de %</t>
        </is>
      </c>
      <c r="G208" s="96" t="inlineStr">
        <is>
          <t>Calculée</t>
        </is>
      </c>
      <c r="H208" s="67" t="inlineStr">
        <is>
          <t>—</t>
        </is>
      </c>
      <c r="I208" s="68" t="inlineStr">
        <is>
          <t>—</t>
        </is>
      </c>
      <c r="J208" s="68" t="inlineStr">
        <is>
          <t>—</t>
        </is>
      </c>
      <c r="K208" s="67" t="n"/>
      <c r="L208" s="67" t="inlineStr">
        <is>
          <t>●</t>
        </is>
      </c>
      <c r="M208" s="67" t="inlineStr">
        <is>
          <t>●</t>
        </is>
      </c>
      <c r="N208" s="67" t="inlineStr">
        <is>
          <t>●</t>
        </is>
      </c>
      <c r="O208" s="67" t="inlineStr">
        <is>
          <t>●</t>
        </is>
      </c>
      <c r="P208" s="67" t="n"/>
      <c r="Q208" s="67" t="n"/>
      <c r="R208" s="67" t="inlineStr">
        <is>
          <t>●</t>
        </is>
      </c>
      <c r="S208" s="68" t="inlineStr">
        <is>
          <t>Problème</t>
        </is>
      </c>
      <c r="T208" s="68" t="inlineStr">
        <is>
          <t>Évolution de la valeur du stock (aujourd'hui contre il y a 12 mois) à côté de l'évolution du CA sur 12 mois (ACQ-23.10).</t>
        </is>
      </c>
      <c r="U208" s="68" t="inlineStr">
        <is>
          <t>FIN-37.01, FIN-37.02, ACQ-23.10</t>
        </is>
      </c>
      <c r="V208" s="68" t="inlineStr">
        <is>
          <t>XF41</t>
        </is>
      </c>
      <c r="W208" s="83" t="n"/>
    </row>
    <row r="209" ht="23.85" customHeight="1" s="53">
      <c r="A209" s="85" t="inlineStr">
        <is>
          <t>FIN-38.01</t>
        </is>
      </c>
      <c r="B209" s="89" t="inlineStr">
        <is>
          <t>FIN-38</t>
        </is>
      </c>
      <c r="C209" s="97">
        <f>IFERROR(INDEX(Thèmes!$D$2:$D$190,MATCH(B209,Thèmes!$A$2:$A$190,0)),"")</f>
        <v/>
      </c>
      <c r="D209" s="86" t="inlineStr">
        <is>
          <t>—</t>
        </is>
      </c>
      <c r="E209" s="86" t="inlineStr">
        <is>
          <t>Rotation du stock : jours de ventes couverts, et nombre de rotations par an</t>
        </is>
      </c>
      <c r="F209" s="86" t="inlineStr">
        <is>
          <t>Jours et nombre</t>
        </is>
      </c>
      <c r="G209" s="102" t="inlineStr">
        <is>
          <t>Calculée</t>
        </is>
      </c>
      <c r="H209" s="89" t="inlineStr">
        <is>
          <t>—</t>
        </is>
      </c>
      <c r="I209" s="86" t="inlineStr">
        <is>
          <t>—</t>
        </is>
      </c>
      <c r="J209" s="86" t="inlineStr">
        <is>
          <t>—</t>
        </is>
      </c>
      <c r="K209" s="89" t="n"/>
      <c r="L209" s="89" t="inlineStr">
        <is>
          <t>●</t>
        </is>
      </c>
      <c r="M209" s="89" t="inlineStr">
        <is>
          <t>●</t>
        </is>
      </c>
      <c r="N209" s="89" t="inlineStr">
        <is>
          <t>●</t>
        </is>
      </c>
      <c r="O209" s="89" t="inlineStr">
        <is>
          <t>●</t>
        </is>
      </c>
      <c r="P209" s="89" t="n"/>
      <c r="Q209" s="89" t="n"/>
      <c r="R209" s="89" t="inlineStr">
        <is>
          <t>●</t>
        </is>
      </c>
      <c r="S209" s="86" t="inlineStr">
        <is>
          <t>Cible</t>
        </is>
      </c>
      <c r="T209" s="86" t="inlineStr">
        <is>
          <t>Valeur du stock ÷ (achats mensuels ÷ 30) ; rotations par an = 365 ÷ jours</t>
        </is>
      </c>
      <c r="U209" s="86" t="inlineStr">
        <is>
          <t>FIN-37.01, FIN-08.01</t>
        </is>
      </c>
      <c r="V209" s="86" t="inlineStr">
        <is>
          <t>FIN-32.01, XF41</t>
        </is>
      </c>
      <c r="W209" s="91" t="n"/>
    </row>
    <row r="210" ht="15" customHeight="1" s="53">
      <c r="A210" s="98" t="inlineStr">
        <is>
          <t>FIN-39.01</t>
        </is>
      </c>
      <c r="B210" s="89" t="inlineStr">
        <is>
          <t>FIN-39</t>
        </is>
      </c>
      <c r="C210" s="97">
        <f>IFERROR(INDEX(Thèmes!$D$2:$D$190,MATCH(B210,Thèmes!$A$2:$A$190,0)),"")</f>
        <v/>
      </c>
      <c r="D210" s="86" t="inlineStr">
        <is>
          <t>F21 · Stock dormant et pertes</t>
        </is>
      </c>
      <c r="E210" s="86" t="inlineStr">
        <is>
          <t>Valeur du stock sans aucune vente depuis 3 mois, 6 mois, 12 mois</t>
        </is>
      </c>
      <c r="F210" s="86" t="inlineStr">
        <is>
          <t>3 montants</t>
        </is>
      </c>
      <c r="G210" s="89" t="inlineStr">
        <is>
          <t>Demandée</t>
        </is>
      </c>
      <c r="H210" s="89" t="inlineStr">
        <is>
          <t>Essentiel</t>
        </is>
      </c>
      <c r="I210" s="100" t="inlineStr">
        <is>
          <t>D07 · si stock</t>
        </is>
      </c>
      <c r="J210" s="86" t="inlineStr">
        <is>
          <t>Seulement les durées plus courtes que l'ancienneté (3, 6, 12 mois)</t>
        </is>
      </c>
      <c r="K210" s="89" t="inlineStr">
        <is>
          <t>●</t>
        </is>
      </c>
      <c r="L210" s="89" t="inlineStr">
        <is>
          <t>●</t>
        </is>
      </c>
      <c r="M210" s="89" t="inlineStr">
        <is>
          <t>●</t>
        </is>
      </c>
      <c r="N210" s="89" t="inlineStr">
        <is>
          <t>●</t>
        </is>
      </c>
      <c r="O210" s="89" t="inlineStr">
        <is>
          <t>●</t>
        </is>
      </c>
      <c r="P210" s="89" t="inlineStr">
        <is>
          <t>●</t>
        </is>
      </c>
      <c r="Q210" s="89" t="inlineStr">
        <is>
          <t>●</t>
        </is>
      </c>
      <c r="R210" s="89" t="inlineStr">
        <is>
          <t>●</t>
        </is>
      </c>
      <c r="S210" s="86" t="inlineStr">
        <is>
          <t>Perte</t>
        </is>
      </c>
      <c r="T210" s="86" t="inlineStr">
        <is>
          <t>—</t>
        </is>
      </c>
      <c r="U210" s="86" t="inlineStr">
        <is>
          <t>—</t>
        </is>
      </c>
      <c r="V210" s="86" t="inlineStr">
        <is>
          <t>FIN-39.04, FIN-39.05, XF40</t>
        </is>
      </c>
      <c r="W210" s="91" t="inlineStr">
        <is>
          <t>Profils ou tailles concernés</t>
        </is>
      </c>
    </row>
    <row r="211" ht="23.85" customHeight="1" s="53">
      <c r="A211" s="94" t="inlineStr">
        <is>
          <t>FIN-39.02</t>
        </is>
      </c>
      <c r="B211" s="67" t="inlineStr">
        <is>
          <t>FIN-39</t>
        </is>
      </c>
      <c r="C211" s="95">
        <f>IFERROR(INDEX(Thèmes!$D$2:$D$190,MATCH(B211,Thèmes!$A$2:$A$190,0)),"")</f>
        <v/>
      </c>
      <c r="D211" s="68" t="inlineStr">
        <is>
          <t>F21 · Stock dormant et pertes</t>
        </is>
      </c>
      <c r="E211" s="68" t="inlineStr">
        <is>
          <t>Nombre de références sans vente depuis plus de 6 mois</t>
        </is>
      </c>
      <c r="F211" s="68" t="inlineStr">
        <is>
          <t>Nombre</t>
        </is>
      </c>
      <c r="G211" s="67" t="inlineStr">
        <is>
          <t>Demandée</t>
        </is>
      </c>
      <c r="H211" s="67" t="inlineStr">
        <is>
          <t>Approfondi</t>
        </is>
      </c>
      <c r="I211" s="99" t="inlineStr">
        <is>
          <t>D07 · si stock</t>
        </is>
      </c>
      <c r="J211" s="68" t="inlineStr">
        <is>
          <t>—</t>
        </is>
      </c>
      <c r="K211" s="67" t="inlineStr">
        <is>
          <t>●</t>
        </is>
      </c>
      <c r="L211" s="67" t="inlineStr">
        <is>
          <t>●</t>
        </is>
      </c>
      <c r="M211" s="67" t="inlineStr">
        <is>
          <t>●</t>
        </is>
      </c>
      <c r="N211" s="67" t="inlineStr">
        <is>
          <t>●</t>
        </is>
      </c>
      <c r="O211" s="67" t="inlineStr">
        <is>
          <t>●</t>
        </is>
      </c>
      <c r="P211" s="67" t="inlineStr">
        <is>
          <t>●</t>
        </is>
      </c>
      <c r="Q211" s="67" t="inlineStr">
        <is>
          <t>●</t>
        </is>
      </c>
      <c r="R211" s="67" t="inlineStr">
        <is>
          <t>●</t>
        </is>
      </c>
      <c r="S211" s="68" t="inlineStr">
        <is>
          <t>Levier</t>
        </is>
      </c>
      <c r="T211" s="68" t="inlineStr">
        <is>
          <t>—</t>
        </is>
      </c>
      <c r="U211" s="68" t="inlineStr">
        <is>
          <t>—</t>
        </is>
      </c>
      <c r="V211" s="68" t="inlineStr">
        <is>
          <t>XF40</t>
        </is>
      </c>
      <c r="W211" s="83" t="inlineStr">
        <is>
          <t>Profils ou tailles concernés</t>
        </is>
      </c>
    </row>
    <row r="212" ht="46.25" customHeight="1" s="53">
      <c r="A212" s="94" t="inlineStr">
        <is>
          <t>FIN-39.03</t>
        </is>
      </c>
      <c r="B212" s="67" t="inlineStr">
        <is>
          <t>FIN-39</t>
        </is>
      </c>
      <c r="C212" s="95">
        <f>IFERROR(INDEX(Thèmes!$D$2:$D$190,MATCH(B212,Thèmes!$A$2:$A$190,0)),"")</f>
        <v/>
      </c>
      <c r="D212" s="68" t="inlineStr">
        <is>
          <t>F21 · Stock dormant et pertes</t>
        </is>
      </c>
      <c r="E212" s="68" t="inlineStr">
        <is>
          <t>Prix auquel vous pourriez écouler ce stock, en % du prix d'achat</t>
        </is>
      </c>
      <c r="F212" s="68" t="inlineStr">
        <is>
          <t>%</t>
        </is>
      </c>
      <c r="G212" s="67" t="inlineStr">
        <is>
          <t>Demandée</t>
        </is>
      </c>
      <c r="H212" s="67" t="inlineStr">
        <is>
          <t>Approfondi</t>
        </is>
      </c>
      <c r="I212" s="99" t="inlineStr">
        <is>
          <t>D07 · si stock</t>
        </is>
      </c>
      <c r="J212" s="68" t="inlineStr">
        <is>
          <t>—</t>
        </is>
      </c>
      <c r="K212" s="67" t="inlineStr">
        <is>
          <t>●</t>
        </is>
      </c>
      <c r="L212" s="67" t="inlineStr">
        <is>
          <t>●</t>
        </is>
      </c>
      <c r="M212" s="67" t="inlineStr">
        <is>
          <t>●</t>
        </is>
      </c>
      <c r="N212" s="67" t="inlineStr">
        <is>
          <t>●</t>
        </is>
      </c>
      <c r="O212" s="67" t="inlineStr">
        <is>
          <t>●</t>
        </is>
      </c>
      <c r="P212" s="67" t="inlineStr">
        <is>
          <t>●</t>
        </is>
      </c>
      <c r="Q212" s="67" t="inlineStr">
        <is>
          <t>●</t>
        </is>
      </c>
      <c r="R212" s="67" t="inlineStr">
        <is>
          <t>●</t>
        </is>
      </c>
      <c r="S212" s="68" t="inlineStr">
        <is>
          <t>Opportunité</t>
        </is>
      </c>
      <c r="T212" s="68" t="inlineStr">
        <is>
          <t>—</t>
        </is>
      </c>
      <c r="U212" s="68" t="inlineStr">
        <is>
          <t>—</t>
        </is>
      </c>
      <c r="V212" s="68" t="inlineStr">
        <is>
          <t>FIN-39.05</t>
        </is>
      </c>
      <c r="W212" s="83" t="inlineStr">
        <is>
          <t>Profils ou tailles concernés</t>
        </is>
      </c>
    </row>
    <row r="213" ht="35.05" customHeight="1" s="53">
      <c r="A213" s="81" t="inlineStr">
        <is>
          <t>FIN-39.04</t>
        </is>
      </c>
      <c r="B213" s="67" t="inlineStr">
        <is>
          <t>FIN-39</t>
        </is>
      </c>
      <c r="C213" s="95">
        <f>IFERROR(INDEX(Thèmes!$D$2:$D$190,MATCH(B213,Thèmes!$A$2:$A$190,0)),"")</f>
        <v/>
      </c>
      <c r="D213" s="68" t="inlineStr">
        <is>
          <t>—</t>
        </is>
      </c>
      <c r="E213" s="68" t="inlineStr">
        <is>
          <t>Part du stock dormant (plus de 6 mois)</t>
        </is>
      </c>
      <c r="F213" s="68" t="inlineStr">
        <is>
          <t>%</t>
        </is>
      </c>
      <c r="G213" s="96" t="inlineStr">
        <is>
          <t>Calculée</t>
        </is>
      </c>
      <c r="H213" s="67" t="inlineStr">
        <is>
          <t>—</t>
        </is>
      </c>
      <c r="I213" s="68" t="inlineStr">
        <is>
          <t>—</t>
        </is>
      </c>
      <c r="J213" s="68" t="inlineStr">
        <is>
          <t>—</t>
        </is>
      </c>
      <c r="K213" s="67" t="n"/>
      <c r="L213" s="67" t="inlineStr">
        <is>
          <t>●</t>
        </is>
      </c>
      <c r="M213" s="67" t="inlineStr">
        <is>
          <t>●</t>
        </is>
      </c>
      <c r="N213" s="67" t="inlineStr">
        <is>
          <t>●</t>
        </is>
      </c>
      <c r="O213" s="67" t="inlineStr">
        <is>
          <t>●</t>
        </is>
      </c>
      <c r="P213" s="67" t="n"/>
      <c r="Q213" s="67" t="n"/>
      <c r="R213" s="67" t="inlineStr">
        <is>
          <t>●</t>
        </is>
      </c>
      <c r="S213" s="68" t="inlineStr">
        <is>
          <t>Problème</t>
        </is>
      </c>
      <c r="T213" s="68" t="inlineStr">
        <is>
          <t>Stock sans vente depuis 6 mois ÷ stock total</t>
        </is>
      </c>
      <c r="U213" s="68" t="inlineStr">
        <is>
          <t>FIN-39.01, FIN-37.01</t>
        </is>
      </c>
      <c r="V213" s="68" t="inlineStr">
        <is>
          <t>XF40</t>
        </is>
      </c>
      <c r="W213" s="83" t="n"/>
    </row>
    <row r="214" ht="15" customHeight="1" s="53">
      <c r="A214" s="81" t="inlineStr">
        <is>
          <t>FIN-39.05</t>
        </is>
      </c>
      <c r="B214" s="67" t="inlineStr">
        <is>
          <t>FIN-39</t>
        </is>
      </c>
      <c r="C214" s="95">
        <f>IFERROR(INDEX(Thèmes!$D$2:$D$190,MATCH(B214,Thèmes!$A$2:$A$190,0)),"")</f>
        <v/>
      </c>
      <c r="D214" s="68" t="inlineStr">
        <is>
          <t>—</t>
        </is>
      </c>
      <c r="E214" s="68" t="inlineStr">
        <is>
          <t>Trésorerie récupérable en écoulant le stock dormant, et marge sacrifiée</t>
        </is>
      </c>
      <c r="F214" s="68" t="inlineStr">
        <is>
          <t>€</t>
        </is>
      </c>
      <c r="G214" s="96" t="inlineStr">
        <is>
          <t>Calculée</t>
        </is>
      </c>
      <c r="H214" s="67" t="inlineStr">
        <is>
          <t>—</t>
        </is>
      </c>
      <c r="I214" s="68" t="inlineStr">
        <is>
          <t>—</t>
        </is>
      </c>
      <c r="J214" s="68" t="inlineStr">
        <is>
          <t>—</t>
        </is>
      </c>
      <c r="K214" s="67" t="n"/>
      <c r="L214" s="67" t="inlineStr">
        <is>
          <t>●</t>
        </is>
      </c>
      <c r="M214" s="67" t="inlineStr">
        <is>
          <t>●</t>
        </is>
      </c>
      <c r="N214" s="67" t="inlineStr">
        <is>
          <t>●</t>
        </is>
      </c>
      <c r="O214" s="67" t="inlineStr">
        <is>
          <t>●</t>
        </is>
      </c>
      <c r="P214" s="67" t="n"/>
      <c r="Q214" s="67" t="n"/>
      <c r="R214" s="67" t="inlineStr">
        <is>
          <t>●</t>
        </is>
      </c>
      <c r="S214" s="68" t="inlineStr">
        <is>
          <t>Opportunité</t>
        </is>
      </c>
      <c r="T214" s="68" t="inlineStr">
        <is>
          <t>Valeur dormante × % de revente ; marge sacrifiée = valeur × (1 − % de revente)</t>
        </is>
      </c>
      <c r="U214" s="68" t="inlineStr">
        <is>
          <t>FIN-39.01, FIN-39.03</t>
        </is>
      </c>
      <c r="V214" s="68" t="inlineStr">
        <is>
          <t>XF40, S12</t>
        </is>
      </c>
      <c r="W214" s="83" t="n"/>
    </row>
    <row r="215" ht="23.85" customHeight="1" s="53">
      <c r="A215" s="98" t="inlineStr">
        <is>
          <t>FIN-40.01</t>
        </is>
      </c>
      <c r="B215" s="89" t="inlineStr">
        <is>
          <t>FIN-40</t>
        </is>
      </c>
      <c r="C215" s="97">
        <f>IFERROR(INDEX(Thèmes!$D$2:$D$190,MATCH(B215,Thèmes!$A$2:$A$190,0)),"")</f>
        <v/>
      </c>
      <c r="D215" s="86" t="inlineStr">
        <is>
          <t>F21 · Stock dormant et pertes</t>
        </is>
      </c>
      <c r="E215" s="86" t="inlineStr">
        <is>
          <t>Valeur perdue par mois, par cause : casse, péremption, vol, erreur de stock, invendus bradés, marchandise retournée non revendable (le coût de traitement des retours est en FIN-10)</t>
        </is>
      </c>
      <c r="F215" s="86" t="inlineStr">
        <is>
          <t>Tableau par cause (€)</t>
        </is>
      </c>
      <c r="G215" s="89" t="inlineStr">
        <is>
          <t>Demandée</t>
        </is>
      </c>
      <c r="H215" s="89" t="inlineStr">
        <is>
          <t>Essentiel</t>
        </is>
      </c>
      <c r="I215" s="100" t="inlineStr">
        <is>
          <t>D07 · si stock</t>
        </is>
      </c>
      <c r="J215" s="86" t="inlineStr">
        <is>
          <t>—</t>
        </is>
      </c>
      <c r="K215" s="89" t="inlineStr">
        <is>
          <t>●</t>
        </is>
      </c>
      <c r="L215" s="89" t="inlineStr">
        <is>
          <t>●</t>
        </is>
      </c>
      <c r="M215" s="89" t="inlineStr">
        <is>
          <t>●</t>
        </is>
      </c>
      <c r="N215" s="89" t="inlineStr">
        <is>
          <t>●</t>
        </is>
      </c>
      <c r="O215" s="89" t="inlineStr">
        <is>
          <t>●</t>
        </is>
      </c>
      <c r="P215" s="89" t="inlineStr">
        <is>
          <t>●</t>
        </is>
      </c>
      <c r="Q215" s="89" t="inlineStr">
        <is>
          <t>●</t>
        </is>
      </c>
      <c r="R215" s="89" t="inlineStr">
        <is>
          <t>●</t>
        </is>
      </c>
      <c r="S215" s="86" t="inlineStr">
        <is>
          <t>Perte</t>
        </is>
      </c>
      <c r="T215" s="86" t="inlineStr">
        <is>
          <t>—</t>
        </is>
      </c>
      <c r="U215" s="86" t="inlineStr">
        <is>
          <t>—</t>
        </is>
      </c>
      <c r="V215" s="86" t="inlineStr">
        <is>
          <t>FIN-40.03, FIN-40.04, FIN-40.05</t>
        </is>
      </c>
      <c r="W215" s="91" t="inlineStr">
        <is>
          <t>Profils ou tailles concernés</t>
        </is>
      </c>
    </row>
    <row r="216" ht="15" customHeight="1" s="53">
      <c r="A216" s="94" t="inlineStr">
        <is>
          <t>FIN-40.02</t>
        </is>
      </c>
      <c r="B216" s="67" t="inlineStr">
        <is>
          <t>FIN-40</t>
        </is>
      </c>
      <c r="C216" s="95">
        <f>IFERROR(INDEX(Thèmes!$D$2:$D$190,MATCH(B216,Thèmes!$A$2:$A$190,0)),"")</f>
        <v/>
      </c>
      <c r="D216" s="68" t="inlineStr">
        <is>
          <t>F21 · Stock dormant et pertes</t>
        </is>
      </c>
      <c r="E216" s="68" t="inlineStr">
        <is>
          <t>Pertes par rapport à il y a 12 mois : plus, autant, moins</t>
        </is>
      </c>
      <c r="F216" s="68" t="inlineStr">
        <is>
          <t>Choix</t>
        </is>
      </c>
      <c r="G216" s="67" t="inlineStr">
        <is>
          <t>Demandée</t>
        </is>
      </c>
      <c r="H216" s="67" t="inlineStr">
        <is>
          <t>Approfondi</t>
        </is>
      </c>
      <c r="I216" s="99" t="inlineStr">
        <is>
          <t>D07 · si stock</t>
        </is>
      </c>
      <c r="J216" s="68" t="inlineStr">
        <is>
          <t>Il y a 12 mois (masquée avant 12 mois d'existence)</t>
        </is>
      </c>
      <c r="K216" s="67" t="inlineStr">
        <is>
          <t>●</t>
        </is>
      </c>
      <c r="L216" s="67" t="inlineStr">
        <is>
          <t>●</t>
        </is>
      </c>
      <c r="M216" s="67" t="inlineStr">
        <is>
          <t>●</t>
        </is>
      </c>
      <c r="N216" s="67" t="inlineStr">
        <is>
          <t>●</t>
        </is>
      </c>
      <c r="O216" s="67" t="inlineStr">
        <is>
          <t>●</t>
        </is>
      </c>
      <c r="P216" s="67" t="inlineStr">
        <is>
          <t>●</t>
        </is>
      </c>
      <c r="Q216" s="67" t="inlineStr">
        <is>
          <t>●</t>
        </is>
      </c>
      <c r="R216" s="67" t="inlineStr">
        <is>
          <t>●</t>
        </is>
      </c>
      <c r="S216" s="68" t="inlineStr">
        <is>
          <t>Problème</t>
        </is>
      </c>
      <c r="T216" s="68" t="inlineStr">
        <is>
          <t>—</t>
        </is>
      </c>
      <c r="U216" s="68" t="inlineStr">
        <is>
          <t>—</t>
        </is>
      </c>
      <c r="V216" s="68" t="inlineStr">
        <is>
          <t>XF42</t>
        </is>
      </c>
      <c r="W216" s="83" t="inlineStr">
        <is>
          <t>Profils ou tailles concernés</t>
        </is>
      </c>
    </row>
    <row r="217" ht="23.85" customHeight="1" s="53">
      <c r="A217" s="81" t="inlineStr">
        <is>
          <t>FIN-40.03</t>
        </is>
      </c>
      <c r="B217" s="67" t="inlineStr">
        <is>
          <t>FIN-40</t>
        </is>
      </c>
      <c r="C217" s="95">
        <f>IFERROR(INDEX(Thèmes!$D$2:$D$190,MATCH(B217,Thèmes!$A$2:$A$190,0)),"")</f>
        <v/>
      </c>
      <c r="D217" s="68" t="inlineStr">
        <is>
          <t>—</t>
        </is>
      </c>
      <c r="E217" s="68" t="inlineStr">
        <is>
          <t>Pertes de stock par an</t>
        </is>
      </c>
      <c r="F217" s="68" t="inlineStr">
        <is>
          <t>€</t>
        </is>
      </c>
      <c r="G217" s="96" t="inlineStr">
        <is>
          <t>Calculée</t>
        </is>
      </c>
      <c r="H217" s="67" t="inlineStr">
        <is>
          <t>—</t>
        </is>
      </c>
      <c r="I217" s="68" t="inlineStr">
        <is>
          <t>—</t>
        </is>
      </c>
      <c r="J217" s="68" t="inlineStr">
        <is>
          <t>—</t>
        </is>
      </c>
      <c r="K217" s="67" t="n"/>
      <c r="L217" s="67" t="inlineStr">
        <is>
          <t>●</t>
        </is>
      </c>
      <c r="M217" s="67" t="inlineStr">
        <is>
          <t>●</t>
        </is>
      </c>
      <c r="N217" s="67" t="inlineStr">
        <is>
          <t>●</t>
        </is>
      </c>
      <c r="O217" s="67" t="inlineStr">
        <is>
          <t>●</t>
        </is>
      </c>
      <c r="P217" s="67" t="n"/>
      <c r="Q217" s="67" t="n"/>
      <c r="R217" s="67" t="inlineStr">
        <is>
          <t>●</t>
        </is>
      </c>
      <c r="S217" s="68" t="inlineStr">
        <is>
          <t>Perte</t>
        </is>
      </c>
      <c r="T217" s="68" t="inlineStr">
        <is>
          <t>Somme des causes × 12</t>
        </is>
      </c>
      <c r="U217" s="68" t="inlineStr">
        <is>
          <t>FIN-40.01</t>
        </is>
      </c>
      <c r="V217" s="68" t="inlineStr">
        <is>
          <t>XF13, XF42, XF49</t>
        </is>
      </c>
      <c r="W217" s="83" t="n"/>
    </row>
    <row r="218" ht="23.85" customHeight="1" s="53">
      <c r="A218" s="81" t="inlineStr">
        <is>
          <t>FIN-40.04</t>
        </is>
      </c>
      <c r="B218" s="67" t="inlineStr">
        <is>
          <t>FIN-40</t>
        </is>
      </c>
      <c r="C218" s="95">
        <f>IFERROR(INDEX(Thèmes!$D$2:$D$190,MATCH(B218,Thèmes!$A$2:$A$190,0)),"")</f>
        <v/>
      </c>
      <c r="D218" s="68" t="inlineStr">
        <is>
          <t>—</t>
        </is>
      </c>
      <c r="E218" s="68" t="inlineStr">
        <is>
          <t>Pertes en % des achats et en % du CA</t>
        </is>
      </c>
      <c r="F218" s="68" t="inlineStr">
        <is>
          <t>%</t>
        </is>
      </c>
      <c r="G218" s="96" t="inlineStr">
        <is>
          <t>Calculée</t>
        </is>
      </c>
      <c r="H218" s="67" t="inlineStr">
        <is>
          <t>—</t>
        </is>
      </c>
      <c r="I218" s="68" t="inlineStr">
        <is>
          <t>—</t>
        </is>
      </c>
      <c r="J218" s="68" t="inlineStr">
        <is>
          <t>—</t>
        </is>
      </c>
      <c r="K218" s="67" t="n"/>
      <c r="L218" s="67" t="inlineStr">
        <is>
          <t>●</t>
        </is>
      </c>
      <c r="M218" s="67" t="inlineStr">
        <is>
          <t>●</t>
        </is>
      </c>
      <c r="N218" s="67" t="inlineStr">
        <is>
          <t>●</t>
        </is>
      </c>
      <c r="O218" s="67" t="inlineStr">
        <is>
          <t>●</t>
        </is>
      </c>
      <c r="P218" s="67" t="n"/>
      <c r="Q218" s="67" t="n"/>
      <c r="R218" s="67" t="inlineStr">
        <is>
          <t>●</t>
        </is>
      </c>
      <c r="S218" s="68" t="inlineStr">
        <is>
          <t>Cible</t>
        </is>
      </c>
      <c r="T218" s="68" t="inlineStr">
        <is>
          <t>Pertes ÷ achats, et ÷ CA</t>
        </is>
      </c>
      <c r="U218" s="68" t="inlineStr">
        <is>
          <t>FIN-40.01, FIN-08.01, Inscription · CA mensuel</t>
        </is>
      </c>
      <c r="V218" s="68" t="inlineStr">
        <is>
          <t>XF42</t>
        </is>
      </c>
      <c r="W218" s="83" t="n"/>
    </row>
    <row r="219" ht="23.85" customHeight="1" s="53">
      <c r="A219" s="81" t="inlineStr">
        <is>
          <t>FIN-40.05</t>
        </is>
      </c>
      <c r="B219" s="67" t="inlineStr">
        <is>
          <t>FIN-40</t>
        </is>
      </c>
      <c r="C219" s="95">
        <f>IFERROR(INDEX(Thèmes!$D$2:$D$190,MATCH(B219,Thèmes!$A$2:$A$190,0)),"")</f>
        <v/>
      </c>
      <c r="D219" s="68" t="inlineStr">
        <is>
          <t>—</t>
        </is>
      </c>
      <c r="E219" s="68" t="inlineStr">
        <is>
          <t>Cause principale des pertes</t>
        </is>
      </c>
      <c r="F219" s="68" t="inlineStr">
        <is>
          <t>Cause et €</t>
        </is>
      </c>
      <c r="G219" s="96" t="inlineStr">
        <is>
          <t>Calculée</t>
        </is>
      </c>
      <c r="H219" s="67" t="inlineStr">
        <is>
          <t>—</t>
        </is>
      </c>
      <c r="I219" s="68" t="inlineStr">
        <is>
          <t>—</t>
        </is>
      </c>
      <c r="J219" s="68" t="inlineStr">
        <is>
          <t>—</t>
        </is>
      </c>
      <c r="K219" s="67" t="n"/>
      <c r="L219" s="67" t="inlineStr">
        <is>
          <t>●</t>
        </is>
      </c>
      <c r="M219" s="67" t="inlineStr">
        <is>
          <t>●</t>
        </is>
      </c>
      <c r="N219" s="67" t="inlineStr">
        <is>
          <t>●</t>
        </is>
      </c>
      <c r="O219" s="67" t="inlineStr">
        <is>
          <t>●</t>
        </is>
      </c>
      <c r="P219" s="67" t="n"/>
      <c r="Q219" s="67" t="n"/>
      <c r="R219" s="67" t="inlineStr">
        <is>
          <t>●</t>
        </is>
      </c>
      <c r="S219" s="68" t="inlineStr">
        <is>
          <t>Levier</t>
        </is>
      </c>
      <c r="T219" s="68" t="inlineStr">
        <is>
          <t>Cause dont le montant est le plus élevé</t>
        </is>
      </c>
      <c r="U219" s="68" t="inlineStr">
        <is>
          <t>FIN-40.01</t>
        </is>
      </c>
      <c r="V219" s="68" t="inlineStr">
        <is>
          <t>XF42</t>
        </is>
      </c>
      <c r="W219" s="83" t="n"/>
    </row>
    <row r="220" ht="15" customHeight="1" s="53">
      <c r="A220" s="98" t="inlineStr">
        <is>
          <t>FIN-41.01</t>
        </is>
      </c>
      <c r="B220" s="89" t="inlineStr">
        <is>
          <t>FIN-41</t>
        </is>
      </c>
      <c r="C220" s="97">
        <f>IFERROR(INDEX(Thèmes!$D$2:$D$190,MATCH(B220,Thèmes!$A$2:$A$190,0)),"")</f>
        <v/>
      </c>
      <c r="D220" s="86" t="inlineStr">
        <is>
          <t>F22 · Ruptures et commandes fournisseurs</t>
        </is>
      </c>
      <c r="E220" s="86" t="inlineStr">
        <is>
          <t>Ruptures par mois sur vos 20 meilleures ventes, et durée moyenne d'une rupture — déclencheur D42</t>
        </is>
      </c>
      <c r="F220" s="86" t="inlineStr">
        <is>
          <t>Nombre et jours</t>
        </is>
      </c>
      <c r="G220" s="89" t="inlineStr">
        <is>
          <t>Demandée</t>
        </is>
      </c>
      <c r="H220" s="89" t="inlineStr">
        <is>
          <t>Essentiel</t>
        </is>
      </c>
      <c r="I220" s="100" t="inlineStr">
        <is>
          <t>D07 · si stock</t>
        </is>
      </c>
      <c r="J220" s="86" t="inlineStr">
        <is>
          <t>—</t>
        </is>
      </c>
      <c r="K220" s="89" t="inlineStr">
        <is>
          <t>●</t>
        </is>
      </c>
      <c r="L220" s="89" t="inlineStr">
        <is>
          <t>●</t>
        </is>
      </c>
      <c r="M220" s="89" t="inlineStr">
        <is>
          <t>●</t>
        </is>
      </c>
      <c r="N220" s="89" t="inlineStr">
        <is>
          <t>●</t>
        </is>
      </c>
      <c r="O220" s="89" t="inlineStr">
        <is>
          <t>●</t>
        </is>
      </c>
      <c r="P220" s="89" t="inlineStr">
        <is>
          <t>●</t>
        </is>
      </c>
      <c r="Q220" s="89" t="inlineStr">
        <is>
          <t>●</t>
        </is>
      </c>
      <c r="R220" s="89" t="inlineStr">
        <is>
          <t>●</t>
        </is>
      </c>
      <c r="S220" s="86" t="inlineStr">
        <is>
          <t>Perte</t>
        </is>
      </c>
      <c r="T220" s="86" t="inlineStr">
        <is>
          <t>—</t>
        </is>
      </c>
      <c r="U220" s="86" t="inlineStr">
        <is>
          <t>—</t>
        </is>
      </c>
      <c r="V220" s="86" t="inlineStr">
        <is>
          <t>FIN-41.04</t>
        </is>
      </c>
      <c r="W220" s="91" t="inlineStr">
        <is>
          <t>Libellé (« Donnée ») · Profils ou tailles concernés</t>
        </is>
      </c>
    </row>
    <row r="221" ht="23.85" customHeight="1" s="53">
      <c r="A221" s="94" t="inlineStr">
        <is>
          <t>FIN-41.02</t>
        </is>
      </c>
      <c r="B221" s="67" t="inlineStr">
        <is>
          <t>FIN-41</t>
        </is>
      </c>
      <c r="C221" s="95">
        <f>IFERROR(INDEX(Thèmes!$D$2:$D$190,MATCH(B221,Thèmes!$A$2:$A$190,0)),"")</f>
        <v/>
      </c>
      <c r="D221" s="68" t="inlineStr">
        <is>
          <t>F22 · Ruptures et commandes fournisseurs</t>
        </is>
      </c>
      <c r="E221" s="68" t="inlineStr">
        <is>
          <t>Pendant les ruptures : ventes perdues (clients repartis sans rien) et commandes reportées, par mois</t>
        </is>
      </c>
      <c r="F221" s="68" t="inlineStr">
        <is>
          <t>Nombre (2 colonnes)</t>
        </is>
      </c>
      <c r="G221" s="67" t="inlineStr">
        <is>
          <t>Demandée</t>
        </is>
      </c>
      <c r="H221" s="67" t="inlineStr">
        <is>
          <t>Approfondi</t>
        </is>
      </c>
      <c r="I221" s="99" t="inlineStr">
        <is>
          <t>D42 · si vous avez des ruptures</t>
        </is>
      </c>
      <c r="J221" s="68" t="inlineStr">
        <is>
          <t>—</t>
        </is>
      </c>
      <c r="K221" s="67" t="inlineStr">
        <is>
          <t>●</t>
        </is>
      </c>
      <c r="L221" s="67" t="inlineStr">
        <is>
          <t>●</t>
        </is>
      </c>
      <c r="M221" s="67" t="inlineStr">
        <is>
          <t>●</t>
        </is>
      </c>
      <c r="N221" s="67" t="inlineStr">
        <is>
          <t>●</t>
        </is>
      </c>
      <c r="O221" s="67" t="inlineStr">
        <is>
          <t>●</t>
        </is>
      </c>
      <c r="P221" s="67" t="inlineStr">
        <is>
          <t>●</t>
        </is>
      </c>
      <c r="Q221" s="67" t="inlineStr">
        <is>
          <t>●</t>
        </is>
      </c>
      <c r="R221" s="67" t="inlineStr">
        <is>
          <t>●</t>
        </is>
      </c>
      <c r="S221" s="68" t="inlineStr">
        <is>
          <t>Perte</t>
        </is>
      </c>
      <c r="T221" s="68" t="inlineStr">
        <is>
          <t>—</t>
        </is>
      </c>
      <c r="U221" s="68" t="inlineStr">
        <is>
          <t>—</t>
        </is>
      </c>
      <c r="V221" s="68" t="inlineStr">
        <is>
          <t>FIN-41.03</t>
        </is>
      </c>
      <c r="W221" s="83" t="inlineStr">
        <is>
          <t>Condition d'affichage · Niveau · Profils ou tailles concernés</t>
        </is>
      </c>
    </row>
    <row r="222" ht="35.05" customHeight="1" s="53">
      <c r="A222" s="81" t="inlineStr">
        <is>
          <t>FIN-41.03</t>
        </is>
      </c>
      <c r="B222" s="67" t="inlineStr">
        <is>
          <t>FIN-41</t>
        </is>
      </c>
      <c r="C222" s="95">
        <f>IFERROR(INDEX(Thèmes!$D$2:$D$190,MATCH(B222,Thèmes!$A$2:$A$190,0)),"")</f>
        <v/>
      </c>
      <c r="D222" s="68" t="inlineStr">
        <is>
          <t>—</t>
        </is>
      </c>
      <c r="E222" s="68" t="inlineStr">
        <is>
          <t>CA et marge perdus par an à cause des ruptures</t>
        </is>
      </c>
      <c r="F222" s="68" t="inlineStr">
        <is>
          <t>€</t>
        </is>
      </c>
      <c r="G222" s="96" t="inlineStr">
        <is>
          <t>Calculée</t>
        </is>
      </c>
      <c r="H222" s="67" t="inlineStr">
        <is>
          <t>—</t>
        </is>
      </c>
      <c r="I222" s="68" t="inlineStr">
        <is>
          <t>—</t>
        </is>
      </c>
      <c r="J222" s="68" t="inlineStr">
        <is>
          <t>—</t>
        </is>
      </c>
      <c r="K222" s="67" t="n"/>
      <c r="L222" s="67" t="inlineStr">
        <is>
          <t>●</t>
        </is>
      </c>
      <c r="M222" s="67" t="inlineStr">
        <is>
          <t>●</t>
        </is>
      </c>
      <c r="N222" s="67" t="inlineStr">
        <is>
          <t>●</t>
        </is>
      </c>
      <c r="O222" s="67" t="inlineStr">
        <is>
          <t>●</t>
        </is>
      </c>
      <c r="P222" s="67" t="n"/>
      <c r="Q222" s="67" t="n"/>
      <c r="R222" s="67" t="n"/>
      <c r="S222" s="68" t="inlineStr">
        <is>
          <t>Perte</t>
        </is>
      </c>
      <c r="T222" s="68" t="inlineStr">
        <is>
          <t>Ventes perdues × panier moyen × 12, puis × taux de marge</t>
        </is>
      </c>
      <c r="U222" s="68" t="inlineStr">
        <is>
          <t>FIN-41.02, ACQ-15.06, FIN-06.08</t>
        </is>
      </c>
      <c r="V222" s="68" t="inlineStr">
        <is>
          <t>XF43</t>
        </is>
      </c>
      <c r="W222" s="83" t="n"/>
    </row>
    <row r="223" ht="23.85" customHeight="1" s="53">
      <c r="A223" s="81" t="inlineStr">
        <is>
          <t>FIN-41.04</t>
        </is>
      </c>
      <c r="B223" s="67" t="inlineStr">
        <is>
          <t>FIN-41</t>
        </is>
      </c>
      <c r="C223" s="95">
        <f>IFERROR(INDEX(Thèmes!$D$2:$D$190,MATCH(B223,Thèmes!$A$2:$A$190,0)),"")</f>
        <v/>
      </c>
      <c r="D223" s="68" t="inlineStr">
        <is>
          <t>—</t>
        </is>
      </c>
      <c r="E223" s="68" t="inlineStr">
        <is>
          <t>Disponibilité de vos meilleures ventes</t>
        </is>
      </c>
      <c r="F223" s="68" t="inlineStr">
        <is>
          <t>%</t>
        </is>
      </c>
      <c r="G223" s="96" t="inlineStr">
        <is>
          <t>Calculée</t>
        </is>
      </c>
      <c r="H223" s="67" t="inlineStr">
        <is>
          <t>—</t>
        </is>
      </c>
      <c r="I223" s="68" t="inlineStr">
        <is>
          <t>—</t>
        </is>
      </c>
      <c r="J223" s="68" t="inlineStr">
        <is>
          <t>—</t>
        </is>
      </c>
      <c r="K223" s="67" t="n"/>
      <c r="L223" s="67" t="inlineStr">
        <is>
          <t>●</t>
        </is>
      </c>
      <c r="M223" s="67" t="inlineStr">
        <is>
          <t>●</t>
        </is>
      </c>
      <c r="N223" s="67" t="inlineStr">
        <is>
          <t>●</t>
        </is>
      </c>
      <c r="O223" s="67" t="inlineStr">
        <is>
          <t>●</t>
        </is>
      </c>
      <c r="P223" s="67" t="n"/>
      <c r="Q223" s="67" t="n"/>
      <c r="R223" s="67" t="inlineStr">
        <is>
          <t>●</t>
        </is>
      </c>
      <c r="S223" s="68" t="inlineStr">
        <is>
          <t>Cible</t>
        </is>
      </c>
      <c r="T223" s="68" t="inlineStr">
        <is>
          <t>1 − (ruptures × durée) ÷ (20 références × 30 jours)</t>
        </is>
      </c>
      <c r="U223" s="68" t="inlineStr">
        <is>
          <t>FIN-41.01</t>
        </is>
      </c>
      <c r="V223" s="68" t="inlineStr">
        <is>
          <t>XF43</t>
        </is>
      </c>
      <c r="W223" s="83" t="n"/>
    </row>
    <row r="224" ht="15" customHeight="1" s="53">
      <c r="A224" s="81" t="inlineStr">
        <is>
          <t>FIN-41.05</t>
        </is>
      </c>
      <c r="B224" s="67" t="inlineStr">
        <is>
          <t>FIN-41</t>
        </is>
      </c>
      <c r="C224" s="95">
        <f>IFERROR(INDEX(Thèmes!$D$2:$D$190,MATCH(B224,Thèmes!$A$2:$A$190,0)),"")</f>
        <v/>
      </c>
      <c r="D224" s="68" t="inlineStr">
        <is>
          <t>—</t>
        </is>
      </c>
      <c r="E224" s="68" t="inlineStr">
        <is>
          <t>Stock de sécurité face au délai fournisseur</t>
        </is>
      </c>
      <c r="F224" s="68" t="inlineStr">
        <is>
          <t>Jours</t>
        </is>
      </c>
      <c r="G224" s="96" t="inlineStr">
        <is>
          <t>Calculée</t>
        </is>
      </c>
      <c r="H224" s="67" t="inlineStr">
        <is>
          <t>—</t>
        </is>
      </c>
      <c r="I224" s="68" t="inlineStr">
        <is>
          <t>—</t>
        </is>
      </c>
      <c r="J224" s="68" t="inlineStr">
        <is>
          <t>—</t>
        </is>
      </c>
      <c r="K224" s="67" t="n"/>
      <c r="L224" s="67" t="inlineStr">
        <is>
          <t>●</t>
        </is>
      </c>
      <c r="M224" s="67" t="inlineStr">
        <is>
          <t>●</t>
        </is>
      </c>
      <c r="N224" s="67" t="inlineStr">
        <is>
          <t>●</t>
        </is>
      </c>
      <c r="O224" s="67" t="inlineStr">
        <is>
          <t>●</t>
        </is>
      </c>
      <c r="P224" s="67" t="n"/>
      <c r="Q224" s="67" t="n"/>
      <c r="R224" s="67" t="inlineStr">
        <is>
          <t>●</t>
        </is>
      </c>
      <c r="S224" s="68" t="inlineStr">
        <is>
          <t>Risque</t>
        </is>
      </c>
      <c r="T224" s="68" t="inlineStr">
        <is>
          <t>Stock de sécurité − délai de livraison du fournisseur principal</t>
        </is>
      </c>
      <c r="U224" s="68" t="inlineStr">
        <is>
          <t>FIN-37.04, FIN-08.06</t>
        </is>
      </c>
      <c r="V224" s="68" t="inlineStr">
        <is>
          <t>XF43</t>
        </is>
      </c>
      <c r="W224" s="83" t="n"/>
    </row>
    <row r="225" ht="23.85" customHeight="1" s="53">
      <c r="A225" s="98" t="inlineStr">
        <is>
          <t>FIN-42.01</t>
        </is>
      </c>
      <c r="B225" s="89" t="inlineStr">
        <is>
          <t>FIN-42</t>
        </is>
      </c>
      <c r="C225" s="97">
        <f>IFERROR(INDEX(Thèmes!$D$2:$D$190,MATCH(B225,Thèmes!$A$2:$A$190,0)),"")</f>
        <v/>
      </c>
      <c r="D225" s="86" t="inlineStr">
        <is>
          <t>F22 · Ruptures et commandes fournisseurs</t>
        </is>
      </c>
      <c r="E225" s="86" t="inlineStr">
        <is>
          <t>Commandes fournisseurs par mois, et méthode : seuil de recommande pour chaque référence, pour les principales seulement, à l'instinct</t>
        </is>
      </c>
      <c r="F225" s="86" t="inlineStr">
        <is>
          <t>Nombre et choix</t>
        </is>
      </c>
      <c r="G225" s="89" t="inlineStr">
        <is>
          <t>Demandée</t>
        </is>
      </c>
      <c r="H225" s="89" t="inlineStr">
        <is>
          <t>Essentiel</t>
        </is>
      </c>
      <c r="I225" s="100" t="inlineStr">
        <is>
          <t>D07 · si stock</t>
        </is>
      </c>
      <c r="J225" s="86" t="inlineStr">
        <is>
          <t>—</t>
        </is>
      </c>
      <c r="K225" s="89" t="inlineStr">
        <is>
          <t>●</t>
        </is>
      </c>
      <c r="L225" s="89" t="inlineStr">
        <is>
          <t>●</t>
        </is>
      </c>
      <c r="M225" s="89" t="inlineStr">
        <is>
          <t>●</t>
        </is>
      </c>
      <c r="N225" s="89" t="inlineStr">
        <is>
          <t>●</t>
        </is>
      </c>
      <c r="O225" s="89" t="inlineStr">
        <is>
          <t>●</t>
        </is>
      </c>
      <c r="P225" s="89" t="inlineStr">
        <is>
          <t>●</t>
        </is>
      </c>
      <c r="Q225" s="89" t="inlineStr">
        <is>
          <t>●</t>
        </is>
      </c>
      <c r="R225" s="89" t="inlineStr">
        <is>
          <t>●</t>
        </is>
      </c>
      <c r="S225" s="86" t="inlineStr">
        <is>
          <t>Levier</t>
        </is>
      </c>
      <c r="T225" s="86" t="inlineStr">
        <is>
          <t>—</t>
        </is>
      </c>
      <c r="U225" s="86" t="inlineStr">
        <is>
          <t>—</t>
        </is>
      </c>
      <c r="V225" s="86" t="inlineStr">
        <is>
          <t>XF43</t>
        </is>
      </c>
      <c r="W225" s="91" t="inlineStr">
        <is>
          <t>Profils ou tailles concernés</t>
        </is>
      </c>
    </row>
    <row r="226" ht="35.05" customHeight="1" s="53">
      <c r="A226" s="85" t="inlineStr">
        <is>
          <t>FIN-43.01</t>
        </is>
      </c>
      <c r="B226" s="89" t="inlineStr">
        <is>
          <t>FIN-43</t>
        </is>
      </c>
      <c r="C226" s="97">
        <f>IFERROR(INDEX(Thèmes!$D$2:$D$190,MATCH(B226,Thèmes!$A$2:$A$190,0)),"")</f>
        <v/>
      </c>
      <c r="D226" s="86" t="inlineStr">
        <is>
          <t>F20 · Votre stock</t>
        </is>
      </c>
      <c r="E226" s="86" t="inlineStr">
        <is>
          <t>Nombre total de références et part du CA faite par les 10 meilleures</t>
        </is>
      </c>
      <c r="F226" s="86" t="inlineStr">
        <is>
          <t>Nombre et %</t>
        </is>
      </c>
      <c r="G226" s="103" t="inlineStr">
        <is>
          <t>Importée</t>
        </is>
      </c>
      <c r="H226" s="89" t="inlineStr">
        <is>
          <t>Essentiel</t>
        </is>
      </c>
      <c r="I226" s="100" t="inlineStr">
        <is>
          <t>D07 · si stock</t>
        </is>
      </c>
      <c r="J226" s="86" t="inlineStr">
        <is>
          <t>—</t>
        </is>
      </c>
      <c r="K226" s="89" t="n"/>
      <c r="L226" s="89" t="inlineStr">
        <is>
          <t>●</t>
        </is>
      </c>
      <c r="M226" s="89" t="inlineStr">
        <is>
          <t>●</t>
        </is>
      </c>
      <c r="N226" s="89" t="inlineStr">
        <is>
          <t>●</t>
        </is>
      </c>
      <c r="O226" s="89" t="inlineStr">
        <is>
          <t>●</t>
        </is>
      </c>
      <c r="P226" s="89" t="n"/>
      <c r="Q226" s="89" t="n"/>
      <c r="R226" s="89" t="inlineStr">
        <is>
          <t>●</t>
        </is>
      </c>
      <c r="S226" s="86" t="inlineStr">
        <is>
          <t>Risque</t>
        </is>
      </c>
      <c r="T226" s="86" t="inlineStr">
        <is>
          <t>Lu dans la caisse ou la boutique en ligne si elle est connectée</t>
        </is>
      </c>
      <c r="U226" s="86" t="inlineStr">
        <is>
          <t>—</t>
        </is>
      </c>
      <c r="V226" s="86" t="inlineStr">
        <is>
          <t>FIN-43.03</t>
        </is>
      </c>
      <c r="W226" s="91" t="n"/>
    </row>
    <row r="227" ht="23.85" customHeight="1" s="53">
      <c r="A227" s="94" t="inlineStr">
        <is>
          <t>FIN-43.02</t>
        </is>
      </c>
      <c r="B227" s="67" t="inlineStr">
        <is>
          <t>FIN-43</t>
        </is>
      </c>
      <c r="C227" s="95">
        <f>IFERROR(INDEX(Thèmes!$D$2:$D$190,MATCH(B227,Thèmes!$A$2:$A$190,0)),"")</f>
        <v/>
      </c>
      <c r="D227" s="68" t="inlineStr">
        <is>
          <t>F20 · Votre stock</t>
        </is>
      </c>
      <c r="E227" s="68" t="inlineStr">
        <is>
          <t>Valeur en stock de ces 10 meilleures références</t>
        </is>
      </c>
      <c r="F227" s="68" t="inlineStr">
        <is>
          <t>€</t>
        </is>
      </c>
      <c r="G227" s="67" t="inlineStr">
        <is>
          <t>Demandée</t>
        </is>
      </c>
      <c r="H227" s="67" t="inlineStr">
        <is>
          <t>Approfondi</t>
        </is>
      </c>
      <c r="I227" s="99" t="inlineStr">
        <is>
          <t>D07 · si stock</t>
        </is>
      </c>
      <c r="J227" s="68" t="inlineStr">
        <is>
          <t>—</t>
        </is>
      </c>
      <c r="K227" s="67" t="inlineStr">
        <is>
          <t>●</t>
        </is>
      </c>
      <c r="L227" s="67" t="inlineStr">
        <is>
          <t>●</t>
        </is>
      </c>
      <c r="M227" s="67" t="inlineStr">
        <is>
          <t>●</t>
        </is>
      </c>
      <c r="N227" s="67" t="inlineStr">
        <is>
          <t>●</t>
        </is>
      </c>
      <c r="O227" s="67" t="inlineStr">
        <is>
          <t>●</t>
        </is>
      </c>
      <c r="P227" s="67" t="inlineStr">
        <is>
          <t>●</t>
        </is>
      </c>
      <c r="Q227" s="67" t="inlineStr">
        <is>
          <t>●</t>
        </is>
      </c>
      <c r="R227" s="67" t="inlineStr">
        <is>
          <t>●</t>
        </is>
      </c>
      <c r="S227" s="68" t="inlineStr">
        <is>
          <t>Levier</t>
        </is>
      </c>
      <c r="T227" s="68" t="inlineStr">
        <is>
          <t>—</t>
        </is>
      </c>
      <c r="U227" s="68" t="inlineStr">
        <is>
          <t>—</t>
        </is>
      </c>
      <c r="V227" s="68" t="inlineStr">
        <is>
          <t>FIN-43.03</t>
        </is>
      </c>
      <c r="W227" s="83" t="inlineStr">
        <is>
          <t>Profils ou tailles concernés</t>
        </is>
      </c>
    </row>
    <row r="228" ht="23.85" customHeight="1" s="53">
      <c r="A228" s="81" t="inlineStr">
        <is>
          <t>FIN-43.03</t>
        </is>
      </c>
      <c r="B228" s="67" t="inlineStr">
        <is>
          <t>FIN-43</t>
        </is>
      </c>
      <c r="C228" s="95">
        <f>IFERROR(INDEX(Thèmes!$D$2:$D$190,MATCH(B228,Thèmes!$A$2:$A$190,0)),"")</f>
        <v/>
      </c>
      <c r="D228" s="68" t="inlineStr">
        <is>
          <t>—</t>
        </is>
      </c>
      <c r="E228" s="68" t="inlineStr">
        <is>
          <t>Stock immobilisé hors des meilleures ventes</t>
        </is>
      </c>
      <c r="F228" s="68" t="inlineStr">
        <is>
          <t>€ et %</t>
        </is>
      </c>
      <c r="G228" s="96" t="inlineStr">
        <is>
          <t>Calculée</t>
        </is>
      </c>
      <c r="H228" s="67" t="inlineStr">
        <is>
          <t>—</t>
        </is>
      </c>
      <c r="I228" s="68" t="inlineStr">
        <is>
          <t>—</t>
        </is>
      </c>
      <c r="J228" s="68" t="inlineStr">
        <is>
          <t>—</t>
        </is>
      </c>
      <c r="K228" s="67" t="n"/>
      <c r="L228" s="67" t="inlineStr">
        <is>
          <t>●</t>
        </is>
      </c>
      <c r="M228" s="67" t="inlineStr">
        <is>
          <t>●</t>
        </is>
      </c>
      <c r="N228" s="67" t="inlineStr">
        <is>
          <t>●</t>
        </is>
      </c>
      <c r="O228" s="67" t="inlineStr">
        <is>
          <t>●</t>
        </is>
      </c>
      <c r="P228" s="67" t="n"/>
      <c r="Q228" s="67" t="n"/>
      <c r="R228" s="67" t="inlineStr">
        <is>
          <t>●</t>
        </is>
      </c>
      <c r="S228" s="68" t="inlineStr">
        <is>
          <t>Levier</t>
        </is>
      </c>
      <c r="T228" s="68" t="inlineStr">
        <is>
          <t>Valeur du stock − valeur des 10 meilleures références</t>
        </is>
      </c>
      <c r="U228" s="68" t="inlineStr">
        <is>
          <t>FIN-37.01, FIN-43.02, FIN-43.01</t>
        </is>
      </c>
      <c r="V228" s="68" t="inlineStr">
        <is>
          <t>Affichée dans le rapport</t>
        </is>
      </c>
      <c r="W228" s="83" t="n"/>
    </row>
    <row r="229" ht="23.85" customHeight="1" s="53">
      <c r="A229" s="98" t="inlineStr">
        <is>
          <t>FIN-44.01</t>
        </is>
      </c>
      <c r="B229" s="89" t="inlineStr">
        <is>
          <t>FIN-44</t>
        </is>
      </c>
      <c r="C229" s="97">
        <f>IFERROR(INDEX(Thèmes!$D$2:$D$190,MATCH(B229,Thèmes!$A$2:$A$190,0)),"")</f>
        <v/>
      </c>
      <c r="D229" s="86" t="inlineStr">
        <is>
          <t>F22 · Ruptures et commandes fournisseurs</t>
        </is>
      </c>
      <c r="E229" s="86" t="inlineStr">
        <is>
          <t>Fournisseurs qui imposent une quantité minimum, part du stock achetée seulement pour l'atteindre, et remise de volume obtenue</t>
        </is>
      </c>
      <c r="F229" s="86" t="inlineStr">
        <is>
          <t>Nombre, % et %</t>
        </is>
      </c>
      <c r="G229" s="89" t="inlineStr">
        <is>
          <t>Demandée</t>
        </is>
      </c>
      <c r="H229" s="89" t="inlineStr">
        <is>
          <t>Essentiel</t>
        </is>
      </c>
      <c r="I229" s="100" t="inlineStr">
        <is>
          <t>D07 · si stock</t>
        </is>
      </c>
      <c r="J229" s="86" t="inlineStr">
        <is>
          <t>—</t>
        </is>
      </c>
      <c r="K229" s="89" t="inlineStr">
        <is>
          <t>●</t>
        </is>
      </c>
      <c r="L229" s="89" t="inlineStr">
        <is>
          <t>●</t>
        </is>
      </c>
      <c r="M229" s="89" t="inlineStr">
        <is>
          <t>●</t>
        </is>
      </c>
      <c r="N229" s="89" t="inlineStr">
        <is>
          <t>●</t>
        </is>
      </c>
      <c r="O229" s="89" t="inlineStr">
        <is>
          <t>●</t>
        </is>
      </c>
      <c r="P229" s="89" t="inlineStr">
        <is>
          <t>●</t>
        </is>
      </c>
      <c r="Q229" s="89" t="inlineStr">
        <is>
          <t>●</t>
        </is>
      </c>
      <c r="R229" s="89" t="inlineStr">
        <is>
          <t>●</t>
        </is>
      </c>
      <c r="S229" s="86" t="inlineStr">
        <is>
          <t>Levier</t>
        </is>
      </c>
      <c r="T229" s="86" t="inlineStr">
        <is>
          <t>—</t>
        </is>
      </c>
      <c r="U229" s="86" t="inlineStr">
        <is>
          <t>—</t>
        </is>
      </c>
      <c r="V229" s="86" t="inlineStr">
        <is>
          <t>FIN-44.02</t>
        </is>
      </c>
      <c r="W229" s="91" t="inlineStr">
        <is>
          <t>Profils ou tailles concernés</t>
        </is>
      </c>
    </row>
    <row r="230" ht="23.85" customHeight="1" s="53">
      <c r="A230" s="81" t="inlineStr">
        <is>
          <t>FIN-44.02</t>
        </is>
      </c>
      <c r="B230" s="67" t="inlineStr">
        <is>
          <t>FIN-44</t>
        </is>
      </c>
      <c r="C230" s="95">
        <f>IFERROR(INDEX(Thèmes!$D$2:$D$190,MATCH(B230,Thèmes!$A$2:$A$190,0)),"")</f>
        <v/>
      </c>
      <c r="D230" s="68" t="inlineStr">
        <is>
          <t>—</t>
        </is>
      </c>
      <c r="E230" s="68" t="inlineStr">
        <is>
          <t>Trésorerie immobilisée par les quantités minimum, comparée à la remise obtenue</t>
        </is>
      </c>
      <c r="F230" s="68" t="inlineStr">
        <is>
          <t>€</t>
        </is>
      </c>
      <c r="G230" s="96" t="inlineStr">
        <is>
          <t>Calculée</t>
        </is>
      </c>
      <c r="H230" s="67" t="inlineStr">
        <is>
          <t>—</t>
        </is>
      </c>
      <c r="I230" s="68" t="inlineStr">
        <is>
          <t>—</t>
        </is>
      </c>
      <c r="J230" s="68" t="inlineStr">
        <is>
          <t>—</t>
        </is>
      </c>
      <c r="K230" s="67" t="n"/>
      <c r="L230" s="67" t="inlineStr">
        <is>
          <t>●</t>
        </is>
      </c>
      <c r="M230" s="67" t="inlineStr">
        <is>
          <t>●</t>
        </is>
      </c>
      <c r="N230" s="67" t="inlineStr">
        <is>
          <t>●</t>
        </is>
      </c>
      <c r="O230" s="67" t="inlineStr">
        <is>
          <t>●</t>
        </is>
      </c>
      <c r="P230" s="67" t="n"/>
      <c r="Q230" s="67" t="n"/>
      <c r="R230" s="67" t="inlineStr">
        <is>
          <t>●</t>
        </is>
      </c>
      <c r="S230" s="68" t="inlineStr">
        <is>
          <t>Levier</t>
        </is>
      </c>
      <c r="T230" s="68" t="inlineStr">
        <is>
          <t>Valeur du stock × part achetée pour le minimum, face à la remise × achats</t>
        </is>
      </c>
      <c r="U230" s="68" t="inlineStr">
        <is>
          <t>FIN-44.01, FIN-37.01, FIN-08.01</t>
        </is>
      </c>
      <c r="V230" s="68" t="inlineStr">
        <is>
          <t>XF44</t>
        </is>
      </c>
      <c r="W230" s="83" t="n"/>
    </row>
    <row r="231" ht="15" customHeight="1" s="53">
      <c r="A231" s="98" t="inlineStr">
        <is>
          <t>FIN-45.01</t>
        </is>
      </c>
      <c r="B231" s="89" t="inlineStr">
        <is>
          <t>FIN-45</t>
        </is>
      </c>
      <c r="C231" s="97">
        <f>IFERROR(INDEX(Thèmes!$D$2:$D$190,MATCH(B231,Thèmes!$A$2:$A$190,0)),"")</f>
        <v/>
      </c>
      <c r="D231" s="86" t="inlineStr">
        <is>
          <t>F23 · Vos inventaires</t>
        </is>
      </c>
      <c r="E231" s="86" t="inlineStr">
        <is>
          <t>Inventaires par an, date du dernier, outil de suivi (aucun, tableur, logiciel relié à la caisse)</t>
        </is>
      </c>
      <c r="F231" s="86" t="inlineStr">
        <is>
          <t>Nombre, date, choix</t>
        </is>
      </c>
      <c r="G231" s="89" t="inlineStr">
        <is>
          <t>Demandée</t>
        </is>
      </c>
      <c r="H231" s="89" t="inlineStr">
        <is>
          <t>Essentiel</t>
        </is>
      </c>
      <c r="I231" s="100" t="inlineStr">
        <is>
          <t>D07 · si stock</t>
        </is>
      </c>
      <c r="J231" s="86" t="inlineStr">
        <is>
          <t>—</t>
        </is>
      </c>
      <c r="K231" s="89" t="inlineStr">
        <is>
          <t>●</t>
        </is>
      </c>
      <c r="L231" s="89" t="inlineStr">
        <is>
          <t>●</t>
        </is>
      </c>
      <c r="M231" s="89" t="inlineStr">
        <is>
          <t>●</t>
        </is>
      </c>
      <c r="N231" s="89" t="inlineStr">
        <is>
          <t>●</t>
        </is>
      </c>
      <c r="O231" s="89" t="inlineStr">
        <is>
          <t>●</t>
        </is>
      </c>
      <c r="P231" s="89" t="inlineStr">
        <is>
          <t>●</t>
        </is>
      </c>
      <c r="Q231" s="89" t="inlineStr">
        <is>
          <t>●</t>
        </is>
      </c>
      <c r="R231" s="89" t="inlineStr">
        <is>
          <t>●</t>
        </is>
      </c>
      <c r="S231" s="86" t="inlineStr">
        <is>
          <t>Levier</t>
        </is>
      </c>
      <c r="T231" s="86" t="inlineStr">
        <is>
          <t>—</t>
        </is>
      </c>
      <c r="U231" s="86" t="inlineStr">
        <is>
          <t>—</t>
        </is>
      </c>
      <c r="V231" s="86" t="inlineStr">
        <is>
          <t>XF45</t>
        </is>
      </c>
      <c r="W231" s="91" t="inlineStr">
        <is>
          <t>Profils ou tailles concernés</t>
        </is>
      </c>
    </row>
    <row r="232" ht="35.05" customHeight="1" s="53">
      <c r="A232" s="94" t="inlineStr">
        <is>
          <t>FIN-45.02</t>
        </is>
      </c>
      <c r="B232" s="67" t="inlineStr">
        <is>
          <t>FIN-45</t>
        </is>
      </c>
      <c r="C232" s="95">
        <f>IFERROR(INDEX(Thèmes!$D$2:$D$190,MATCH(B232,Thèmes!$A$2:$A$190,0)),"")</f>
        <v/>
      </c>
      <c r="D232" s="68" t="inlineStr">
        <is>
          <t>F23 · Vos inventaires</t>
        </is>
      </c>
      <c r="E232" s="68" t="inlineStr">
        <is>
          <t>Écart entre stock théorique et stock réel au dernier inventaire (en €, manque ou surplus)</t>
        </is>
      </c>
      <c r="F232" s="68" t="inlineStr">
        <is>
          <t>€ et sens</t>
        </is>
      </c>
      <c r="G232" s="67" t="inlineStr">
        <is>
          <t>Demandée</t>
        </is>
      </c>
      <c r="H232" s="67" t="inlineStr">
        <is>
          <t>Essentiel</t>
        </is>
      </c>
      <c r="I232" s="99" t="inlineStr">
        <is>
          <t>D07 · si stock</t>
        </is>
      </c>
      <c r="J232" s="68" t="inlineStr">
        <is>
          <t>—</t>
        </is>
      </c>
      <c r="K232" s="67" t="inlineStr">
        <is>
          <t>●</t>
        </is>
      </c>
      <c r="L232" s="67" t="inlineStr">
        <is>
          <t>●</t>
        </is>
      </c>
      <c r="M232" s="67" t="inlineStr">
        <is>
          <t>●</t>
        </is>
      </c>
      <c r="N232" s="67" t="inlineStr">
        <is>
          <t>●</t>
        </is>
      </c>
      <c r="O232" s="67" t="inlineStr">
        <is>
          <t>●</t>
        </is>
      </c>
      <c r="P232" s="67" t="inlineStr">
        <is>
          <t>●</t>
        </is>
      </c>
      <c r="Q232" s="67" t="inlineStr">
        <is>
          <t>●</t>
        </is>
      </c>
      <c r="R232" s="67" t="inlineStr">
        <is>
          <t>●</t>
        </is>
      </c>
      <c r="S232" s="68" t="inlineStr">
        <is>
          <t>Perte</t>
        </is>
      </c>
      <c r="T232" s="68" t="inlineStr">
        <is>
          <t>—</t>
        </is>
      </c>
      <c r="U232" s="68" t="inlineStr">
        <is>
          <t>—</t>
        </is>
      </c>
      <c r="V232" s="68" t="inlineStr">
        <is>
          <t>FIN-45.04, XF45</t>
        </is>
      </c>
      <c r="W232" s="83" t="inlineStr">
        <is>
          <t>Profils ou tailles concernés</t>
        </is>
      </c>
    </row>
    <row r="233" ht="23.85" customHeight="1" s="53">
      <c r="A233" s="94" t="inlineStr">
        <is>
          <t>FIN-45.03</t>
        </is>
      </c>
      <c r="B233" s="67" t="inlineStr">
        <is>
          <t>FIN-45</t>
        </is>
      </c>
      <c r="C233" s="95">
        <f>IFERROR(INDEX(Thèmes!$D$2:$D$190,MATCH(B233,Thèmes!$A$2:$A$190,0)),"")</f>
        <v/>
      </c>
      <c r="D233" s="68" t="inlineStr">
        <is>
          <t>F23 · Vos inventaires</t>
        </is>
      </c>
      <c r="E233" s="68" t="inlineStr">
        <is>
          <t>Écart à l'inventaire précédent, et corrections de stock faites à la main par mois</t>
        </is>
      </c>
      <c r="F233" s="68" t="inlineStr">
        <is>
          <t>€ et nombre</t>
        </is>
      </c>
      <c r="G233" s="67" t="inlineStr">
        <is>
          <t>Demandée</t>
        </is>
      </c>
      <c r="H233" s="67" t="inlineStr">
        <is>
          <t>Approfondi</t>
        </is>
      </c>
      <c r="I233" s="99" t="inlineStr">
        <is>
          <t>D07 · si stock</t>
        </is>
      </c>
      <c r="J233" s="68" t="inlineStr">
        <is>
          <t>—</t>
        </is>
      </c>
      <c r="K233" s="67" t="inlineStr">
        <is>
          <t>●</t>
        </is>
      </c>
      <c r="L233" s="67" t="inlineStr">
        <is>
          <t>●</t>
        </is>
      </c>
      <c r="M233" s="67" t="inlineStr">
        <is>
          <t>●</t>
        </is>
      </c>
      <c r="N233" s="67" t="inlineStr">
        <is>
          <t>●</t>
        </is>
      </c>
      <c r="O233" s="67" t="inlineStr">
        <is>
          <t>●</t>
        </is>
      </c>
      <c r="P233" s="67" t="inlineStr">
        <is>
          <t>●</t>
        </is>
      </c>
      <c r="Q233" s="67" t="inlineStr">
        <is>
          <t>●</t>
        </is>
      </c>
      <c r="R233" s="67" t="inlineStr">
        <is>
          <t>●</t>
        </is>
      </c>
      <c r="S233" s="68" t="inlineStr">
        <is>
          <t>Problème</t>
        </is>
      </c>
      <c r="T233" s="68" t="inlineStr">
        <is>
          <t>—</t>
        </is>
      </c>
      <c r="U233" s="68" t="inlineStr">
        <is>
          <t>—</t>
        </is>
      </c>
      <c r="V233" s="68" t="inlineStr">
        <is>
          <t>XF45</t>
        </is>
      </c>
      <c r="W233" s="83" t="inlineStr">
        <is>
          <t>Profils ou tailles concernés</t>
        </is>
      </c>
    </row>
    <row r="234" ht="23.85" customHeight="1" s="53">
      <c r="A234" s="81" t="inlineStr">
        <is>
          <t>FIN-45.04</t>
        </is>
      </c>
      <c r="B234" s="67" t="inlineStr">
        <is>
          <t>FIN-45</t>
        </is>
      </c>
      <c r="C234" s="95">
        <f>IFERROR(INDEX(Thèmes!$D$2:$D$190,MATCH(B234,Thèmes!$A$2:$A$190,0)),"")</f>
        <v/>
      </c>
      <c r="D234" s="68" t="inlineStr">
        <is>
          <t>—</t>
        </is>
      </c>
      <c r="E234" s="68" t="inlineStr">
        <is>
          <t>Écart d'inventaire en % du stock</t>
        </is>
      </c>
      <c r="F234" s="68" t="inlineStr">
        <is>
          <t>%</t>
        </is>
      </c>
      <c r="G234" s="96" t="inlineStr">
        <is>
          <t>Calculée</t>
        </is>
      </c>
      <c r="H234" s="67" t="inlineStr">
        <is>
          <t>—</t>
        </is>
      </c>
      <c r="I234" s="68" t="inlineStr">
        <is>
          <t>—</t>
        </is>
      </c>
      <c r="J234" s="68" t="inlineStr">
        <is>
          <t>—</t>
        </is>
      </c>
      <c r="K234" s="67" t="n"/>
      <c r="L234" s="67" t="inlineStr">
        <is>
          <t>●</t>
        </is>
      </c>
      <c r="M234" s="67" t="inlineStr">
        <is>
          <t>●</t>
        </is>
      </c>
      <c r="N234" s="67" t="inlineStr">
        <is>
          <t>●</t>
        </is>
      </c>
      <c r="O234" s="67" t="inlineStr">
        <is>
          <t>●</t>
        </is>
      </c>
      <c r="P234" s="67" t="n"/>
      <c r="Q234" s="67" t="n"/>
      <c r="R234" s="67" t="inlineStr">
        <is>
          <t>●</t>
        </is>
      </c>
      <c r="S234" s="68" t="inlineStr">
        <is>
          <t>Cible</t>
        </is>
      </c>
      <c r="T234" s="68" t="inlineStr">
        <is>
          <t>Écart ÷ valeur du stock</t>
        </is>
      </c>
      <c r="U234" s="68" t="inlineStr">
        <is>
          <t>FIN-45.02, FIN-37.01</t>
        </is>
      </c>
      <c r="V234" s="68" t="inlineStr">
        <is>
          <t>XF45</t>
        </is>
      </c>
      <c r="W234" s="83" t="n"/>
    </row>
    <row r="235" ht="35.05" customHeight="1" s="53">
      <c r="A235" s="104" t="inlineStr">
        <is>
          <t>FIN-46.01</t>
        </is>
      </c>
      <c r="B235" s="89" t="inlineStr">
        <is>
          <t>FIN-46</t>
        </is>
      </c>
      <c r="C235" s="97">
        <f>IFERROR(INDEX(Thèmes!$D$2:$D$190,MATCH(B235,Thèmes!$A$2:$A$190,0)),"")</f>
        <v/>
      </c>
      <c r="D235" s="86" t="inlineStr">
        <is>
          <t>—</t>
        </is>
      </c>
      <c r="E235" s="86" t="inlineStr">
        <is>
          <t>Ce que le dirigeant s'est versé sur 12 mois (salaire, prélèvements, dividendes) ; le moteur divise par 12 pour le mois</t>
        </is>
      </c>
      <c r="F235" s="86" t="inlineStr">
        <is>
          <t>€</t>
        </is>
      </c>
      <c r="G235" s="89" t="inlineStr">
        <is>
          <t>Demandée</t>
        </is>
      </c>
      <c r="H235" s="89" t="inlineStr">
        <is>
          <t>Essentiel</t>
        </is>
      </c>
      <c r="I235" s="86" t="inlineStr">
        <is>
          <t>—</t>
        </is>
      </c>
      <c r="J235" s="86" t="inlineStr">
        <is>
          <t>Période adaptée : depuis la création si moins de 12 mois</t>
        </is>
      </c>
      <c r="K235" s="89" t="inlineStr">
        <is>
          <t>●</t>
        </is>
      </c>
      <c r="L235" s="89" t="inlineStr">
        <is>
          <t>●</t>
        </is>
      </c>
      <c r="M235" s="89" t="inlineStr">
        <is>
          <t>●</t>
        </is>
      </c>
      <c r="N235" s="89" t="inlineStr">
        <is>
          <t>●</t>
        </is>
      </c>
      <c r="O235" s="89" t="inlineStr">
        <is>
          <t>●</t>
        </is>
      </c>
      <c r="P235" s="89" t="inlineStr">
        <is>
          <t>●</t>
        </is>
      </c>
      <c r="Q235" s="89" t="inlineStr">
        <is>
          <t>●</t>
        </is>
      </c>
      <c r="R235" s="89" t="inlineStr">
        <is>
          <t>●</t>
        </is>
      </c>
      <c r="S235" s="86" t="inlineStr">
        <is>
          <t>—</t>
        </is>
      </c>
      <c r="T235" s="86" t="inlineStr">
        <is>
          <t>—</t>
        </is>
      </c>
      <c r="U235" s="86" t="inlineStr">
        <is>
          <t>—</t>
        </is>
      </c>
      <c r="V235" s="86" t="inlineStr">
        <is>
          <t>—</t>
        </is>
      </c>
      <c r="W235" s="91" t="inlineStr">
        <is>
          <t>Nouveau</t>
        </is>
      </c>
    </row>
    <row r="236" ht="35.05" customHeight="1" s="53">
      <c r="A236" s="92" t="inlineStr">
        <is>
          <t>FIN-46.02</t>
        </is>
      </c>
      <c r="B236" s="67" t="inlineStr">
        <is>
          <t>FIN-46</t>
        </is>
      </c>
      <c r="C236" s="95">
        <f>IFERROR(INDEX(Thèmes!$D$2:$D$190,MATCH(B236,Thèmes!$A$2:$A$190,0)),"")</f>
        <v/>
      </c>
      <c r="D236" s="68" t="inlineStr">
        <is>
          <t>—</t>
        </is>
      </c>
      <c r="E236" s="68" t="inlineStr">
        <is>
          <t>Cotisations sociales personnelles du dirigeant par mois</t>
        </is>
      </c>
      <c r="F236" s="68" t="inlineStr">
        <is>
          <t>€</t>
        </is>
      </c>
      <c r="G236" s="67" t="inlineStr">
        <is>
          <t>Demandée</t>
        </is>
      </c>
      <c r="H236" s="67" t="inlineStr">
        <is>
          <t>Essentiel</t>
        </is>
      </c>
      <c r="I236" s="68" t="inlineStr">
        <is>
          <t>—</t>
        </is>
      </c>
      <c r="J236" s="68" t="inlineStr">
        <is>
          <t>—</t>
        </is>
      </c>
      <c r="K236" s="67" t="inlineStr">
        <is>
          <t>●</t>
        </is>
      </c>
      <c r="L236" s="67" t="inlineStr">
        <is>
          <t>●</t>
        </is>
      </c>
      <c r="M236" s="67" t="inlineStr">
        <is>
          <t>●</t>
        </is>
      </c>
      <c r="N236" s="67" t="inlineStr">
        <is>
          <t>●</t>
        </is>
      </c>
      <c r="O236" s="67" t="inlineStr">
        <is>
          <t>●</t>
        </is>
      </c>
      <c r="P236" s="67" t="inlineStr">
        <is>
          <t>●</t>
        </is>
      </c>
      <c r="Q236" s="67" t="inlineStr">
        <is>
          <t>●</t>
        </is>
      </c>
      <c r="R236" s="67" t="inlineStr">
        <is>
          <t>●</t>
        </is>
      </c>
      <c r="S236" s="68" t="inlineStr">
        <is>
          <t>—</t>
        </is>
      </c>
      <c r="T236" s="68" t="inlineStr">
        <is>
          <t>—</t>
        </is>
      </c>
      <c r="U236" s="68" t="inlineStr">
        <is>
          <t>—</t>
        </is>
      </c>
      <c r="V236" s="68" t="inlineStr">
        <is>
          <t>—</t>
        </is>
      </c>
      <c r="W236" s="83" t="inlineStr">
        <is>
          <t>Nouveau</t>
        </is>
      </c>
    </row>
    <row r="237" ht="23.85" customHeight="1" s="53">
      <c r="A237" s="92" t="inlineStr">
        <is>
          <t>FIN-46.03</t>
        </is>
      </c>
      <c r="B237" s="67" t="inlineStr">
        <is>
          <t>FIN-46</t>
        </is>
      </c>
      <c r="C237" s="95">
        <f>IFERROR(INDEX(Thèmes!$D$2:$D$190,MATCH(B237,Thèmes!$A$2:$A$190,0)),"")</f>
        <v/>
      </c>
      <c r="D237" s="68" t="inlineStr">
        <is>
          <t>—</t>
        </is>
      </c>
      <c r="E237" s="68" t="inlineStr">
        <is>
          <t>Rémunération mensuelle souhaitée par le dirigeant</t>
        </is>
      </c>
      <c r="F237" s="68" t="inlineStr">
        <is>
          <t>€</t>
        </is>
      </c>
      <c r="G237" s="67" t="inlineStr">
        <is>
          <t>Demandée</t>
        </is>
      </c>
      <c r="H237" s="67" t="inlineStr">
        <is>
          <t>Essentiel</t>
        </is>
      </c>
      <c r="I237" s="68" t="inlineStr">
        <is>
          <t>—</t>
        </is>
      </c>
      <c r="J237" s="68" t="inlineStr">
        <is>
          <t>—</t>
        </is>
      </c>
      <c r="K237" s="67" t="inlineStr">
        <is>
          <t>●</t>
        </is>
      </c>
      <c r="L237" s="67" t="inlineStr">
        <is>
          <t>●</t>
        </is>
      </c>
      <c r="M237" s="67" t="inlineStr">
        <is>
          <t>●</t>
        </is>
      </c>
      <c r="N237" s="67" t="inlineStr">
        <is>
          <t>●</t>
        </is>
      </c>
      <c r="O237" s="67" t="inlineStr">
        <is>
          <t>●</t>
        </is>
      </c>
      <c r="P237" s="67" t="inlineStr">
        <is>
          <t>●</t>
        </is>
      </c>
      <c r="Q237" s="67" t="inlineStr">
        <is>
          <t>●</t>
        </is>
      </c>
      <c r="R237" s="67" t="inlineStr">
        <is>
          <t>●</t>
        </is>
      </c>
      <c r="S237" s="68" t="inlineStr">
        <is>
          <t>—</t>
        </is>
      </c>
      <c r="T237" s="68" t="inlineStr">
        <is>
          <t>—</t>
        </is>
      </c>
      <c r="U237" s="68" t="inlineStr">
        <is>
          <t>—</t>
        </is>
      </c>
      <c r="V237" s="68" t="inlineStr">
        <is>
          <t>—</t>
        </is>
      </c>
      <c r="W237" s="83" t="inlineStr">
        <is>
          <t>Nouveau</t>
        </is>
      </c>
    </row>
    <row r="238">
      <c r="A238" s="104" t="inlineStr">
        <is>
          <t>FIN-47.01</t>
        </is>
      </c>
      <c r="B238" s="89" t="inlineStr">
        <is>
          <t>FIN-47</t>
        </is>
      </c>
      <c r="C238" s="97">
        <f>IFERROR(INDEX(Thèmes!$D$2:$D$190,MATCH(B238,Thèmes!$A$2:$A$190,0)),"")</f>
        <v/>
      </c>
      <c r="D238" s="86" t="inlineStr">
        <is>
          <t>—</t>
        </is>
      </c>
      <c r="E238" s="86" t="inlineStr">
        <is>
          <t>Forme de l'entreprise — déclencheur D31 : sert seulement à lire les chiffres (résultat, rémunération), jamais à un conseil fiscal ou juridique</t>
        </is>
      </c>
      <c r="F238" s="86" t="inlineStr">
        <is>
          <t>Choix</t>
        </is>
      </c>
      <c r="G238" s="89" t="inlineStr">
        <is>
          <t>Demandée</t>
        </is>
      </c>
      <c r="H238" s="89" t="inlineStr">
        <is>
          <t>Essentiel</t>
        </is>
      </c>
      <c r="I238" s="86" t="inlineStr">
        <is>
          <t>—</t>
        </is>
      </c>
      <c r="J238" s="86" t="inlineStr">
        <is>
          <t>—</t>
        </is>
      </c>
      <c r="K238" s="89" t="inlineStr">
        <is>
          <t>●</t>
        </is>
      </c>
      <c r="L238" s="89" t="inlineStr">
        <is>
          <t>●</t>
        </is>
      </c>
      <c r="M238" s="89" t="inlineStr">
        <is>
          <t>●</t>
        </is>
      </c>
      <c r="N238" s="89" t="inlineStr">
        <is>
          <t>●</t>
        </is>
      </c>
      <c r="O238" s="89" t="inlineStr">
        <is>
          <t>●</t>
        </is>
      </c>
      <c r="P238" s="89" t="inlineStr">
        <is>
          <t>●</t>
        </is>
      </c>
      <c r="Q238" s="89" t="inlineStr">
        <is>
          <t>●</t>
        </is>
      </c>
      <c r="R238" s="89" t="inlineStr">
        <is>
          <t>●</t>
        </is>
      </c>
      <c r="S238" s="86" t="inlineStr">
        <is>
          <t>—</t>
        </is>
      </c>
      <c r="T238" s="86" t="inlineStr">
        <is>
          <t>—</t>
        </is>
      </c>
      <c r="U238" s="86" t="inlineStr">
        <is>
          <t>—</t>
        </is>
      </c>
      <c r="V238" s="86" t="inlineStr">
        <is>
          <t>—</t>
        </is>
      </c>
      <c r="W238" s="91" t="inlineStr">
        <is>
          <t>Nouveau</t>
        </is>
      </c>
    </row>
    <row r="239">
      <c r="A239" s="92" t="inlineStr">
        <is>
          <t>FIN-47.02</t>
        </is>
      </c>
      <c r="B239" s="67" t="inlineStr">
        <is>
          <t>FIN-47</t>
        </is>
      </c>
      <c r="C239" s="95">
        <f>IFERROR(INDEX(Thèmes!$D$2:$D$190,MATCH(B239,Thèmes!$A$2:$A$190,0)),"")</f>
        <v/>
      </c>
      <c r="D239" s="68" t="inlineStr">
        <is>
          <t>—</t>
        </is>
      </c>
      <c r="E239" s="68" t="inlineStr">
        <is>
          <t>Compte bancaire réservé à l'activité</t>
        </is>
      </c>
      <c r="F239" s="68" t="inlineStr">
        <is>
          <t>Oui / non</t>
        </is>
      </c>
      <c r="G239" s="67" t="inlineStr">
        <is>
          <t>Demandée</t>
        </is>
      </c>
      <c r="H239" s="67" t="inlineStr">
        <is>
          <t>Essentiel</t>
        </is>
      </c>
      <c r="I239" s="99" t="inlineStr">
        <is>
          <t>D31 · si micro-entreprise ou entreprise individuelle</t>
        </is>
      </c>
      <c r="J239" s="68" t="inlineStr">
        <is>
          <t>—</t>
        </is>
      </c>
      <c r="K239" s="67" t="inlineStr">
        <is>
          <t>●</t>
        </is>
      </c>
      <c r="L239" s="67" t="inlineStr">
        <is>
          <t>●</t>
        </is>
      </c>
      <c r="M239" s="67" t="inlineStr">
        <is>
          <t>●</t>
        </is>
      </c>
      <c r="N239" s="67" t="inlineStr">
        <is>
          <t>●</t>
        </is>
      </c>
      <c r="O239" s="67" t="inlineStr">
        <is>
          <t>●</t>
        </is>
      </c>
      <c r="P239" s="67" t="inlineStr">
        <is>
          <t>●</t>
        </is>
      </c>
      <c r="Q239" s="67" t="inlineStr">
        <is>
          <t>●</t>
        </is>
      </c>
      <c r="R239" s="67" t="inlineStr">
        <is>
          <t>●</t>
        </is>
      </c>
      <c r="S239" s="68" t="inlineStr">
        <is>
          <t>—</t>
        </is>
      </c>
      <c r="T239" s="68" t="inlineStr">
        <is>
          <t>—</t>
        </is>
      </c>
      <c r="U239" s="68" t="inlineStr">
        <is>
          <t>—</t>
        </is>
      </c>
      <c r="V239" s="68" t="inlineStr">
        <is>
          <t>—</t>
        </is>
      </c>
      <c r="W239" s="83" t="inlineStr">
        <is>
          <t>Nouveau</t>
        </is>
      </c>
    </row>
    <row r="240">
      <c r="A240" s="104" t="inlineStr">
        <is>
          <t>FIN-48.01</t>
        </is>
      </c>
      <c r="B240" s="89" t="inlineStr">
        <is>
          <t>FIN-48</t>
        </is>
      </c>
      <c r="C240" s="97">
        <f>IFERROR(INDEX(Thèmes!$D$2:$D$190,MATCH(B240,Thèmes!$A$2:$A$190,0)),"")</f>
        <v/>
      </c>
      <c r="D240" s="86" t="inlineStr">
        <is>
          <t>—</t>
        </is>
      </c>
      <c r="E240" s="86" t="inlineStr">
        <is>
          <t>Dernier point fait avec le banquier sur l'activité</t>
        </is>
      </c>
      <c r="F240" s="86" t="inlineStr">
        <is>
          <t>Choix</t>
        </is>
      </c>
      <c r="G240" s="89" t="inlineStr">
        <is>
          <t>Demandée</t>
        </is>
      </c>
      <c r="H240" s="89" t="inlineStr">
        <is>
          <t>Essentiel</t>
        </is>
      </c>
      <c r="I240" s="86" t="inlineStr">
        <is>
          <t>—</t>
        </is>
      </c>
      <c r="J240" s="86" t="inlineStr">
        <is>
          <t>—</t>
        </is>
      </c>
      <c r="K240" s="89" t="inlineStr">
        <is>
          <t>●</t>
        </is>
      </c>
      <c r="L240" s="89" t="inlineStr">
        <is>
          <t>●</t>
        </is>
      </c>
      <c r="M240" s="89" t="inlineStr">
        <is>
          <t>●</t>
        </is>
      </c>
      <c r="N240" s="89" t="inlineStr">
        <is>
          <t>●</t>
        </is>
      </c>
      <c r="O240" s="89" t="inlineStr">
        <is>
          <t>●</t>
        </is>
      </c>
      <c r="P240" s="89" t="inlineStr">
        <is>
          <t>●</t>
        </is>
      </c>
      <c r="Q240" s="89" t="inlineStr">
        <is>
          <t>●</t>
        </is>
      </c>
      <c r="R240" s="89" t="inlineStr">
        <is>
          <t>●</t>
        </is>
      </c>
      <c r="S240" s="86" t="inlineStr">
        <is>
          <t>—</t>
        </is>
      </c>
      <c r="T240" s="86" t="inlineStr">
        <is>
          <t>—</t>
        </is>
      </c>
      <c r="U240" s="86" t="inlineStr">
        <is>
          <t>—</t>
        </is>
      </c>
      <c r="V240" s="86" t="inlineStr">
        <is>
          <t>—</t>
        </is>
      </c>
      <c r="W240" s="91" t="inlineStr">
        <is>
          <t>Nouveau</t>
        </is>
      </c>
    </row>
  </sheetData>
  <autoFilter ref="A1:W240"/>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1"/>
  </sheetPr>
  <dimension ref="A1:R173"/>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10" customWidth="1" style="52" min="1" max="1"/>
    <col width="8" customWidth="1" style="52" min="2" max="2"/>
    <col width="18" customWidth="1" style="52" min="3" max="3"/>
    <col width="22" customWidth="1" style="52" min="4" max="4"/>
    <col width="46" customWidth="1" style="52" min="5" max="5"/>
    <col width="18" customWidth="1" style="52" min="6" max="6"/>
    <col width="11" customWidth="1" style="52" min="7" max="8"/>
    <col width="20" customWidth="1" style="52" min="9" max="10"/>
    <col width="6.51" customWidth="1" style="52" min="11" max="13"/>
    <col width="16" customWidth="1" style="52" min="14" max="14"/>
    <col width="42" customWidth="1" style="52" min="15" max="15"/>
    <col width="22" customWidth="1" style="52" min="16" max="16"/>
    <col width="26" customWidth="1" style="52" min="17" max="17"/>
    <col width="30" customWidth="1" style="52" min="18" max="18"/>
  </cols>
  <sheetData>
    <row r="1" ht="31.5" customHeight="1" s="53">
      <c r="A1" s="75" t="inlineStr">
        <is>
          <t>Code</t>
        </is>
      </c>
      <c r="B1" s="75" t="inlineStr">
        <is>
          <t>Thème</t>
        </is>
      </c>
      <c r="C1" s="75" t="inlineStr">
        <is>
          <t>Nom du thème</t>
        </is>
      </c>
      <c r="D1" s="75" t="inlineStr">
        <is>
          <t>Écran</t>
        </is>
      </c>
      <c r="E1" s="75" t="inlineStr">
        <is>
          <t>Donnée</t>
        </is>
      </c>
      <c r="F1" s="75" t="inlineStr">
        <is>
          <t>Format de réponse</t>
        </is>
      </c>
      <c r="G1" s="75" t="inlineStr">
        <is>
          <t>Mode</t>
        </is>
      </c>
      <c r="H1" s="75" t="inlineStr">
        <is>
          <t>Niveau</t>
        </is>
      </c>
      <c r="I1" s="75" t="inlineStr">
        <is>
          <t>Condition d'affichage</t>
        </is>
      </c>
      <c r="J1" s="75" t="inlineStr">
        <is>
          <t>Période (selon l'ancienneté)</t>
        </is>
      </c>
      <c r="K1" s="75" t="inlineStr">
        <is>
          <t>Seul</t>
        </is>
      </c>
      <c r="L1" s="75" t="inlineStr">
        <is>
          <t>2 à 5</t>
        </is>
      </c>
      <c r="M1" s="75" t="inlineStr">
        <is>
          <t>6 et +</t>
        </is>
      </c>
      <c r="N1" s="75" t="inlineStr">
        <is>
          <t>Sert à</t>
        </is>
      </c>
      <c r="O1" s="75" t="inlineStr">
        <is>
          <t>Calcul ou source</t>
        </is>
      </c>
      <c r="P1" s="75" t="inlineStr">
        <is>
          <t>Données utilisées</t>
        </is>
      </c>
      <c r="Q1" s="75" t="inlineStr">
        <is>
          <t>Utilisée dans</t>
        </is>
      </c>
      <c r="R1" s="75" t="inlineStr">
        <is>
          <t>Changement du 20 oct.</t>
        </is>
      </c>
    </row>
    <row r="2" ht="35.05" customHeight="1" s="53">
      <c r="A2" s="81" t="inlineStr">
        <is>
          <t>RH-01.01</t>
        </is>
      </c>
      <c r="B2" s="67" t="inlineStr">
        <is>
          <t>RH-01</t>
        </is>
      </c>
      <c r="C2" s="95">
        <f>IFERROR(INDEX(Thèmes!$D$2:$D$190,MATCH(B2,Thèmes!$A$2:$A$190,0)),"")</f>
        <v/>
      </c>
      <c r="D2" s="68" t="inlineStr">
        <is>
          <t>R01 · Rôles et responsabilités</t>
        </is>
      </c>
      <c r="E2" s="68" t="inlineStr">
        <is>
          <t>Les missions de chaque personne sont écrites (fiche de poste ou simple liste) : pour tous, pour une partie, pour personne</t>
        </is>
      </c>
      <c r="F2" s="68" t="inlineStr">
        <is>
          <t>Choix</t>
        </is>
      </c>
      <c r="G2" s="67" t="inlineStr">
        <is>
          <t>Demandée</t>
        </is>
      </c>
      <c r="H2" s="67" t="inlineStr">
        <is>
          <t>Essentiel</t>
        </is>
      </c>
      <c r="I2" s="68" t="inlineStr">
        <is>
          <t>—</t>
        </is>
      </c>
      <c r="J2" s="68" t="inlineStr">
        <is>
          <t>—</t>
        </is>
      </c>
      <c r="K2" s="67" t="n"/>
      <c r="L2" s="67" t="inlineStr">
        <is>
          <t>●</t>
        </is>
      </c>
      <c r="M2" s="67" t="inlineStr">
        <is>
          <t>●</t>
        </is>
      </c>
      <c r="N2" s="68" t="inlineStr">
        <is>
          <t>Problème</t>
        </is>
      </c>
      <c r="O2" s="68" t="inlineStr">
        <is>
          <t>—</t>
        </is>
      </c>
      <c r="P2" s="68" t="inlineStr">
        <is>
          <t>—</t>
        </is>
      </c>
      <c r="Q2" s="68" t="inlineStr">
        <is>
          <t>Notée directement (couleur du thème)</t>
        </is>
      </c>
      <c r="R2" s="83" t="n"/>
    </row>
    <row r="3" ht="35.05" customHeight="1" s="53">
      <c r="A3" s="81" t="inlineStr">
        <is>
          <t>RH-01.02</t>
        </is>
      </c>
      <c r="B3" s="67" t="inlineStr">
        <is>
          <t>RH-01</t>
        </is>
      </c>
      <c r="C3" s="95">
        <f>IFERROR(INDEX(Thèmes!$D$2:$D$190,MATCH(B3,Thèmes!$A$2:$A$190,0)),"")</f>
        <v/>
      </c>
      <c r="D3" s="68" t="inlineStr">
        <is>
          <t>R01 · Rôles et responsabilités</t>
        </is>
      </c>
      <c r="E3" s="68" t="inlineStr">
        <is>
          <t>Tâches dont personne ne sait vraiment qui doit s'en occuper</t>
        </is>
      </c>
      <c r="F3" s="68" t="inlineStr">
        <is>
          <t>Tranches : 0 · 1-2 · 3-5 · plus de 5 · je ne sais pas</t>
        </is>
      </c>
      <c r="G3" s="67" t="inlineStr">
        <is>
          <t>Demandée</t>
        </is>
      </c>
      <c r="H3" s="67" t="inlineStr">
        <is>
          <t>Approfondi</t>
        </is>
      </c>
      <c r="I3" s="68" t="inlineStr">
        <is>
          <t>—</t>
        </is>
      </c>
      <c r="J3" s="68" t="inlineStr">
        <is>
          <t>—</t>
        </is>
      </c>
      <c r="K3" s="67" t="n"/>
      <c r="L3" s="67" t="n"/>
      <c r="M3" s="67" t="inlineStr">
        <is>
          <t>●</t>
        </is>
      </c>
      <c r="N3" s="68" t="inlineStr">
        <is>
          <t>Problème</t>
        </is>
      </c>
      <c r="O3" s="68" t="inlineStr">
        <is>
          <t>—</t>
        </is>
      </c>
      <c r="P3" s="68" t="inlineStr">
        <is>
          <t>—</t>
        </is>
      </c>
      <c r="Q3" s="68" t="inlineStr">
        <is>
          <t>Lue par l'IA pour adapter le conseil</t>
        </is>
      </c>
      <c r="R3" s="83" t="n"/>
    </row>
    <row r="4" ht="35.05" customHeight="1" s="53">
      <c r="A4" s="85" t="inlineStr">
        <is>
          <t>RH-02.01</t>
        </is>
      </c>
      <c r="B4" s="89" t="inlineStr">
        <is>
          <t>RH-02</t>
        </is>
      </c>
      <c r="C4" s="97">
        <f>IFERROR(INDEX(Thèmes!$D$2:$D$190,MATCH(B4,Thèmes!$A$2:$A$190,0)),"")</f>
        <v/>
      </c>
      <c r="D4" s="86" t="inlineStr">
        <is>
          <t>R01 · Rôles et responsabilités</t>
        </is>
      </c>
      <c r="E4" s="86" t="inlineStr">
        <is>
          <t>Décisions courantes confiées à quelqu'un d'autre que vous : devis et prix, achats, planning, réclamations clients, recrutement</t>
        </is>
      </c>
      <c r="F4" s="86" t="inlineStr">
        <is>
          <t>Cases à cocher</t>
        </is>
      </c>
      <c r="G4" s="89" t="inlineStr">
        <is>
          <t>Demandée</t>
        </is>
      </c>
      <c r="H4" s="89" t="inlineStr">
        <is>
          <t>Essentiel</t>
        </is>
      </c>
      <c r="I4" s="86" t="inlineStr">
        <is>
          <t>—</t>
        </is>
      </c>
      <c r="J4" s="86" t="inlineStr">
        <is>
          <t>—</t>
        </is>
      </c>
      <c r="K4" s="89" t="n"/>
      <c r="L4" s="89" t="inlineStr">
        <is>
          <t>●</t>
        </is>
      </c>
      <c r="M4" s="89" t="inlineStr">
        <is>
          <t>●</t>
        </is>
      </c>
      <c r="N4" s="86" t="inlineStr">
        <is>
          <t>Levier</t>
        </is>
      </c>
      <c r="O4" s="86" t="inlineStr">
        <is>
          <t>—</t>
        </is>
      </c>
      <c r="P4" s="86" t="inlineStr">
        <is>
          <t>—</t>
        </is>
      </c>
      <c r="Q4" s="86" t="inlineStr">
        <is>
          <t>Notée directement (couleur du thème)</t>
        </is>
      </c>
      <c r="R4" s="91" t="n"/>
    </row>
    <row r="5" ht="35.05" customHeight="1" s="53">
      <c r="A5" s="81" t="inlineStr">
        <is>
          <t>RH-02.02</t>
        </is>
      </c>
      <c r="B5" s="67" t="inlineStr">
        <is>
          <t>RH-02</t>
        </is>
      </c>
      <c r="C5" s="95">
        <f>IFERROR(INDEX(Thèmes!$D$2:$D$190,MATCH(B5,Thèmes!$A$2:$A$190,0)),"")</f>
        <v/>
      </c>
      <c r="D5" s="68" t="inlineStr">
        <is>
          <t>R01 · Rôles et responsabilités</t>
        </is>
      </c>
      <c r="E5" s="68" t="inlineStr">
        <is>
          <t>Ce que vous confiez à l'extérieur, et heures par mois : comptabilité, administratif, contenu, production sous-traitée, assistant ou freelance</t>
        </is>
      </c>
      <c r="F5" s="68" t="inlineStr">
        <is>
          <t>Cases + heures par mois</t>
        </is>
      </c>
      <c r="G5" s="67" t="inlineStr">
        <is>
          <t>Demandée</t>
        </is>
      </c>
      <c r="H5" s="67" t="inlineStr">
        <is>
          <t>Essentiel</t>
        </is>
      </c>
      <c r="I5" s="68" t="inlineStr">
        <is>
          <t>—</t>
        </is>
      </c>
      <c r="J5" s="68" t="inlineStr">
        <is>
          <t>—</t>
        </is>
      </c>
      <c r="K5" s="67" t="inlineStr">
        <is>
          <t>●</t>
        </is>
      </c>
      <c r="L5" s="67" t="n"/>
      <c r="M5" s="67" t="n"/>
      <c r="N5" s="68" t="inlineStr">
        <is>
          <t>Levier</t>
        </is>
      </c>
      <c r="O5" s="68" t="inlineStr">
        <is>
          <t>—</t>
        </is>
      </c>
      <c r="P5" s="68" t="inlineStr">
        <is>
          <t>—</t>
        </is>
      </c>
      <c r="Q5" s="68" t="inlineStr">
        <is>
          <t>XR23</t>
        </is>
      </c>
      <c r="R5" s="83" t="n"/>
    </row>
    <row r="6" ht="46.25" customHeight="1" s="53">
      <c r="A6" s="85" t="inlineStr">
        <is>
          <t>RH-03.01</t>
        </is>
      </c>
      <c r="B6" s="89" t="inlineStr">
        <is>
          <t>RH-03</t>
        </is>
      </c>
      <c r="C6" s="97">
        <f>IFERROR(INDEX(Thèmes!$D$2:$D$190,MATCH(B6,Thèmes!$A$2:$A$190,0)),"")</f>
        <v/>
      </c>
      <c r="D6" s="86" t="inlineStr">
        <is>
          <t>R02 · Les sollicitations que vous recevez</t>
        </is>
      </c>
      <c r="E6" s="86" t="inlineStr">
        <is>
          <t>Sollicitations par jour. Définition : un collaborateur vient vous demander une validation, une décision, une autorisation, une priorité, la réponse à une question courante ou comment faire</t>
        </is>
      </c>
      <c r="F6" s="86" t="inlineStr">
        <is>
          <t>Tranches : 0-2 · 3-5 · 6-10 · 11-20 · plus de 20 · je ne sais pas</t>
        </is>
      </c>
      <c r="G6" s="89" t="inlineStr">
        <is>
          <t>Demandée</t>
        </is>
      </c>
      <c r="H6" s="89" t="inlineStr">
        <is>
          <t>Essentiel</t>
        </is>
      </c>
      <c r="I6" s="86" t="inlineStr">
        <is>
          <t>—</t>
        </is>
      </c>
      <c r="J6" s="86" t="inlineStr">
        <is>
          <t>—</t>
        </is>
      </c>
      <c r="K6" s="89" t="n"/>
      <c r="L6" s="89" t="inlineStr">
        <is>
          <t>●</t>
        </is>
      </c>
      <c r="M6" s="89" t="inlineStr">
        <is>
          <t>●</t>
        </is>
      </c>
      <c r="N6" s="86" t="inlineStr">
        <is>
          <t>Problème</t>
        </is>
      </c>
      <c r="O6" s="86" t="inlineStr">
        <is>
          <t>—</t>
        </is>
      </c>
      <c r="P6" s="86" t="inlineStr">
        <is>
          <t>—</t>
        </is>
      </c>
      <c r="Q6" s="86" t="inlineStr">
        <is>
          <t>RH-03.06, XR01</t>
        </is>
      </c>
      <c r="R6" s="91" t="n"/>
    </row>
    <row r="7" ht="46.25" customHeight="1" s="53">
      <c r="A7" s="81" t="inlineStr">
        <is>
          <t>RH-03.02</t>
        </is>
      </c>
      <c r="B7" s="67" t="inlineStr">
        <is>
          <t>RH-03</t>
        </is>
      </c>
      <c r="C7" s="95">
        <f>IFERROR(INDEX(Thèmes!$D$2:$D$190,MATCH(B7,Thèmes!$A$2:$A$190,0)),"")</f>
        <v/>
      </c>
      <c r="D7" s="68" t="inlineStr">
        <is>
          <t>R02 · Les sollicitations que vous recevez</t>
        </is>
      </c>
      <c r="E7" s="68" t="inlineStr">
        <is>
          <t>Temps moyen d'une sollicitation</t>
        </is>
      </c>
      <c r="F7" s="68" t="inlineStr">
        <is>
          <t>Tranches : moins de 2 min · 2-5 · 5-15 · plus de 15 min · je ne sais pas</t>
        </is>
      </c>
      <c r="G7" s="67" t="inlineStr">
        <is>
          <t>Demandée</t>
        </is>
      </c>
      <c r="H7" s="67" t="inlineStr">
        <is>
          <t>Essentiel</t>
        </is>
      </c>
      <c r="I7" s="68" t="inlineStr">
        <is>
          <t>—</t>
        </is>
      </c>
      <c r="J7" s="68" t="inlineStr">
        <is>
          <t>—</t>
        </is>
      </c>
      <c r="K7" s="67" t="n"/>
      <c r="L7" s="67" t="inlineStr">
        <is>
          <t>●</t>
        </is>
      </c>
      <c r="M7" s="67" t="inlineStr">
        <is>
          <t>●</t>
        </is>
      </c>
      <c r="N7" s="68" t="inlineStr">
        <is>
          <t>Capacité</t>
        </is>
      </c>
      <c r="O7" s="68" t="inlineStr">
        <is>
          <t>—</t>
        </is>
      </c>
      <c r="P7" s="68" t="inlineStr">
        <is>
          <t>—</t>
        </is>
      </c>
      <c r="Q7" s="68" t="inlineStr">
        <is>
          <t>RH-03.06, XR01</t>
        </is>
      </c>
      <c r="R7" s="83" t="n"/>
    </row>
    <row r="8" ht="35.05" customHeight="1" s="53">
      <c r="A8" s="94" t="inlineStr">
        <is>
          <t>RH-03.03</t>
        </is>
      </c>
      <c r="B8" s="67" t="inlineStr">
        <is>
          <t>RH-03</t>
        </is>
      </c>
      <c r="C8" s="95">
        <f>IFERROR(INDEX(Thèmes!$D$2:$D$190,MATCH(B8,Thèmes!$A$2:$A$190,0)),"")</f>
        <v/>
      </c>
      <c r="D8" s="68" t="inlineStr">
        <is>
          <t>R02 · Les sollicitations que vous recevez</t>
        </is>
      </c>
      <c r="E8" s="68" t="inlineStr">
        <is>
          <t>Sujets les plus fréquents (3 au plus) : prix ou devis, question client, fournisseur, planning, manière de faire, problème technique</t>
        </is>
      </c>
      <c r="F8" s="68" t="inlineStr">
        <is>
          <t>Cases à cocher</t>
        </is>
      </c>
      <c r="G8" s="67" t="inlineStr">
        <is>
          <t>Demandée</t>
        </is>
      </c>
      <c r="H8" s="67" t="inlineStr">
        <is>
          <t>Approfondi</t>
        </is>
      </c>
      <c r="I8" s="68" t="inlineStr">
        <is>
          <t>—</t>
        </is>
      </c>
      <c r="J8" s="68" t="inlineStr">
        <is>
          <t>—</t>
        </is>
      </c>
      <c r="K8" s="67" t="n"/>
      <c r="L8" s="67" t="inlineStr">
        <is>
          <t>●</t>
        </is>
      </c>
      <c r="M8" s="67" t="inlineStr">
        <is>
          <t>●</t>
        </is>
      </c>
      <c r="N8" s="68" t="inlineStr">
        <is>
          <t>Levier</t>
        </is>
      </c>
      <c r="O8" s="68" t="inlineStr">
        <is>
          <t>—</t>
        </is>
      </c>
      <c r="P8" s="68" t="inlineStr">
        <is>
          <t>—</t>
        </is>
      </c>
      <c r="Q8" s="68" t="inlineStr">
        <is>
          <t>XR02</t>
        </is>
      </c>
      <c r="R8" s="83" t="inlineStr">
        <is>
          <t>Niveau</t>
        </is>
      </c>
    </row>
    <row r="9" ht="35.05" customHeight="1" s="53">
      <c r="A9" s="94" t="inlineStr">
        <is>
          <t>RH-03.04</t>
        </is>
      </c>
      <c r="B9" s="67" t="inlineStr">
        <is>
          <t>RH-03</t>
        </is>
      </c>
      <c r="C9" s="95">
        <f>IFERROR(INDEX(Thèmes!$D$2:$D$190,MATCH(B9,Thèmes!$A$2:$A$190,0)),"")</f>
        <v/>
      </c>
      <c r="D9" s="68" t="inlineStr">
        <is>
          <t>R02 · Les sollicitations que vous recevez</t>
        </is>
      </c>
      <c r="E9" s="68" t="inlineStr">
        <is>
          <t>Sur 10 sollicitations, combien auraient pu être réglées sans vous, avec une règle écrite ou une délégation ?</t>
        </is>
      </c>
      <c r="F9" s="68" t="inlineStr">
        <is>
          <t>Sur 10 : 0-2 · 3-5 · 6-8 · 9-10 · je ne sais pas</t>
        </is>
      </c>
      <c r="G9" s="67" t="inlineStr">
        <is>
          <t>Demandée</t>
        </is>
      </c>
      <c r="H9" s="67" t="inlineStr">
        <is>
          <t>Approfondi</t>
        </is>
      </c>
      <c r="I9" s="68" t="inlineStr">
        <is>
          <t>—</t>
        </is>
      </c>
      <c r="J9" s="68" t="inlineStr">
        <is>
          <t>—</t>
        </is>
      </c>
      <c r="K9" s="67" t="n"/>
      <c r="L9" s="67" t="inlineStr">
        <is>
          <t>●</t>
        </is>
      </c>
      <c r="M9" s="67" t="inlineStr">
        <is>
          <t>●</t>
        </is>
      </c>
      <c r="N9" s="68" t="inlineStr">
        <is>
          <t>Levier</t>
        </is>
      </c>
      <c r="O9" s="68" t="inlineStr">
        <is>
          <t>—</t>
        </is>
      </c>
      <c r="P9" s="68" t="inlineStr">
        <is>
          <t>—</t>
        </is>
      </c>
      <c r="Q9" s="68" t="inlineStr">
        <is>
          <t>RH-03.07</t>
        </is>
      </c>
      <c r="R9" s="83" t="inlineStr">
        <is>
          <t>Niveau</t>
        </is>
      </c>
    </row>
    <row r="10" ht="23.85" customHeight="1" s="53">
      <c r="A10" s="81" t="inlineStr">
        <is>
          <t>RH-03.05</t>
        </is>
      </c>
      <c r="B10" s="67" t="inlineStr">
        <is>
          <t>RH-03</t>
        </is>
      </c>
      <c r="C10" s="95">
        <f>IFERROR(INDEX(Thèmes!$D$2:$D$190,MATCH(B10,Thèmes!$A$2:$A$190,0)),"")</f>
        <v/>
      </c>
      <c r="D10" s="68" t="inlineStr">
        <is>
          <t>R02 · Les sollicitations que vous recevez</t>
        </is>
      </c>
      <c r="E10" s="68" t="inlineStr">
        <is>
          <t>Fonction qui vous sollicite le plus</t>
        </is>
      </c>
      <c r="F10" s="68" t="inlineStr">
        <is>
          <t>Choix</t>
        </is>
      </c>
      <c r="G10" s="67" t="inlineStr">
        <is>
          <t>Demandée</t>
        </is>
      </c>
      <c r="H10" s="67" t="inlineStr">
        <is>
          <t>Approfondi</t>
        </is>
      </c>
      <c r="I10" s="68" t="inlineStr">
        <is>
          <t>—</t>
        </is>
      </c>
      <c r="J10" s="68" t="inlineStr">
        <is>
          <t>—</t>
        </is>
      </c>
      <c r="K10" s="67" t="n"/>
      <c r="L10" s="67" t="inlineStr">
        <is>
          <t>●</t>
        </is>
      </c>
      <c r="M10" s="67" t="inlineStr">
        <is>
          <t>●</t>
        </is>
      </c>
      <c r="N10" s="68" t="inlineStr">
        <is>
          <t>Levier</t>
        </is>
      </c>
      <c r="O10" s="68" t="inlineStr">
        <is>
          <t>—</t>
        </is>
      </c>
      <c r="P10" s="68" t="inlineStr">
        <is>
          <t>—</t>
        </is>
      </c>
      <c r="Q10" s="68" t="inlineStr">
        <is>
          <t>XR02</t>
        </is>
      </c>
      <c r="R10" s="83" t="n"/>
    </row>
    <row r="11" ht="23.85" customHeight="1" s="53">
      <c r="A11" s="81" t="inlineStr">
        <is>
          <t>RH-03.06</t>
        </is>
      </c>
      <c r="B11" s="67" t="inlineStr">
        <is>
          <t>RH-03</t>
        </is>
      </c>
      <c r="C11" s="95">
        <f>IFERROR(INDEX(Thèmes!$D$2:$D$190,MATCH(B11,Thèmes!$A$2:$A$190,0)),"")</f>
        <v/>
      </c>
      <c r="D11" s="68" t="inlineStr">
        <is>
          <t>—</t>
        </is>
      </c>
      <c r="E11" s="68" t="inlineStr">
        <is>
          <t>Temps du dirigeant consommé par les sollicitations, par semaine</t>
        </is>
      </c>
      <c r="F11" s="68" t="inlineStr">
        <is>
          <t>Heures</t>
        </is>
      </c>
      <c r="G11" s="96" t="inlineStr">
        <is>
          <t>Calculée</t>
        </is>
      </c>
      <c r="H11" s="67" t="inlineStr">
        <is>
          <t>—</t>
        </is>
      </c>
      <c r="I11" s="68" t="inlineStr">
        <is>
          <t>—</t>
        </is>
      </c>
      <c r="J11" s="68" t="inlineStr">
        <is>
          <t>—</t>
        </is>
      </c>
      <c r="K11" s="67" t="n"/>
      <c r="L11" s="67" t="inlineStr">
        <is>
          <t>●</t>
        </is>
      </c>
      <c r="M11" s="67" t="inlineStr">
        <is>
          <t>●</t>
        </is>
      </c>
      <c r="N11" s="68" t="inlineStr">
        <is>
          <t>Capacité</t>
        </is>
      </c>
      <c r="O11" s="68" t="inlineStr">
        <is>
          <t>Sollicitations par jour × temps moyen × jours travaillés</t>
        </is>
      </c>
      <c r="P11" s="68" t="inlineStr">
        <is>
          <t>RH-03.01, RH-03.02, ACQ-22.01</t>
        </is>
      </c>
      <c r="Q11" s="68" t="inlineStr">
        <is>
          <t>RH-03.07, XR01</t>
        </is>
      </c>
      <c r="R11" s="83" t="n"/>
    </row>
    <row r="12" ht="23.85" customHeight="1" s="53">
      <c r="A12" s="81" t="inlineStr">
        <is>
          <t>RH-03.07</t>
        </is>
      </c>
      <c r="B12" s="67" t="inlineStr">
        <is>
          <t>RH-03</t>
        </is>
      </c>
      <c r="C12" s="95">
        <f>IFERROR(INDEX(Thèmes!$D$2:$D$190,MATCH(B12,Thèmes!$A$2:$A$190,0)),"")</f>
        <v/>
      </c>
      <c r="D12" s="68" t="inlineStr">
        <is>
          <t>—</t>
        </is>
      </c>
      <c r="E12" s="68" t="inlineStr">
        <is>
          <t>Heures récupérables avec des règles écrites ou une délégation</t>
        </is>
      </c>
      <c r="F12" s="68" t="inlineStr">
        <is>
          <t>Heures</t>
        </is>
      </c>
      <c r="G12" s="96" t="inlineStr">
        <is>
          <t>Calculée</t>
        </is>
      </c>
      <c r="H12" s="67" t="inlineStr">
        <is>
          <t>—</t>
        </is>
      </c>
      <c r="I12" s="68" t="inlineStr">
        <is>
          <t>—</t>
        </is>
      </c>
      <c r="J12" s="68" t="inlineStr">
        <is>
          <t>—</t>
        </is>
      </c>
      <c r="K12" s="67" t="n"/>
      <c r="L12" s="67" t="inlineStr">
        <is>
          <t>●</t>
        </is>
      </c>
      <c r="M12" s="67" t="inlineStr">
        <is>
          <t>●</t>
        </is>
      </c>
      <c r="N12" s="68" t="inlineStr">
        <is>
          <t>Levier</t>
        </is>
      </c>
      <c r="O12" s="68" t="inlineStr">
        <is>
          <t>Temps consommé × part évitable</t>
        </is>
      </c>
      <c r="P12" s="68" t="inlineStr">
        <is>
          <t>RH-03.06, RH-03.04</t>
        </is>
      </c>
      <c r="Q12" s="68" t="inlineStr">
        <is>
          <t>RH-05.08, XR02</t>
        </is>
      </c>
      <c r="R12" s="83" t="n"/>
    </row>
    <row r="13" ht="35.05" customHeight="1" s="53">
      <c r="A13" s="98" t="inlineStr">
        <is>
          <t>RH-04.01</t>
        </is>
      </c>
      <c r="B13" s="89" t="inlineStr">
        <is>
          <t>RH-04</t>
        </is>
      </c>
      <c r="C13" s="97">
        <f>IFERROR(INDEX(Thèmes!$D$2:$D$190,MATCH(B13,Thèmes!$A$2:$A$190,0)),"")</f>
        <v/>
      </c>
      <c r="D13" s="86" t="inlineStr">
        <is>
          <t>R03 · Ce que vous déléguez</t>
        </is>
      </c>
      <c r="E13" s="86" t="inlineStr">
        <is>
          <t>Tâches confiées à quelqu'un d'autre sur les 3 derniers mois — déclencheur D44</t>
        </is>
      </c>
      <c r="F13" s="86" t="inlineStr">
        <is>
          <t>Nombre</t>
        </is>
      </c>
      <c r="G13" s="89" t="inlineStr">
        <is>
          <t>Demandée</t>
        </is>
      </c>
      <c r="H13" s="89" t="inlineStr">
        <is>
          <t>Essentiel</t>
        </is>
      </c>
      <c r="I13" s="86" t="inlineStr">
        <is>
          <t>—</t>
        </is>
      </c>
      <c r="J13" s="86" t="inlineStr">
        <is>
          <t>Période adaptée : depuis la création si moins de 3 mois</t>
        </is>
      </c>
      <c r="K13" s="89" t="n"/>
      <c r="L13" s="89" t="inlineStr">
        <is>
          <t>●</t>
        </is>
      </c>
      <c r="M13" s="89" t="inlineStr">
        <is>
          <t>●</t>
        </is>
      </c>
      <c r="N13" s="86" t="inlineStr">
        <is>
          <t>Mesure</t>
        </is>
      </c>
      <c r="O13" s="86" t="inlineStr">
        <is>
          <t>—</t>
        </is>
      </c>
      <c r="P13" s="86" t="inlineStr">
        <is>
          <t>—</t>
        </is>
      </c>
      <c r="Q13" s="86" t="inlineStr">
        <is>
          <t>RH-04.06</t>
        </is>
      </c>
      <c r="R13" s="91" t="inlineStr">
        <is>
          <t>Format de réponse (la banque l'emporte) · Libellé (« Donnée »)</t>
        </is>
      </c>
    </row>
    <row r="14" ht="35.05" customHeight="1" s="53">
      <c r="A14" s="94" t="inlineStr">
        <is>
          <t>RH-04.02</t>
        </is>
      </c>
      <c r="B14" s="67" t="inlineStr">
        <is>
          <t>RH-04</t>
        </is>
      </c>
      <c r="C14" s="95">
        <f>IFERROR(INDEX(Thèmes!$D$2:$D$190,MATCH(B14,Thèmes!$A$2:$A$190,0)),"")</f>
        <v/>
      </c>
      <c r="D14" s="68" t="inlineStr">
        <is>
          <t>R03 · Ce que vous déléguez</t>
        </is>
      </c>
      <c r="E14" s="68" t="inlineStr">
        <is>
          <t>Parmi elles, tâches reprises. Définition : vous avez dû la refaire, la corriger fortement, la terminer, reprendre le client ou annuler la délégation — déclencheur D45</t>
        </is>
      </c>
      <c r="F14" s="68" t="inlineStr">
        <is>
          <t>Nombre ou tranche</t>
        </is>
      </c>
      <c r="G14" s="67" t="inlineStr">
        <is>
          <t>Demandée</t>
        </is>
      </c>
      <c r="H14" s="67" t="inlineStr">
        <is>
          <t>Essentiel</t>
        </is>
      </c>
      <c r="I14" s="99" t="inlineStr">
        <is>
          <t>D44 · si vous avez confié des tâches</t>
        </is>
      </c>
      <c r="J14" s="68" t="inlineStr">
        <is>
          <t>—</t>
        </is>
      </c>
      <c r="K14" s="67" t="n"/>
      <c r="L14" s="67" t="inlineStr">
        <is>
          <t>●</t>
        </is>
      </c>
      <c r="M14" s="67" t="inlineStr">
        <is>
          <t>●</t>
        </is>
      </c>
      <c r="N14" s="68" t="inlineStr">
        <is>
          <t>Problème</t>
        </is>
      </c>
      <c r="O14" s="68" t="inlineStr">
        <is>
          <t>—</t>
        </is>
      </c>
      <c r="P14" s="68" t="inlineStr">
        <is>
          <t>—</t>
        </is>
      </c>
      <c r="Q14" s="68" t="inlineStr">
        <is>
          <t>RH-04.06</t>
        </is>
      </c>
      <c r="R14" s="83" t="inlineStr">
        <is>
          <t>Libellé (« Donnée ») · Condition d'affichage</t>
        </is>
      </c>
    </row>
    <row r="15" ht="46.25" customHeight="1" s="53">
      <c r="A15" s="94" t="inlineStr">
        <is>
          <t>RH-04.03</t>
        </is>
      </c>
      <c r="B15" s="67" t="inlineStr">
        <is>
          <t>RH-04</t>
        </is>
      </c>
      <c r="C15" s="95">
        <f>IFERROR(INDEX(Thèmes!$D$2:$D$190,MATCH(B15,Thèmes!$A$2:$A$190,0)),"")</f>
        <v/>
      </c>
      <c r="D15" s="68" t="inlineStr">
        <is>
          <t>R03 · Ce que vous déléguez</t>
        </is>
      </c>
      <c r="E15" s="68" t="inlineStr">
        <is>
          <t>Raison principale des reprises : manque de compétence, consignes insuffisantes, pas de procédure, pas le temps de former, qualité insuffisante, urgence, « ça va plus vite si je le fais »</t>
        </is>
      </c>
      <c r="F15" s="68" t="inlineStr">
        <is>
          <t>Choix</t>
        </is>
      </c>
      <c r="G15" s="67" t="inlineStr">
        <is>
          <t>Demandée</t>
        </is>
      </c>
      <c r="H15" s="67" t="inlineStr">
        <is>
          <t>Approfondi</t>
        </is>
      </c>
      <c r="I15" s="99" t="inlineStr">
        <is>
          <t>D45 · si vous avez dû reprendre des tâches en main</t>
        </is>
      </c>
      <c r="J15" s="68" t="inlineStr">
        <is>
          <t>—</t>
        </is>
      </c>
      <c r="K15" s="67" t="n"/>
      <c r="L15" s="67" t="inlineStr">
        <is>
          <t>●</t>
        </is>
      </c>
      <c r="M15" s="67" t="inlineStr">
        <is>
          <t>●</t>
        </is>
      </c>
      <c r="N15" s="68" t="inlineStr">
        <is>
          <t>Levier</t>
        </is>
      </c>
      <c r="O15" s="68" t="inlineStr">
        <is>
          <t>—</t>
        </is>
      </c>
      <c r="P15" s="68" t="inlineStr">
        <is>
          <t>—</t>
        </is>
      </c>
      <c r="Q15" s="68" t="inlineStr">
        <is>
          <t>RH-04.07</t>
        </is>
      </c>
      <c r="R15" s="83" t="inlineStr">
        <is>
          <t>Condition d'affichage · Niveau</t>
        </is>
      </c>
    </row>
    <row r="16" ht="35.05" customHeight="1" s="53">
      <c r="A16" s="94" t="inlineStr">
        <is>
          <t>RH-04.04</t>
        </is>
      </c>
      <c r="B16" s="67" t="inlineStr">
        <is>
          <t>RH-04</t>
        </is>
      </c>
      <c r="C16" s="95">
        <f>IFERROR(INDEX(Thèmes!$D$2:$D$190,MATCH(B16,Thèmes!$A$2:$A$190,0)),"")</f>
        <v/>
      </c>
      <c r="D16" s="68" t="inlineStr">
        <is>
          <t>R03 · Ce que vous déléguez</t>
        </is>
      </c>
      <c r="E16" s="68" t="inlineStr">
        <is>
          <t>Tâches les plus souvent reprises (3 au plus)</t>
        </is>
      </c>
      <c r="F16" s="68" t="inlineStr">
        <is>
          <t>Texte court</t>
        </is>
      </c>
      <c r="G16" s="67" t="inlineStr">
        <is>
          <t>Demandée</t>
        </is>
      </c>
      <c r="H16" s="67" t="inlineStr">
        <is>
          <t>Approfondi</t>
        </is>
      </c>
      <c r="I16" s="99" t="inlineStr">
        <is>
          <t>D45 · si vous avez dû reprendre des tâches en main</t>
        </is>
      </c>
      <c r="J16" s="68" t="inlineStr">
        <is>
          <t>—</t>
        </is>
      </c>
      <c r="K16" s="67" t="n"/>
      <c r="L16" s="67" t="inlineStr">
        <is>
          <t>●</t>
        </is>
      </c>
      <c r="M16" s="67" t="inlineStr">
        <is>
          <t>●</t>
        </is>
      </c>
      <c r="N16" s="68" t="inlineStr">
        <is>
          <t>Levier</t>
        </is>
      </c>
      <c r="O16" s="68" t="inlineStr">
        <is>
          <t>—</t>
        </is>
      </c>
      <c r="P16" s="68" t="inlineStr">
        <is>
          <t>—</t>
        </is>
      </c>
      <c r="Q16" s="68" t="inlineStr">
        <is>
          <t>XR06</t>
        </is>
      </c>
      <c r="R16" s="83" t="inlineStr">
        <is>
          <t>Condition d'affichage</t>
        </is>
      </c>
    </row>
    <row r="17" ht="46.25" customHeight="1" s="53">
      <c r="A17" s="94" t="inlineStr">
        <is>
          <t>RH-04.05</t>
        </is>
      </c>
      <c r="B17" s="67" t="inlineStr">
        <is>
          <t>RH-04</t>
        </is>
      </c>
      <c r="C17" s="95">
        <f>IFERROR(INDEX(Thèmes!$D$2:$D$190,MATCH(B17,Thèmes!$A$2:$A$190,0)),"")</f>
        <v/>
      </c>
      <c r="D17" s="68" t="inlineStr">
        <is>
          <t>R03 · Ce que vous déléguez</t>
        </is>
      </c>
      <c r="E17" s="68" t="inlineStr">
        <is>
          <t>Temps passé par semaine à corriger ou reprendre ce qui a été délégué</t>
        </is>
      </c>
      <c r="F17" s="68" t="inlineStr">
        <is>
          <t>Tranches : 0 · 1-3 h · 3-6 h · 6-10 h · plus de 10 h · je ne sais pas</t>
        </is>
      </c>
      <c r="G17" s="67" t="inlineStr">
        <is>
          <t>Demandée</t>
        </is>
      </c>
      <c r="H17" s="67" t="inlineStr">
        <is>
          <t>Approfondi</t>
        </is>
      </c>
      <c r="I17" s="99" t="inlineStr">
        <is>
          <t>D45 · si vous avez dû reprendre des tâches en main</t>
        </is>
      </c>
      <c r="J17" s="68" t="inlineStr">
        <is>
          <t>—</t>
        </is>
      </c>
      <c r="K17" s="67" t="n"/>
      <c r="L17" s="67" t="inlineStr">
        <is>
          <t>●</t>
        </is>
      </c>
      <c r="M17" s="67" t="inlineStr">
        <is>
          <t>●</t>
        </is>
      </c>
      <c r="N17" s="68" t="inlineStr">
        <is>
          <t>Capacité</t>
        </is>
      </c>
      <c r="O17" s="68" t="inlineStr">
        <is>
          <t>—</t>
        </is>
      </c>
      <c r="P17" s="68" t="inlineStr">
        <is>
          <t>—</t>
        </is>
      </c>
      <c r="Q17" s="68" t="inlineStr">
        <is>
          <t>XR06</t>
        </is>
      </c>
      <c r="R17" s="83" t="inlineStr">
        <is>
          <t>Condition d'affichage</t>
        </is>
      </c>
    </row>
    <row r="18" ht="23.85" customHeight="1" s="53">
      <c r="A18" s="81" t="inlineStr">
        <is>
          <t>RH-04.06</t>
        </is>
      </c>
      <c r="B18" s="67" t="inlineStr">
        <is>
          <t>RH-04</t>
        </is>
      </c>
      <c r="C18" s="95">
        <f>IFERROR(INDEX(Thèmes!$D$2:$D$190,MATCH(B18,Thèmes!$A$2:$A$190,0)),"")</f>
        <v/>
      </c>
      <c r="D18" s="68" t="inlineStr">
        <is>
          <t>—</t>
        </is>
      </c>
      <c r="E18" s="68" t="inlineStr">
        <is>
          <t>Taux de délégation réussie</t>
        </is>
      </c>
      <c r="F18" s="68" t="inlineStr">
        <is>
          <t>%</t>
        </is>
      </c>
      <c r="G18" s="96" t="inlineStr">
        <is>
          <t>Calculée</t>
        </is>
      </c>
      <c r="H18" s="67" t="inlineStr">
        <is>
          <t>—</t>
        </is>
      </c>
      <c r="I18" s="68" t="inlineStr">
        <is>
          <t>—</t>
        </is>
      </c>
      <c r="J18" s="68" t="inlineStr">
        <is>
          <t>—</t>
        </is>
      </c>
      <c r="K18" s="67" t="n"/>
      <c r="L18" s="67" t="inlineStr">
        <is>
          <t>●</t>
        </is>
      </c>
      <c r="M18" s="67" t="inlineStr">
        <is>
          <t>●</t>
        </is>
      </c>
      <c r="N18" s="68" t="inlineStr">
        <is>
          <t>Cible</t>
        </is>
      </c>
      <c r="O18" s="68" t="inlineStr">
        <is>
          <t>(Tâches confiées − tâches reprises) ÷ tâches confiées</t>
        </is>
      </c>
      <c r="P18" s="68" t="inlineStr">
        <is>
          <t>RH-04.01, RH-04.02</t>
        </is>
      </c>
      <c r="Q18" s="68" t="inlineStr">
        <is>
          <t>RH-04.07, XR06</t>
        </is>
      </c>
      <c r="R18" s="83" t="n"/>
    </row>
    <row r="19" ht="35.05" customHeight="1" s="53">
      <c r="A19" s="81" t="inlineStr">
        <is>
          <t>RH-04.07</t>
        </is>
      </c>
      <c r="B19" s="67" t="inlineStr">
        <is>
          <t>RH-04</t>
        </is>
      </c>
      <c r="C19" s="95">
        <f>IFERROR(INDEX(Thèmes!$D$2:$D$190,MATCH(B19,Thèmes!$A$2:$A$190,0)),"")</f>
        <v/>
      </c>
      <c r="D19" s="68" t="inlineStr">
        <is>
          <t>—</t>
        </is>
      </c>
      <c r="E19" s="68" t="inlineStr">
        <is>
          <t>Origine probable du problème de délégation</t>
        </is>
      </c>
      <c r="F19" s="68" t="inlineStr">
        <is>
          <t>Choix</t>
        </is>
      </c>
      <c r="G19" s="96" t="inlineStr">
        <is>
          <t>Calculée</t>
        </is>
      </c>
      <c r="H19" s="67" t="inlineStr">
        <is>
          <t>—</t>
        </is>
      </c>
      <c r="I19" s="68" t="inlineStr">
        <is>
          <t>—</t>
        </is>
      </c>
      <c r="J19" s="68" t="inlineStr">
        <is>
          <t>—</t>
        </is>
      </c>
      <c r="K19" s="67" t="n"/>
      <c r="L19" s="67" t="inlineStr">
        <is>
          <t>●</t>
        </is>
      </c>
      <c r="M19" s="67" t="inlineStr">
        <is>
          <t>●</t>
        </is>
      </c>
      <c r="N19" s="68" t="inlineStr">
        <is>
          <t>Levier</t>
        </is>
      </c>
      <c r="O19" s="68" t="inlineStr">
        <is>
          <t>Compétence → la personne ; « plus vite si je le fais » → le dirigeant ; consignes, temps de formation → la méthode ; pas de procédure → les procédures</t>
        </is>
      </c>
      <c r="P19" s="68" t="inlineStr">
        <is>
          <t>RH-04.03, RH-04.06</t>
        </is>
      </c>
      <c r="Q19" s="68" t="inlineStr">
        <is>
          <t>XR06</t>
        </is>
      </c>
      <c r="R19" s="83" t="n"/>
    </row>
    <row r="20" ht="57.45" customHeight="1" s="53">
      <c r="A20" s="98" t="inlineStr">
        <is>
          <t>RH-05.01</t>
        </is>
      </c>
      <c r="B20" s="89" t="inlineStr">
        <is>
          <t>RH-05</t>
        </is>
      </c>
      <c r="C20" s="97">
        <f>IFERROR(INDEX(Thèmes!$D$2:$D$190,MATCH(B20,Thèmes!$A$2:$A$190,0)),"")</f>
        <v/>
      </c>
      <c r="D20" s="86" t="inlineStr">
        <is>
          <t>R04 · Votre semaine</t>
        </is>
      </c>
      <c r="E20" s="86" t="inlineStr">
        <is>
          <t>Jours et heures travaillés par semaine par le dirigeant (regroupe les anciennes RH-05.01 et RH-05.09) — mini-bloc « temps du dirigeant », partagé : posé par le premier agent qui en a besoin (Acquisition, Finance, Comm ou RH), jamais redemandé</t>
        </is>
      </c>
      <c r="F20" s="86" t="inlineStr">
        <is>
          <t>Plusieurs champs : Jours · Heures</t>
        </is>
      </c>
      <c r="G20" s="89" t="inlineStr">
        <is>
          <t>Demandée</t>
        </is>
      </c>
      <c r="H20" s="89" t="inlineStr">
        <is>
          <t>Essentiel</t>
        </is>
      </c>
      <c r="I20" s="86" t="inlineStr">
        <is>
          <t>—</t>
        </is>
      </c>
      <c r="J20" s="86" t="inlineStr">
        <is>
          <t>—</t>
        </is>
      </c>
      <c r="K20" s="89" t="inlineStr">
        <is>
          <t>●</t>
        </is>
      </c>
      <c r="L20" s="89" t="inlineStr">
        <is>
          <t>●</t>
        </is>
      </c>
      <c r="M20" s="89" t="inlineStr">
        <is>
          <t>●</t>
        </is>
      </c>
      <c r="N20" s="86" t="inlineStr">
        <is>
          <t>Capacité</t>
        </is>
      </c>
      <c r="O20" s="86" t="inlineStr">
        <is>
          <t>—</t>
        </is>
      </c>
      <c r="P20" s="86" t="inlineStr">
        <is>
          <t>—</t>
        </is>
      </c>
      <c r="Q20" s="86" t="inlineStr">
        <is>
          <t>RH-05.06, RH-05.07, RH-08.07, RH-09.05, RH-17.05, XR04</t>
        </is>
      </c>
      <c r="R20" s="91" t="inlineStr">
        <is>
          <t>Format de réponse (la banque l'emporte) · Libellé (« Donnée »)</t>
        </is>
      </c>
    </row>
    <row r="21" ht="57.45" customHeight="1" s="53">
      <c r="A21" s="94" t="inlineStr">
        <is>
          <t>RH-05.02</t>
        </is>
      </c>
      <c r="B21" s="67" t="inlineStr">
        <is>
          <t>RH-05</t>
        </is>
      </c>
      <c r="C21" s="95">
        <f>IFERROR(INDEX(Thèmes!$D$2:$D$190,MATCH(B21,Thèmes!$A$2:$A$190,0)),"")</f>
        <v/>
      </c>
      <c r="D21" s="68" t="inlineStr">
        <is>
          <t>R04 · Votre semaine</t>
        </is>
      </c>
      <c r="E21" s="68" t="inlineStr">
        <is>
          <t>Répartition de votre semaine : production, commercial, administratif, management (si équipe), développement et stratégie — mini-bloc « temps du dirigeant », partagé : posé par le premier agent qui en a besoin (Acquisition, Finance, Comm ou RH), jamais redemandé</t>
        </is>
      </c>
      <c r="F21" s="68" t="inlineStr">
        <is>
          <t>% (total 100)</t>
        </is>
      </c>
      <c r="G21" s="67" t="inlineStr">
        <is>
          <t>Demandée</t>
        </is>
      </c>
      <c r="H21" s="67" t="inlineStr">
        <is>
          <t>Essentiel</t>
        </is>
      </c>
      <c r="I21" s="68" t="inlineStr">
        <is>
          <t>—</t>
        </is>
      </c>
      <c r="J21" s="68" t="inlineStr">
        <is>
          <t>—</t>
        </is>
      </c>
      <c r="K21" s="67" t="inlineStr">
        <is>
          <t>●</t>
        </is>
      </c>
      <c r="L21" s="67" t="inlineStr">
        <is>
          <t>●</t>
        </is>
      </c>
      <c r="M21" s="67" t="inlineStr">
        <is>
          <t>●</t>
        </is>
      </c>
      <c r="N21" s="68" t="inlineStr">
        <is>
          <t>Levier</t>
        </is>
      </c>
      <c r="O21" s="68" t="inlineStr">
        <is>
          <t>—</t>
        </is>
      </c>
      <c r="P21" s="68" t="inlineStr">
        <is>
          <t>—</t>
        </is>
      </c>
      <c r="Q21" s="68" t="inlineStr">
        <is>
          <t>RH-05.07, XR07</t>
        </is>
      </c>
      <c r="R21" s="83" t="inlineStr">
        <is>
          <t>Libellé (« Donnée »)</t>
        </is>
      </c>
    </row>
    <row r="22" ht="46.25" customHeight="1" s="53">
      <c r="A22" s="81" t="inlineStr">
        <is>
          <t>RH-05.03</t>
        </is>
      </c>
      <c r="B22" s="67" t="inlineStr">
        <is>
          <t>RH-05</t>
        </is>
      </c>
      <c r="C22" s="95">
        <f>IFERROR(INDEX(Thèmes!$D$2:$D$190,MATCH(B22,Thèmes!$A$2:$A$190,0)),"")</f>
        <v/>
      </c>
      <c r="D22" s="68" t="inlineStr">
        <is>
          <t>R04 · Votre semaine</t>
        </is>
      </c>
      <c r="E22" s="68" t="inlineStr">
        <is>
          <t>Heures par semaine sur des tâches qu'une autre personne ou un outil pourrait faire</t>
        </is>
      </c>
      <c r="F22" s="68" t="inlineStr">
        <is>
          <t>Tranches : 0 · 1-3 h · 3-6 h · 6-10 h · plus de 10 h · je ne sais pas</t>
        </is>
      </c>
      <c r="G22" s="67" t="inlineStr">
        <is>
          <t>Demandée</t>
        </is>
      </c>
      <c r="H22" s="67" t="inlineStr">
        <is>
          <t>Essentiel</t>
        </is>
      </c>
      <c r="I22" s="68" t="inlineStr">
        <is>
          <t>—</t>
        </is>
      </c>
      <c r="J22" s="68" t="inlineStr">
        <is>
          <t>—</t>
        </is>
      </c>
      <c r="K22" s="67" t="inlineStr">
        <is>
          <t>●</t>
        </is>
      </c>
      <c r="L22" s="67" t="inlineStr">
        <is>
          <t>●</t>
        </is>
      </c>
      <c r="M22" s="67" t="inlineStr">
        <is>
          <t>●</t>
        </is>
      </c>
      <c r="N22" s="68" t="inlineStr">
        <is>
          <t>Levier</t>
        </is>
      </c>
      <c r="O22" s="68" t="inlineStr">
        <is>
          <t>—</t>
        </is>
      </c>
      <c r="P22" s="68" t="inlineStr">
        <is>
          <t>—</t>
        </is>
      </c>
      <c r="Q22" s="68" t="inlineStr">
        <is>
          <t>RH-05.06, RH-05.08, XR04, XR07</t>
        </is>
      </c>
      <c r="R22" s="83" t="n"/>
    </row>
    <row r="23" ht="35.05" customHeight="1" s="53">
      <c r="A23" s="94" t="inlineStr">
        <is>
          <t>RH-05.04</t>
        </is>
      </c>
      <c r="B23" s="67" t="inlineStr">
        <is>
          <t>RH-05</t>
        </is>
      </c>
      <c r="C23" s="95">
        <f>IFERROR(INDEX(Thèmes!$D$2:$D$190,MATCH(B23,Thèmes!$A$2:$A$190,0)),"")</f>
        <v/>
      </c>
      <c r="D23" s="68" t="inlineStr">
        <is>
          <t>R04 · Votre semaine</t>
        </is>
      </c>
      <c r="E23" s="68" t="inlineStr">
        <is>
          <t>Soirs et jours de week-end travaillés par semaine</t>
        </is>
      </c>
      <c r="F23" s="68" t="inlineStr">
        <is>
          <t>Plusieurs champs : Soirs · Jours de week-end</t>
        </is>
      </c>
      <c r="G23" s="67" t="inlineStr">
        <is>
          <t>Demandée</t>
        </is>
      </c>
      <c r="H23" s="67" t="inlineStr">
        <is>
          <t>Approfondi</t>
        </is>
      </c>
      <c r="I23" s="68" t="inlineStr">
        <is>
          <t>—</t>
        </is>
      </c>
      <c r="J23" s="68" t="inlineStr">
        <is>
          <t>—</t>
        </is>
      </c>
      <c r="K23" s="67" t="inlineStr">
        <is>
          <t>●</t>
        </is>
      </c>
      <c r="L23" s="67" t="inlineStr">
        <is>
          <t>●</t>
        </is>
      </c>
      <c r="M23" s="67" t="inlineStr">
        <is>
          <t>●</t>
        </is>
      </c>
      <c r="N23" s="68" t="inlineStr">
        <is>
          <t>Risque</t>
        </is>
      </c>
      <c r="O23" s="68" t="inlineStr">
        <is>
          <t>—</t>
        </is>
      </c>
      <c r="P23" s="68" t="inlineStr">
        <is>
          <t>—</t>
        </is>
      </c>
      <c r="Q23" s="68" t="inlineStr">
        <is>
          <t>XR05</t>
        </is>
      </c>
      <c r="R23" s="83" t="inlineStr">
        <is>
          <t>Format de réponse (la banque l'emporte)</t>
        </is>
      </c>
    </row>
    <row r="24" ht="35.05" customHeight="1" s="53">
      <c r="A24" s="81" t="inlineStr">
        <is>
          <t>RH-05.05</t>
        </is>
      </c>
      <c r="B24" s="67" t="inlineStr">
        <is>
          <t>RH-05</t>
        </is>
      </c>
      <c r="C24" s="95">
        <f>IFERROR(INDEX(Thèmes!$D$2:$D$190,MATCH(B24,Thèmes!$A$2:$A$190,0)),"")</f>
        <v/>
      </c>
      <c r="D24" s="68" t="inlineStr">
        <is>
          <t>R04 · Votre semaine</t>
        </is>
      </c>
      <c r="E24" s="68" t="inlineStr">
        <is>
          <t>Vos heures par rapport à il y a 12 mois : moins, autant, plus</t>
        </is>
      </c>
      <c r="F24" s="68" t="inlineStr">
        <is>
          <t>Choix</t>
        </is>
      </c>
      <c r="G24" s="67" t="inlineStr">
        <is>
          <t>Demandée</t>
        </is>
      </c>
      <c r="H24" s="67" t="inlineStr">
        <is>
          <t>Approfondi</t>
        </is>
      </c>
      <c r="I24" s="68" t="inlineStr">
        <is>
          <t>—</t>
        </is>
      </c>
      <c r="J24" s="68" t="inlineStr">
        <is>
          <t>Il y a 12 mois (masquée avant 12 mois d'existence)</t>
        </is>
      </c>
      <c r="K24" s="67" t="inlineStr">
        <is>
          <t>●</t>
        </is>
      </c>
      <c r="L24" s="67" t="inlineStr">
        <is>
          <t>●</t>
        </is>
      </c>
      <c r="M24" s="67" t="inlineStr">
        <is>
          <t>●</t>
        </is>
      </c>
      <c r="N24" s="68" t="inlineStr">
        <is>
          <t>Problème</t>
        </is>
      </c>
      <c r="O24" s="68" t="inlineStr">
        <is>
          <t>—</t>
        </is>
      </c>
      <c r="P24" s="68" t="inlineStr">
        <is>
          <t>—</t>
        </is>
      </c>
      <c r="Q24" s="68" t="inlineStr">
        <is>
          <t>Lue par l'IA pour adapter le conseil</t>
        </is>
      </c>
      <c r="R24" s="83" t="n"/>
    </row>
    <row r="25" ht="23.85" customHeight="1" s="53">
      <c r="A25" s="81" t="inlineStr">
        <is>
          <t>RH-05.06</t>
        </is>
      </c>
      <c r="B25" s="67" t="inlineStr">
        <is>
          <t>RH-05</t>
        </is>
      </c>
      <c r="C25" s="95">
        <f>IFERROR(INDEX(Thèmes!$D$2:$D$190,MATCH(B25,Thèmes!$A$2:$A$190,0)),"")</f>
        <v/>
      </c>
      <c r="D25" s="68" t="inlineStr">
        <is>
          <t>—</t>
        </is>
      </c>
      <c r="E25" s="68" t="inlineStr">
        <is>
          <t>Part du temps du dirigeant sur des tâches à faible valeur ajoutée</t>
        </is>
      </c>
      <c r="F25" s="68" t="inlineStr">
        <is>
          <t>%</t>
        </is>
      </c>
      <c r="G25" s="96" t="inlineStr">
        <is>
          <t>Calculée</t>
        </is>
      </c>
      <c r="H25" s="67" t="inlineStr">
        <is>
          <t>—</t>
        </is>
      </c>
      <c r="I25" s="68" t="inlineStr">
        <is>
          <t>—</t>
        </is>
      </c>
      <c r="J25" s="68" t="inlineStr">
        <is>
          <t>—</t>
        </is>
      </c>
      <c r="K25" s="67" t="inlineStr">
        <is>
          <t>●</t>
        </is>
      </c>
      <c r="L25" s="67" t="inlineStr">
        <is>
          <t>●</t>
        </is>
      </c>
      <c r="M25" s="67" t="inlineStr">
        <is>
          <t>●</t>
        </is>
      </c>
      <c r="N25" s="68" t="inlineStr">
        <is>
          <t>Problème</t>
        </is>
      </c>
      <c r="O25" s="68" t="inlineStr">
        <is>
          <t>Heures délégables ou automatisables ÷ heures travaillées</t>
        </is>
      </c>
      <c r="P25" s="68" t="inlineStr">
        <is>
          <t>RH-05.03, RH-05.01</t>
        </is>
      </c>
      <c r="Q25" s="68" t="inlineStr">
        <is>
          <t>XR05</t>
        </is>
      </c>
      <c r="R25" s="83" t="n"/>
    </row>
    <row r="26" ht="23.85" customHeight="1" s="53">
      <c r="A26" s="81" t="inlineStr">
        <is>
          <t>RH-05.07</t>
        </is>
      </c>
      <c r="B26" s="67" t="inlineStr">
        <is>
          <t>RH-05</t>
        </is>
      </c>
      <c r="C26" s="95">
        <f>IFERROR(INDEX(Thèmes!$D$2:$D$190,MATCH(B26,Thèmes!$A$2:$A$190,0)),"")</f>
        <v/>
      </c>
      <c r="D26" s="68" t="inlineStr">
        <is>
          <t>—</t>
        </is>
      </c>
      <c r="E26" s="68" t="inlineStr">
        <is>
          <t>Heures réellement consacrées au développement de l'entreprise</t>
        </is>
      </c>
      <c r="F26" s="68" t="inlineStr">
        <is>
          <t>Heures</t>
        </is>
      </c>
      <c r="G26" s="96" t="inlineStr">
        <is>
          <t>Calculée</t>
        </is>
      </c>
      <c r="H26" s="67" t="inlineStr">
        <is>
          <t>—</t>
        </is>
      </c>
      <c r="I26" s="68" t="inlineStr">
        <is>
          <t>—</t>
        </is>
      </c>
      <c r="J26" s="68" t="inlineStr">
        <is>
          <t>—</t>
        </is>
      </c>
      <c r="K26" s="67" t="inlineStr">
        <is>
          <t>●</t>
        </is>
      </c>
      <c r="L26" s="67" t="inlineStr">
        <is>
          <t>●</t>
        </is>
      </c>
      <c r="M26" s="67" t="inlineStr">
        <is>
          <t>●</t>
        </is>
      </c>
      <c r="N26" s="68" t="inlineStr">
        <is>
          <t>Problème</t>
        </is>
      </c>
      <c r="O26" s="68" t="inlineStr">
        <is>
          <t>Heures travaillées × part « développement et stratégie »</t>
        </is>
      </c>
      <c r="P26" s="68" t="inlineStr">
        <is>
          <t>RH-05.01, RH-05.02</t>
        </is>
      </c>
      <c r="Q26" s="68" t="inlineStr">
        <is>
          <t>XR05</t>
        </is>
      </c>
      <c r="R26" s="83" t="n"/>
    </row>
    <row r="27" ht="35.05" customHeight="1" s="53">
      <c r="A27" s="81" t="inlineStr">
        <is>
          <t>RH-05.08</t>
        </is>
      </c>
      <c r="B27" s="67" t="inlineStr">
        <is>
          <t>RH-05</t>
        </is>
      </c>
      <c r="C27" s="95">
        <f>IFERROR(INDEX(Thèmes!$D$2:$D$190,MATCH(B27,Thèmes!$A$2:$A$190,0)),"")</f>
        <v/>
      </c>
      <c r="D27" s="68" t="inlineStr">
        <is>
          <t>—</t>
        </is>
      </c>
      <c r="E27" s="68" t="inlineStr">
        <is>
          <t>Heures du dirigeant récupérables par semaine</t>
        </is>
      </c>
      <c r="F27" s="68" t="inlineStr">
        <is>
          <t>Heures</t>
        </is>
      </c>
      <c r="G27" s="96" t="inlineStr">
        <is>
          <t>Calculée</t>
        </is>
      </c>
      <c r="H27" s="67" t="inlineStr">
        <is>
          <t>—</t>
        </is>
      </c>
      <c r="I27" s="68" t="inlineStr">
        <is>
          <t>—</t>
        </is>
      </c>
      <c r="J27" s="68" t="inlineStr">
        <is>
          <t>—</t>
        </is>
      </c>
      <c r="K27" s="67" t="inlineStr">
        <is>
          <t>●</t>
        </is>
      </c>
      <c r="L27" s="67" t="inlineStr">
        <is>
          <t>●</t>
        </is>
      </c>
      <c r="M27" s="67" t="inlineStr">
        <is>
          <t>●</t>
        </is>
      </c>
      <c r="N27" s="68" t="inlineStr">
        <is>
          <t>Levier</t>
        </is>
      </c>
      <c r="O27" s="68" t="inlineStr">
        <is>
          <t>Tâches délégables + sollicitations évitables + interruptions évitables, sans double compte (les sollicitations font partie des interruptions)</t>
        </is>
      </c>
      <c r="P27" s="68" t="inlineStr">
        <is>
          <t>RH-05.03, RH-03.07, RH-10.08</t>
        </is>
      </c>
      <c r="Q27" s="68" t="inlineStr">
        <is>
          <t>XR04, XR27</t>
        </is>
      </c>
      <c r="R27" s="83" t="n"/>
    </row>
    <row r="28" ht="57.45" customHeight="1" s="53">
      <c r="A28" s="92" t="inlineStr">
        <is>
          <t>RH-05.10</t>
        </is>
      </c>
      <c r="B28" s="67" t="inlineStr">
        <is>
          <t>RH-05</t>
        </is>
      </c>
      <c r="C28" s="95">
        <f>IFERROR(INDEX(Thèmes!$D$2:$D$190,MATCH(B28,Thèmes!$A$2:$A$190,0)),"")</f>
        <v/>
      </c>
      <c r="D28" s="68" t="inlineStr">
        <is>
          <t>—</t>
        </is>
      </c>
      <c r="E28" s="68" t="inlineStr">
        <is>
          <t>Durée d'absence possible du dirigeant sans retard pour les clients (ligne « vous » de RH-38.01) — mini-bloc « temps du dirigeant », partagé : posé par le premier agent qui en a besoin (Acquisition, Finance, Comm ou RH), jamais redemandé</t>
        </is>
      </c>
      <c r="F28" s="68" t="inlineStr">
        <is>
          <t>Choix</t>
        </is>
      </c>
      <c r="G28" s="67" t="inlineStr">
        <is>
          <t>Demandée</t>
        </is>
      </c>
      <c r="H28" s="67" t="inlineStr">
        <is>
          <t>Essentiel</t>
        </is>
      </c>
      <c r="I28" s="68" t="inlineStr">
        <is>
          <t>—</t>
        </is>
      </c>
      <c r="J28" s="68" t="inlineStr">
        <is>
          <t>—</t>
        </is>
      </c>
      <c r="K28" s="67" t="inlineStr">
        <is>
          <t>●</t>
        </is>
      </c>
      <c r="L28" s="67" t="inlineStr">
        <is>
          <t>●</t>
        </is>
      </c>
      <c r="M28" s="67" t="inlineStr">
        <is>
          <t>●</t>
        </is>
      </c>
      <c r="N28" s="68" t="inlineStr">
        <is>
          <t>—</t>
        </is>
      </c>
      <c r="O28" s="68" t="inlineStr">
        <is>
          <t>—</t>
        </is>
      </c>
      <c r="P28" s="68" t="inlineStr">
        <is>
          <t>—</t>
        </is>
      </c>
      <c r="Q28" s="68" t="inlineStr">
        <is>
          <t>—</t>
        </is>
      </c>
      <c r="R28" s="83" t="inlineStr">
        <is>
          <t>Nouveau</t>
        </is>
      </c>
    </row>
    <row r="29" ht="35.05" customHeight="1" s="53">
      <c r="A29" s="92" t="inlineStr">
        <is>
          <t>RH-05.11</t>
        </is>
      </c>
      <c r="B29" s="67" t="inlineStr">
        <is>
          <t>RH-05</t>
        </is>
      </c>
      <c r="C29" s="95">
        <f>IFERROR(INDEX(Thèmes!$D$2:$D$190,MATCH(B29,Thèmes!$A$2:$A$190,0)),"")</f>
        <v/>
      </c>
      <c r="D29" s="68" t="inlineStr">
        <is>
          <t>—</t>
        </is>
      </c>
      <c r="E29" s="68" t="inlineStr">
        <is>
          <t>Semaines de congés réellement prises par le dirigeant sur 12 mois (lu avec RH-05.10 : capacité à s'absenter)</t>
        </is>
      </c>
      <c r="F29" s="68" t="inlineStr">
        <is>
          <t>Semaines</t>
        </is>
      </c>
      <c r="G29" s="67" t="inlineStr">
        <is>
          <t>Demandée</t>
        </is>
      </c>
      <c r="H29" s="67" t="inlineStr">
        <is>
          <t>Essentiel</t>
        </is>
      </c>
      <c r="I29" s="68" t="inlineStr">
        <is>
          <t>—</t>
        </is>
      </c>
      <c r="J29" s="68" t="inlineStr">
        <is>
          <t>Période adaptée : depuis la création si moins de 12 mois</t>
        </is>
      </c>
      <c r="K29" s="67" t="inlineStr">
        <is>
          <t>●</t>
        </is>
      </c>
      <c r="L29" s="67" t="inlineStr">
        <is>
          <t>●</t>
        </is>
      </c>
      <c r="M29" s="67" t="inlineStr">
        <is>
          <t>●</t>
        </is>
      </c>
      <c r="N29" s="68" t="inlineStr">
        <is>
          <t>—</t>
        </is>
      </c>
      <c r="O29" s="68" t="inlineStr">
        <is>
          <t>—</t>
        </is>
      </c>
      <c r="P29" s="68" t="inlineStr">
        <is>
          <t>—</t>
        </is>
      </c>
      <c r="Q29" s="68" t="inlineStr">
        <is>
          <t>—</t>
        </is>
      </c>
      <c r="R29" s="83" t="inlineStr">
        <is>
          <t>Nouveau</t>
        </is>
      </c>
    </row>
    <row r="30" ht="23.85" customHeight="1" s="53">
      <c r="A30" s="85" t="inlineStr">
        <is>
          <t>RH-06.01</t>
        </is>
      </c>
      <c r="B30" s="89" t="inlineStr">
        <is>
          <t>RH-06</t>
        </is>
      </c>
      <c r="C30" s="97">
        <f>IFERROR(INDEX(Thèmes!$D$2:$D$190,MATCH(B30,Thèmes!$A$2:$A$190,0)),"")</f>
        <v/>
      </c>
      <c r="D30" s="86" t="inlineStr">
        <is>
          <t>R05 · La charge de l'équipe</t>
        </is>
      </c>
      <c r="E30" s="86" t="inlineStr">
        <is>
          <t>Heures prévues au contrat par semaine, en moyenne</t>
        </is>
      </c>
      <c r="F30" s="86" t="inlineStr">
        <is>
          <t>Heures</t>
        </is>
      </c>
      <c r="G30" s="89" t="inlineStr">
        <is>
          <t>Demandée</t>
        </is>
      </c>
      <c r="H30" s="89" t="inlineStr">
        <is>
          <t>Essentiel</t>
        </is>
      </c>
      <c r="I30" s="86" t="inlineStr">
        <is>
          <t>—</t>
        </is>
      </c>
      <c r="J30" s="86" t="inlineStr">
        <is>
          <t>—</t>
        </is>
      </c>
      <c r="K30" s="89" t="n"/>
      <c r="L30" s="89" t="inlineStr">
        <is>
          <t>●</t>
        </is>
      </c>
      <c r="M30" s="89" t="inlineStr">
        <is>
          <t>●</t>
        </is>
      </c>
      <c r="N30" s="86" t="inlineStr">
        <is>
          <t>Mesure</t>
        </is>
      </c>
      <c r="O30" s="86" t="inlineStr">
        <is>
          <t>—</t>
        </is>
      </c>
      <c r="P30" s="86" t="inlineStr">
        <is>
          <t>—</t>
        </is>
      </c>
      <c r="Q30" s="86" t="inlineStr">
        <is>
          <t>RH-06.08, RH-08.07, RH-28.07</t>
        </is>
      </c>
      <c r="R30" s="91" t="n"/>
    </row>
    <row r="31" ht="23.85" customHeight="1" s="53">
      <c r="A31" s="81" t="inlineStr">
        <is>
          <t>RH-06.02</t>
        </is>
      </c>
      <c r="B31" s="67" t="inlineStr">
        <is>
          <t>RH-06</t>
        </is>
      </c>
      <c r="C31" s="95">
        <f>IFERROR(INDEX(Thèmes!$D$2:$D$190,MATCH(B31,Thèmes!$A$2:$A$190,0)),"")</f>
        <v/>
      </c>
      <c r="D31" s="68" t="inlineStr">
        <is>
          <t>R05 · La charge de l'équipe</t>
        </is>
      </c>
      <c r="E31" s="68" t="inlineStr">
        <is>
          <t>Heures réellement travaillées par semaine et par personne, en moyenne</t>
        </is>
      </c>
      <c r="F31" s="68" t="inlineStr">
        <is>
          <t>Heures</t>
        </is>
      </c>
      <c r="G31" s="67" t="inlineStr">
        <is>
          <t>Demandée</t>
        </is>
      </c>
      <c r="H31" s="67" t="inlineStr">
        <is>
          <t>Essentiel</t>
        </is>
      </c>
      <c r="I31" s="68" t="inlineStr">
        <is>
          <t>—</t>
        </is>
      </c>
      <c r="J31" s="68" t="inlineStr">
        <is>
          <t>—</t>
        </is>
      </c>
      <c r="K31" s="67" t="n"/>
      <c r="L31" s="67" t="inlineStr">
        <is>
          <t>●</t>
        </is>
      </c>
      <c r="M31" s="67" t="inlineStr">
        <is>
          <t>●</t>
        </is>
      </c>
      <c r="N31" s="68" t="inlineStr">
        <is>
          <t>Capacité</t>
        </is>
      </c>
      <c r="O31" s="68" t="inlineStr">
        <is>
          <t>—</t>
        </is>
      </c>
      <c r="P31" s="68" t="inlineStr">
        <is>
          <t>—</t>
        </is>
      </c>
      <c r="Q31" s="68" t="inlineStr">
        <is>
          <t>RH-06.08, RH-09.05, RH-17.05, RH-19.06</t>
        </is>
      </c>
      <c r="R31" s="83" t="n"/>
    </row>
    <row r="32" ht="23.85" customHeight="1" s="53">
      <c r="A32" s="81" t="inlineStr">
        <is>
          <t>RH-06.03</t>
        </is>
      </c>
      <c r="B32" s="67" t="inlineStr">
        <is>
          <t>RH-06</t>
        </is>
      </c>
      <c r="C32" s="95">
        <f>IFERROR(INDEX(Thèmes!$D$2:$D$190,MATCH(B32,Thèmes!$A$2:$A$190,0)),"")</f>
        <v/>
      </c>
      <c r="D32" s="68" t="inlineStr">
        <is>
          <t>F03 · Votre masse salariale</t>
        </is>
      </c>
      <c r="E32" s="68" t="inlineStr">
        <is>
          <t>Heures supplémentaires par mois et leur coût</t>
        </is>
      </c>
      <c r="F32" s="68" t="inlineStr">
        <is>
          <t>Heures et €</t>
        </is>
      </c>
      <c r="G32" s="66" t="inlineStr">
        <is>
          <t>Partagée</t>
        </is>
      </c>
      <c r="H32" s="67" t="inlineStr">
        <is>
          <t>Essentiel</t>
        </is>
      </c>
      <c r="I32" s="68" t="inlineStr">
        <is>
          <t>—</t>
        </is>
      </c>
      <c r="J32" s="68" t="inlineStr">
        <is>
          <t>—</t>
        </is>
      </c>
      <c r="K32" s="67" t="n"/>
      <c r="L32" s="67" t="inlineStr">
        <is>
          <t>●</t>
        </is>
      </c>
      <c r="M32" s="67" t="inlineStr">
        <is>
          <t>●</t>
        </is>
      </c>
      <c r="N32" s="68" t="inlineStr">
        <is>
          <t>Capacité</t>
        </is>
      </c>
      <c r="O32" s="68" t="inlineStr">
        <is>
          <t>Posée une seule fois, par le premier agent souscrit qui en a besoin (FIN-07.05), sinon ici</t>
        </is>
      </c>
      <c r="P32" s="68" t="inlineStr">
        <is>
          <t>FIN-07.05</t>
        </is>
      </c>
      <c r="Q32" s="68" t="inlineStr">
        <is>
          <t>XR08, XR28</t>
        </is>
      </c>
      <c r="R32" s="83" t="n"/>
    </row>
    <row r="33" ht="23.85" customHeight="1" s="53">
      <c r="A33" s="81" t="inlineStr">
        <is>
          <t>RH-06.04</t>
        </is>
      </c>
      <c r="B33" s="67" t="inlineStr">
        <is>
          <t>RH-06</t>
        </is>
      </c>
      <c r="C33" s="95">
        <f>IFERROR(INDEX(Thèmes!$D$2:$D$190,MATCH(B33,Thèmes!$A$2:$A$190,0)),"")</f>
        <v/>
      </c>
      <c r="D33" s="68" t="inlineStr">
        <is>
          <t>F03 · Votre masse salariale</t>
        </is>
      </c>
      <c r="E33" s="68" t="inlineStr">
        <is>
          <t>Masse salariale chargée par mois (salaires + charges patronales, hors dirigeant)</t>
        </is>
      </c>
      <c r="F33" s="68" t="inlineStr">
        <is>
          <t>€</t>
        </is>
      </c>
      <c r="G33" s="66" t="inlineStr">
        <is>
          <t>Partagée</t>
        </is>
      </c>
      <c r="H33" s="67" t="inlineStr">
        <is>
          <t>Essentiel</t>
        </is>
      </c>
      <c r="I33" s="68" t="inlineStr">
        <is>
          <t>—</t>
        </is>
      </c>
      <c r="J33" s="68" t="inlineStr">
        <is>
          <t>—</t>
        </is>
      </c>
      <c r="K33" s="67" t="n"/>
      <c r="L33" s="67" t="inlineStr">
        <is>
          <t>●</t>
        </is>
      </c>
      <c r="M33" s="67" t="inlineStr">
        <is>
          <t>●</t>
        </is>
      </c>
      <c r="N33" s="68" t="inlineStr">
        <is>
          <t>Mesure</t>
        </is>
      </c>
      <c r="O33" s="68" t="inlineStr">
        <is>
          <t>Posée une seule fois, par le premier agent souscrit qui en a besoin (FIN-07.01), sinon ici</t>
        </is>
      </c>
      <c r="P33" s="68" t="inlineStr">
        <is>
          <t>FIN-07.01</t>
        </is>
      </c>
      <c r="Q33" s="68" t="inlineStr">
        <is>
          <t>XR14, XR28</t>
        </is>
      </c>
      <c r="R33" s="83" t="n"/>
    </row>
    <row r="34" ht="35.05" customHeight="1" s="53">
      <c r="A34" s="94" t="inlineStr">
        <is>
          <t>RH-06.05</t>
        </is>
      </c>
      <c r="B34" s="67" t="inlineStr">
        <is>
          <t>RH-06</t>
        </is>
      </c>
      <c r="C34" s="95">
        <f>IFERROR(INDEX(Thèmes!$D$2:$D$190,MATCH(B34,Thèmes!$A$2:$A$190,0)),"")</f>
        <v/>
      </c>
      <c r="D34" s="68" t="inlineStr">
        <is>
          <t>R05 · La charge de l'équipe</t>
        </is>
      </c>
      <c r="E34" s="68" t="inlineStr">
        <is>
          <t>Semaines avec des heures supplémentaires sur les 3 derniers mois — déclencheur D46</t>
        </is>
      </c>
      <c r="F34" s="68" t="inlineStr">
        <is>
          <t>Choix : aucune · 1-3 · 4-8 · presque toutes</t>
        </is>
      </c>
      <c r="G34" s="67" t="inlineStr">
        <is>
          <t>Demandée</t>
        </is>
      </c>
      <c r="H34" s="67" t="inlineStr">
        <is>
          <t>Essentiel</t>
        </is>
      </c>
      <c r="I34" s="68" t="inlineStr">
        <is>
          <t>—</t>
        </is>
      </c>
      <c r="J34" s="68" t="inlineStr">
        <is>
          <t>Période adaptée : depuis la création si moins de 3 mois</t>
        </is>
      </c>
      <c r="K34" s="67" t="n"/>
      <c r="L34" s="67" t="inlineStr">
        <is>
          <t>●</t>
        </is>
      </c>
      <c r="M34" s="67" t="inlineStr">
        <is>
          <t>●</t>
        </is>
      </c>
      <c r="N34" s="68" t="inlineStr">
        <is>
          <t>Problème</t>
        </is>
      </c>
      <c r="O34" s="68" t="inlineStr">
        <is>
          <t>—</t>
        </is>
      </c>
      <c r="P34" s="68" t="inlineStr">
        <is>
          <t>—</t>
        </is>
      </c>
      <c r="Q34" s="68" t="inlineStr">
        <is>
          <t>RH-06.09, RH-11.03, XR08</t>
        </is>
      </c>
      <c r="R34" s="83" t="inlineStr">
        <is>
          <t>Libellé (« Donnée »)</t>
        </is>
      </c>
    </row>
    <row r="35" ht="23.85" customHeight="1" s="53">
      <c r="A35" s="94" t="inlineStr">
        <is>
          <t>RH-06.06</t>
        </is>
      </c>
      <c r="B35" s="67" t="inlineStr">
        <is>
          <t>RH-06</t>
        </is>
      </c>
      <c r="C35" s="95">
        <f>IFERROR(INDEX(Thèmes!$D$2:$D$190,MATCH(B35,Thèmes!$A$2:$A$190,0)),"")</f>
        <v/>
      </c>
      <c r="D35" s="68" t="inlineStr">
        <is>
          <t>R05 · La charge de l'équipe</t>
        </is>
      </c>
      <c r="E35" s="68" t="inlineStr">
        <is>
          <t>Les heures supplémentaires sont : payées, récupérées, ni l'un ni l'autre</t>
        </is>
      </c>
      <c r="F35" s="68" t="inlineStr">
        <is>
          <t>Choix</t>
        </is>
      </c>
      <c r="G35" s="67" t="inlineStr">
        <is>
          <t>Demandée</t>
        </is>
      </c>
      <c r="H35" s="67" t="inlineStr">
        <is>
          <t>Approfondi</t>
        </is>
      </c>
      <c r="I35" s="99" t="inlineStr">
        <is>
          <t>D46 · s'il y a des heures supplémentaires</t>
        </is>
      </c>
      <c r="J35" s="68" t="inlineStr">
        <is>
          <t>—</t>
        </is>
      </c>
      <c r="K35" s="67" t="n"/>
      <c r="L35" s="67" t="inlineStr">
        <is>
          <t>●</t>
        </is>
      </c>
      <c r="M35" s="67" t="inlineStr">
        <is>
          <t>●</t>
        </is>
      </c>
      <c r="N35" s="68" t="inlineStr">
        <is>
          <t>Risque</t>
        </is>
      </c>
      <c r="O35" s="68" t="inlineStr">
        <is>
          <t>—</t>
        </is>
      </c>
      <c r="P35" s="68" t="inlineStr">
        <is>
          <t>—</t>
        </is>
      </c>
      <c r="Q35" s="68" t="inlineStr">
        <is>
          <t>Lue par l'IA pour adapter le conseil</t>
        </is>
      </c>
      <c r="R35" s="83" t="inlineStr">
        <is>
          <t>Condition d'affichage</t>
        </is>
      </c>
    </row>
    <row r="36" ht="23.85" customHeight="1" s="53">
      <c r="A36" s="94" t="inlineStr">
        <is>
          <t>RH-06.07</t>
        </is>
      </c>
      <c r="B36" s="67" t="inlineStr">
        <is>
          <t>RH-06</t>
        </is>
      </c>
      <c r="C36" s="95">
        <f>IFERROR(INDEX(Thèmes!$D$2:$D$190,MATCH(B36,Thèmes!$A$2:$A$190,0)),"")</f>
        <v/>
      </c>
      <c r="D36" s="68" t="inlineStr">
        <is>
          <t>R05 · La charge de l'équipe</t>
        </is>
      </c>
      <c r="E36" s="68" t="inlineStr">
        <is>
          <t>Fonctions qui font le plus d'heures supplémentaires</t>
        </is>
      </c>
      <c r="F36" s="68" t="inlineStr">
        <is>
          <t>Choix</t>
        </is>
      </c>
      <c r="G36" s="67" t="inlineStr">
        <is>
          <t>Demandée</t>
        </is>
      </c>
      <c r="H36" s="67" t="inlineStr">
        <is>
          <t>Approfondi</t>
        </is>
      </c>
      <c r="I36" s="99" t="inlineStr">
        <is>
          <t>D46 · s'il y a des heures supplémentaires</t>
        </is>
      </c>
      <c r="J36" s="68" t="inlineStr">
        <is>
          <t>—</t>
        </is>
      </c>
      <c r="K36" s="67" t="n"/>
      <c r="L36" s="67" t="inlineStr">
        <is>
          <t>●</t>
        </is>
      </c>
      <c r="M36" s="67" t="inlineStr">
        <is>
          <t>●</t>
        </is>
      </c>
      <c r="N36" s="68" t="inlineStr">
        <is>
          <t>Levier</t>
        </is>
      </c>
      <c r="O36" s="68" t="inlineStr">
        <is>
          <t>—</t>
        </is>
      </c>
      <c r="P36" s="68" t="inlineStr">
        <is>
          <t>—</t>
        </is>
      </c>
      <c r="Q36" s="68" t="inlineStr">
        <is>
          <t>Lue par l'IA pour adapter le conseil</t>
        </is>
      </c>
      <c r="R36" s="83" t="inlineStr">
        <is>
          <t>Condition d'affichage</t>
        </is>
      </c>
    </row>
    <row r="37" ht="23.85" customHeight="1" s="53">
      <c r="A37" s="81" t="inlineStr">
        <is>
          <t>RH-06.08</t>
        </is>
      </c>
      <c r="B37" s="67" t="inlineStr">
        <is>
          <t>RH-06</t>
        </is>
      </c>
      <c r="C37" s="95">
        <f>IFERROR(INDEX(Thèmes!$D$2:$D$190,MATCH(B37,Thèmes!$A$2:$A$190,0)),"")</f>
        <v/>
      </c>
      <c r="D37" s="68" t="inlineStr">
        <is>
          <t>—</t>
        </is>
      </c>
      <c r="E37" s="68" t="inlineStr">
        <is>
          <t>Écart entre heures réelles et heures prévues</t>
        </is>
      </c>
      <c r="F37" s="68" t="inlineStr">
        <is>
          <t>Heures et %</t>
        </is>
      </c>
      <c r="G37" s="96" t="inlineStr">
        <is>
          <t>Calculée</t>
        </is>
      </c>
      <c r="H37" s="67" t="inlineStr">
        <is>
          <t>—</t>
        </is>
      </c>
      <c r="I37" s="68" t="inlineStr">
        <is>
          <t>—</t>
        </is>
      </c>
      <c r="J37" s="68" t="inlineStr">
        <is>
          <t>—</t>
        </is>
      </c>
      <c r="K37" s="67" t="n"/>
      <c r="L37" s="67" t="inlineStr">
        <is>
          <t>●</t>
        </is>
      </c>
      <c r="M37" s="67" t="inlineStr">
        <is>
          <t>●</t>
        </is>
      </c>
      <c r="N37" s="68" t="inlineStr">
        <is>
          <t>Problème</t>
        </is>
      </c>
      <c r="O37" s="68" t="inlineStr">
        <is>
          <t>Heures réelles − heures du contrat, puis ÷ heures du contrat</t>
        </is>
      </c>
      <c r="P37" s="68" t="inlineStr">
        <is>
          <t>RH-06.02, RH-06.01</t>
        </is>
      </c>
      <c r="Q37" s="68" t="inlineStr">
        <is>
          <t>RH-06.09, XR08</t>
        </is>
      </c>
      <c r="R37" s="83" t="n"/>
    </row>
    <row r="38" ht="35.05" customHeight="1" s="53">
      <c r="A38" s="81" t="inlineStr">
        <is>
          <t>RH-06.09</t>
        </is>
      </c>
      <c r="B38" s="67" t="inlineStr">
        <is>
          <t>RH-06</t>
        </is>
      </c>
      <c r="C38" s="95">
        <f>IFERROR(INDEX(Thèmes!$D$2:$D$190,MATCH(B38,Thèmes!$A$2:$A$190,0)),"")</f>
        <v/>
      </c>
      <c r="D38" s="68" t="inlineStr">
        <is>
          <t>—</t>
        </is>
      </c>
      <c r="E38" s="68" t="inlineStr">
        <is>
          <t>Surcharge ponctuelle ou structurelle</t>
        </is>
      </c>
      <c r="F38" s="68" t="inlineStr">
        <is>
          <t>Choix</t>
        </is>
      </c>
      <c r="G38" s="96" t="inlineStr">
        <is>
          <t>Calculée</t>
        </is>
      </c>
      <c r="H38" s="67" t="inlineStr">
        <is>
          <t>—</t>
        </is>
      </c>
      <c r="I38" s="68" t="inlineStr">
        <is>
          <t>—</t>
        </is>
      </c>
      <c r="J38" s="68" t="inlineStr">
        <is>
          <t>—</t>
        </is>
      </c>
      <c r="K38" s="67" t="n"/>
      <c r="L38" s="67" t="inlineStr">
        <is>
          <t>●</t>
        </is>
      </c>
      <c r="M38" s="67" t="inlineStr">
        <is>
          <t>●</t>
        </is>
      </c>
      <c r="N38" s="68" t="inlineStr">
        <is>
          <t>Risque</t>
        </is>
      </c>
      <c r="O38" s="68" t="inlineStr">
        <is>
          <t>Structurelle si des heures supplémentaires plus d'une semaine sur deux, ou heures réelles supérieures de 10 % au contrat</t>
        </is>
      </c>
      <c r="P38" s="68" t="inlineStr">
        <is>
          <t>RH-06.05, RH-06.08</t>
        </is>
      </c>
      <c r="Q38" s="68" t="inlineStr">
        <is>
          <t>XR08</t>
        </is>
      </c>
      <c r="R38" s="83" t="n"/>
    </row>
    <row r="39" ht="46.25" customHeight="1" s="53">
      <c r="A39" s="85" t="inlineStr">
        <is>
          <t>RH-07.01</t>
        </is>
      </c>
      <c r="B39" s="89" t="inlineStr">
        <is>
          <t>RH-07</t>
        </is>
      </c>
      <c r="C39" s="97">
        <f>IFERROR(INDEX(Thèmes!$D$2:$D$190,MATCH(B39,Thèmes!$A$2:$A$190,0)),"")</f>
        <v/>
      </c>
      <c r="D39" s="86" t="inlineStr">
        <is>
          <t>R06 · La capacité disponible (tableau par fonction)</t>
        </is>
      </c>
      <c r="E39" s="86" t="inlineStr">
        <is>
          <t>Heures que l'équipe (ou vous seul) pourrait consacrer à du travail en plus chaque semaine, sans heures supplémentaires, par fonction : production, commercial, administratif</t>
        </is>
      </c>
      <c r="F39" s="86" t="inlineStr">
        <is>
          <t>Tableau 3 lignes (heures)</t>
        </is>
      </c>
      <c r="G39" s="89" t="inlineStr">
        <is>
          <t>Demandée</t>
        </is>
      </c>
      <c r="H39" s="89" t="inlineStr">
        <is>
          <t>Essentiel</t>
        </is>
      </c>
      <c r="I39" s="86" t="inlineStr">
        <is>
          <t>—</t>
        </is>
      </c>
      <c r="J39" s="86" t="inlineStr">
        <is>
          <t>—</t>
        </is>
      </c>
      <c r="K39" s="89" t="inlineStr">
        <is>
          <t>●</t>
        </is>
      </c>
      <c r="L39" s="89" t="inlineStr">
        <is>
          <t>●</t>
        </is>
      </c>
      <c r="M39" s="89" t="inlineStr">
        <is>
          <t>●</t>
        </is>
      </c>
      <c r="N39" s="86" t="inlineStr">
        <is>
          <t>Capacité</t>
        </is>
      </c>
      <c r="O39" s="86" t="inlineStr">
        <is>
          <t>—</t>
        </is>
      </c>
      <c r="P39" s="86" t="inlineStr">
        <is>
          <t>—</t>
        </is>
      </c>
      <c r="Q39" s="86" t="inlineStr">
        <is>
          <t>RH-07.03, RH-07.04</t>
        </is>
      </c>
      <c r="R39" s="91" t="n"/>
    </row>
    <row r="40" ht="35.05" customHeight="1" s="53">
      <c r="A40" s="81" t="inlineStr">
        <is>
          <t>RH-07.02</t>
        </is>
      </c>
      <c r="B40" s="67" t="inlineStr">
        <is>
          <t>RH-07</t>
        </is>
      </c>
      <c r="C40" s="95">
        <f>IFERROR(INDEX(Thèmes!$D$2:$D$190,MATCH(B40,Thèmes!$A$2:$A$190,0)),"")</f>
        <v/>
      </c>
      <c r="D40" s="68" t="inlineStr">
        <is>
          <t>R06 · La capacité disponible (tableau par fonction)</t>
        </is>
      </c>
      <c r="E40" s="68" t="inlineStr">
        <is>
          <t>Heures en plus acceptables ponctuellement par semaine, sans surcharge</t>
        </is>
      </c>
      <c r="F40" s="68" t="inlineStr">
        <is>
          <t>Heures</t>
        </is>
      </c>
      <c r="G40" s="67" t="inlineStr">
        <is>
          <t>Demandée</t>
        </is>
      </c>
      <c r="H40" s="67" t="inlineStr">
        <is>
          <t>Approfondi</t>
        </is>
      </c>
      <c r="I40" s="68" t="inlineStr">
        <is>
          <t>—</t>
        </is>
      </c>
      <c r="J40" s="68" t="inlineStr">
        <is>
          <t>—</t>
        </is>
      </c>
      <c r="K40" s="67" t="n"/>
      <c r="L40" s="67" t="inlineStr">
        <is>
          <t>●</t>
        </is>
      </c>
      <c r="M40" s="67" t="inlineStr">
        <is>
          <t>●</t>
        </is>
      </c>
      <c r="N40" s="68" t="inlineStr">
        <is>
          <t>Capacité</t>
        </is>
      </c>
      <c r="O40" s="68" t="inlineStr">
        <is>
          <t>—</t>
        </is>
      </c>
      <c r="P40" s="68" t="inlineStr">
        <is>
          <t>—</t>
        </is>
      </c>
      <c r="Q40" s="68" t="inlineStr">
        <is>
          <t>Lue par l'IA pour adapter le conseil</t>
        </is>
      </c>
      <c r="R40" s="83" t="n"/>
    </row>
    <row r="41" ht="15" customHeight="1" s="53">
      <c r="A41" s="81" t="inlineStr">
        <is>
          <t>RH-07.03</t>
        </is>
      </c>
      <c r="B41" s="67" t="inlineStr">
        <is>
          <t>RH-07</t>
        </is>
      </c>
      <c r="C41" s="95">
        <f>IFERROR(INDEX(Thèmes!$D$2:$D$190,MATCH(B41,Thèmes!$A$2:$A$190,0)),"")</f>
        <v/>
      </c>
      <c r="D41" s="68" t="inlineStr">
        <is>
          <t>—</t>
        </is>
      </c>
      <c r="E41" s="68" t="inlineStr">
        <is>
          <t>Capacité disponible totale</t>
        </is>
      </c>
      <c r="F41" s="68" t="inlineStr">
        <is>
          <t>Heures</t>
        </is>
      </c>
      <c r="G41" s="96" t="inlineStr">
        <is>
          <t>Calculée</t>
        </is>
      </c>
      <c r="H41" s="67" t="inlineStr">
        <is>
          <t>—</t>
        </is>
      </c>
      <c r="I41" s="68" t="inlineStr">
        <is>
          <t>—</t>
        </is>
      </c>
      <c r="J41" s="68" t="inlineStr">
        <is>
          <t>—</t>
        </is>
      </c>
      <c r="K41" s="67" t="inlineStr">
        <is>
          <t>●</t>
        </is>
      </c>
      <c r="L41" s="67" t="inlineStr">
        <is>
          <t>●</t>
        </is>
      </c>
      <c r="M41" s="67" t="inlineStr">
        <is>
          <t>●</t>
        </is>
      </c>
      <c r="N41" s="68" t="inlineStr">
        <is>
          <t>Capacité</t>
        </is>
      </c>
      <c r="O41" s="68" t="inlineStr">
        <is>
          <t>Somme des trois fonctions</t>
        </is>
      </c>
      <c r="P41" s="68" t="inlineStr">
        <is>
          <t>RH-07.01</t>
        </is>
      </c>
      <c r="Q41" s="68" t="inlineStr">
        <is>
          <t>RH-07.04, XR09</t>
        </is>
      </c>
      <c r="R41" s="83" t="n"/>
    </row>
    <row r="42" ht="23.85" customHeight="1" s="53">
      <c r="A42" s="81" t="inlineStr">
        <is>
          <t>RH-07.04</t>
        </is>
      </c>
      <c r="B42" s="67" t="inlineStr">
        <is>
          <t>RH-07</t>
        </is>
      </c>
      <c r="C42" s="95">
        <f>IFERROR(INDEX(Thèmes!$D$2:$D$190,MATCH(B42,Thèmes!$A$2:$A$190,0)),"")</f>
        <v/>
      </c>
      <c r="D42" s="68" t="inlineStr">
        <is>
          <t>—</t>
        </is>
      </c>
      <c r="E42" s="68" t="inlineStr">
        <is>
          <t>Capacité réellement utile pour vendre plus</t>
        </is>
      </c>
      <c r="F42" s="68" t="inlineStr">
        <is>
          <t>Heures et %</t>
        </is>
      </c>
      <c r="G42" s="96" t="inlineStr">
        <is>
          <t>Calculée</t>
        </is>
      </c>
      <c r="H42" s="67" t="inlineStr">
        <is>
          <t>—</t>
        </is>
      </c>
      <c r="I42" s="68" t="inlineStr">
        <is>
          <t>—</t>
        </is>
      </c>
      <c r="J42" s="68" t="inlineStr">
        <is>
          <t>—</t>
        </is>
      </c>
      <c r="K42" s="67" t="inlineStr">
        <is>
          <t>●</t>
        </is>
      </c>
      <c r="L42" s="67" t="inlineStr">
        <is>
          <t>●</t>
        </is>
      </c>
      <c r="M42" s="67" t="inlineStr">
        <is>
          <t>●</t>
        </is>
      </c>
      <c r="N42" s="68" t="inlineStr">
        <is>
          <t>Capacité</t>
        </is>
      </c>
      <c r="O42" s="68" t="inlineStr">
        <is>
          <t>Heures disponibles sur la fonction qui produit ce que vous vendez, puis ÷ capacité totale</t>
        </is>
      </c>
      <c r="P42" s="68" t="inlineStr">
        <is>
          <t>RH-07.01, RH-07.03</t>
        </is>
      </c>
      <c r="Q42" s="68" t="inlineStr">
        <is>
          <t>RH-07.05, XR09</t>
        </is>
      </c>
      <c r="R42" s="83" t="n"/>
    </row>
    <row r="43" ht="23.85" customHeight="1" s="53">
      <c r="A43" s="81" t="inlineStr">
        <is>
          <t>RH-07.05</t>
        </is>
      </c>
      <c r="B43" s="67" t="inlineStr">
        <is>
          <t>RH-07</t>
        </is>
      </c>
      <c r="C43" s="95">
        <f>IFERROR(INDEX(Thèmes!$D$2:$D$190,MATCH(B43,Thèmes!$A$2:$A$190,0)),"")</f>
        <v/>
      </c>
      <c r="D43" s="68" t="inlineStr">
        <is>
          <t>—</t>
        </is>
      </c>
      <c r="E43" s="68" t="inlineStr">
        <is>
          <t>Ventes, dossiers ou chantiers absorbables sans recruter</t>
        </is>
      </c>
      <c r="F43" s="68" t="inlineStr">
        <is>
          <t>Nombre par mois</t>
        </is>
      </c>
      <c r="G43" s="96" t="inlineStr">
        <is>
          <t>Calculée</t>
        </is>
      </c>
      <c r="H43" s="67" t="inlineStr">
        <is>
          <t>—</t>
        </is>
      </c>
      <c r="I43" s="68" t="inlineStr">
        <is>
          <t>—</t>
        </is>
      </c>
      <c r="J43" s="68" t="inlineStr">
        <is>
          <t>—</t>
        </is>
      </c>
      <c r="K43" s="67" t="inlineStr">
        <is>
          <t>●</t>
        </is>
      </c>
      <c r="L43" s="67" t="inlineStr">
        <is>
          <t>●</t>
        </is>
      </c>
      <c r="M43" s="67" t="inlineStr">
        <is>
          <t>●</t>
        </is>
      </c>
      <c r="N43" s="68" t="inlineStr">
        <is>
          <t>Potentiel CA</t>
        </is>
      </c>
      <c r="O43" s="68" t="inlineStr">
        <is>
          <t>Heures utiles × 4,33 ÷ temps moyen par vente (heures travaillées ÷ ventes du mois)</t>
        </is>
      </c>
      <c r="P43" s="68" t="inlineStr">
        <is>
          <t>RH-07.04, ACQ-21.04, ACQ-21.02, ACQ-21.06</t>
        </is>
      </c>
      <c r="Q43" s="68" t="inlineStr">
        <is>
          <t>RH-07.06, XR10</t>
        </is>
      </c>
      <c r="R43" s="83" t="n"/>
    </row>
    <row r="44" ht="35.05" customHeight="1" s="53">
      <c r="A44" s="81" t="inlineStr">
        <is>
          <t>RH-07.06</t>
        </is>
      </c>
      <c r="B44" s="67" t="inlineStr">
        <is>
          <t>RH-07</t>
        </is>
      </c>
      <c r="C44" s="95">
        <f>IFERROR(INDEX(Thèmes!$D$2:$D$190,MATCH(B44,Thèmes!$A$2:$A$190,0)),"")</f>
        <v/>
      </c>
      <c r="D44" s="68" t="inlineStr">
        <is>
          <t>—</t>
        </is>
      </c>
      <c r="E44" s="68" t="inlineStr">
        <is>
          <t>Part de l'objectif absorbable avec la capacité actuelle</t>
        </is>
      </c>
      <c r="F44" s="68" t="inlineStr">
        <is>
          <t>%</t>
        </is>
      </c>
      <c r="G44" s="96" t="inlineStr">
        <is>
          <t>Calculée</t>
        </is>
      </c>
      <c r="H44" s="67" t="inlineStr">
        <is>
          <t>—</t>
        </is>
      </c>
      <c r="I44" s="68" t="inlineStr">
        <is>
          <t>—</t>
        </is>
      </c>
      <c r="J44" s="68" t="inlineStr">
        <is>
          <t>—</t>
        </is>
      </c>
      <c r="K44" s="67" t="inlineStr">
        <is>
          <t>●</t>
        </is>
      </c>
      <c r="L44" s="67" t="inlineStr">
        <is>
          <t>●</t>
        </is>
      </c>
      <c r="M44" s="67" t="inlineStr">
        <is>
          <t>●</t>
        </is>
      </c>
      <c r="N44" s="68" t="inlineStr">
        <is>
          <t>Cible</t>
        </is>
      </c>
      <c r="O44" s="68" t="inlineStr">
        <is>
          <t>Ventes absorbables ÷ ventes supplémentaires nécessaires pour l'objectif</t>
        </is>
      </c>
      <c r="P44" s="68" t="inlineStr">
        <is>
          <t>RH-07.05, Inscription · objectif chiffré, Inscription · CA mensuel, ACQ-15.06</t>
        </is>
      </c>
      <c r="Q44" s="68" t="inlineStr">
        <is>
          <t>XR11, XR27</t>
        </is>
      </c>
      <c r="R44" s="83" t="n"/>
    </row>
    <row r="45" ht="35.05" customHeight="1" s="53">
      <c r="A45" s="85" t="inlineStr">
        <is>
          <t>RH-08.01</t>
        </is>
      </c>
      <c r="B45" s="89" t="inlineStr">
        <is>
          <t>RH-08</t>
        </is>
      </c>
      <c r="C45" s="97">
        <f>IFERROR(INDEX(Thèmes!$D$2:$D$190,MATCH(B45,Thèmes!$A$2:$A$190,0)),"")</f>
        <v/>
      </c>
      <c r="D45" s="86" t="inlineStr">
        <is>
          <t>R07 · La personne la plus chargée</t>
        </is>
      </c>
      <c r="E45" s="86" t="inlineStr">
        <is>
          <t>Fonction de la personne la plus chargée, vous compris. Définition : celle dont le retard bloque le plus souvent les autres</t>
        </is>
      </c>
      <c r="F45" s="86" t="inlineStr">
        <is>
          <t>Choix</t>
        </is>
      </c>
      <c r="G45" s="89" t="inlineStr">
        <is>
          <t>Demandée</t>
        </is>
      </c>
      <c r="H45" s="89" t="inlineStr">
        <is>
          <t>Essentiel</t>
        </is>
      </c>
      <c r="I45" s="86" t="inlineStr">
        <is>
          <t>—</t>
        </is>
      </c>
      <c r="J45" s="86" t="inlineStr">
        <is>
          <t>—</t>
        </is>
      </c>
      <c r="K45" s="89" t="n"/>
      <c r="L45" s="89" t="inlineStr">
        <is>
          <t>●</t>
        </is>
      </c>
      <c r="M45" s="89" t="inlineStr">
        <is>
          <t>●</t>
        </is>
      </c>
      <c r="N45" s="86" t="inlineStr">
        <is>
          <t>Risque</t>
        </is>
      </c>
      <c r="O45" s="86" t="inlineStr">
        <is>
          <t>—</t>
        </is>
      </c>
      <c r="P45" s="86" t="inlineStr">
        <is>
          <t>—</t>
        </is>
      </c>
      <c r="Q45" s="86" t="inlineStr">
        <is>
          <t>XR12</t>
        </is>
      </c>
      <c r="R45" s="91" t="n"/>
    </row>
    <row r="46" ht="23.85" customHeight="1" s="53">
      <c r="A46" s="81" t="inlineStr">
        <is>
          <t>RH-08.02</t>
        </is>
      </c>
      <c r="B46" s="67" t="inlineStr">
        <is>
          <t>RH-08</t>
        </is>
      </c>
      <c r="C46" s="95">
        <f>IFERROR(INDEX(Thèmes!$D$2:$D$190,MATCH(B46,Thèmes!$A$2:$A$190,0)),"")</f>
        <v/>
      </c>
      <c r="D46" s="68" t="inlineStr">
        <is>
          <t>R07 · La personne la plus chargée</t>
        </is>
      </c>
      <c r="E46" s="68" t="inlineStr">
        <is>
          <t>Ses heures réelles par semaine</t>
        </is>
      </c>
      <c r="F46" s="68" t="inlineStr">
        <is>
          <t>Heures</t>
        </is>
      </c>
      <c r="G46" s="67" t="inlineStr">
        <is>
          <t>Demandée</t>
        </is>
      </c>
      <c r="H46" s="67" t="inlineStr">
        <is>
          <t>Essentiel</t>
        </is>
      </c>
      <c r="I46" s="99" t="inlineStr">
        <is>
          <t>D27 · si ce n'est pas vous (sinon RH-05)</t>
        </is>
      </c>
      <c r="J46" s="68" t="inlineStr">
        <is>
          <t>—</t>
        </is>
      </c>
      <c r="K46" s="67" t="n"/>
      <c r="L46" s="67" t="inlineStr">
        <is>
          <t>●</t>
        </is>
      </c>
      <c r="M46" s="67" t="inlineStr">
        <is>
          <t>●</t>
        </is>
      </c>
      <c r="N46" s="68" t="inlineStr">
        <is>
          <t>Capacité</t>
        </is>
      </c>
      <c r="O46" s="68" t="inlineStr">
        <is>
          <t>—</t>
        </is>
      </c>
      <c r="P46" s="68" t="inlineStr">
        <is>
          <t>—</t>
        </is>
      </c>
      <c r="Q46" s="68" t="inlineStr">
        <is>
          <t>RH-08.07</t>
        </is>
      </c>
      <c r="R46" s="83" t="n"/>
    </row>
    <row r="47" ht="23.85" customHeight="1" s="53">
      <c r="A47" s="81" t="inlineStr">
        <is>
          <t>RH-08.03</t>
        </is>
      </c>
      <c r="B47" s="67" t="inlineStr">
        <is>
          <t>RH-08</t>
        </is>
      </c>
      <c r="C47" s="95">
        <f>IFERROR(INDEX(Thèmes!$D$2:$D$190,MATCH(B47,Thèmes!$A$2:$A$190,0)),"")</f>
        <v/>
      </c>
      <c r="D47" s="68" t="inlineStr">
        <is>
          <t>R07 · La personne la plus chargée</t>
        </is>
      </c>
      <c r="E47" s="68" t="inlineStr">
        <is>
          <t>Personnes qui attendent son travail pour avancer</t>
        </is>
      </c>
      <c r="F47" s="68" t="inlineStr">
        <is>
          <t>Nombre</t>
        </is>
      </c>
      <c r="G47" s="67" t="inlineStr">
        <is>
          <t>Demandée</t>
        </is>
      </c>
      <c r="H47" s="67" t="inlineStr">
        <is>
          <t>Essentiel</t>
        </is>
      </c>
      <c r="I47" s="68" t="inlineStr">
        <is>
          <t>—</t>
        </is>
      </c>
      <c r="J47" s="68" t="inlineStr">
        <is>
          <t>—</t>
        </is>
      </c>
      <c r="K47" s="67" t="n"/>
      <c r="L47" s="67" t="inlineStr">
        <is>
          <t>●</t>
        </is>
      </c>
      <c r="M47" s="67" t="inlineStr">
        <is>
          <t>●</t>
        </is>
      </c>
      <c r="N47" s="68" t="inlineStr">
        <is>
          <t>Risque</t>
        </is>
      </c>
      <c r="O47" s="68" t="inlineStr">
        <is>
          <t>—</t>
        </is>
      </c>
      <c r="P47" s="68" t="inlineStr">
        <is>
          <t>—</t>
        </is>
      </c>
      <c r="Q47" s="68" t="inlineStr">
        <is>
          <t>RH-08.08, XR12</t>
        </is>
      </c>
      <c r="R47" s="83" t="n"/>
    </row>
    <row r="48" ht="46.25" customHeight="1" s="53">
      <c r="A48" s="81" t="inlineStr">
        <is>
          <t>RH-08.04</t>
        </is>
      </c>
      <c r="B48" s="67" t="inlineStr">
        <is>
          <t>RH-08</t>
        </is>
      </c>
      <c r="C48" s="95">
        <f>IFERROR(INDEX(Thèmes!$D$2:$D$190,MATCH(B48,Thèmes!$A$2:$A$190,0)),"")</f>
        <v/>
      </c>
      <c r="D48" s="68" t="inlineStr">
        <is>
          <t>R07 · La personne la plus chargée</t>
        </is>
      </c>
      <c r="E48" s="68" t="inlineStr">
        <is>
          <t>Heures par semaine de ses tâches qu'une autre personne pourrait reprendre</t>
        </is>
      </c>
      <c r="F48" s="68" t="inlineStr">
        <is>
          <t>Tranches : 0 · 1-3 h · 3-6 h · 6-10 h · plus de 10 h · je ne sais pas</t>
        </is>
      </c>
      <c r="G48" s="67" t="inlineStr">
        <is>
          <t>Demandée</t>
        </is>
      </c>
      <c r="H48" s="67" t="inlineStr">
        <is>
          <t>Essentiel</t>
        </is>
      </c>
      <c r="I48" s="99" t="inlineStr">
        <is>
          <t>D27 · si ce n'est pas vous (sinon RH-05)</t>
        </is>
      </c>
      <c r="J48" s="68" t="inlineStr">
        <is>
          <t>—</t>
        </is>
      </c>
      <c r="K48" s="67" t="n"/>
      <c r="L48" s="67" t="inlineStr">
        <is>
          <t>●</t>
        </is>
      </c>
      <c r="M48" s="67" t="inlineStr">
        <is>
          <t>●</t>
        </is>
      </c>
      <c r="N48" s="68" t="inlineStr">
        <is>
          <t>Levier</t>
        </is>
      </c>
      <c r="O48" s="68" t="inlineStr">
        <is>
          <t>—</t>
        </is>
      </c>
      <c r="P48" s="68" t="inlineStr">
        <is>
          <t>—</t>
        </is>
      </c>
      <c r="Q48" s="68" t="inlineStr">
        <is>
          <t>XR07, XR12</t>
        </is>
      </c>
      <c r="R48" s="83" t="n"/>
    </row>
    <row r="49" ht="23.85" customHeight="1" s="53">
      <c r="A49" s="94" t="inlineStr">
        <is>
          <t>RH-08.05</t>
        </is>
      </c>
      <c r="B49" s="67" t="inlineStr">
        <is>
          <t>RH-08</t>
        </is>
      </c>
      <c r="C49" s="95">
        <f>IFERROR(INDEX(Thèmes!$D$2:$D$190,MATCH(B49,Thèmes!$A$2:$A$190,0)),"")</f>
        <v/>
      </c>
      <c r="D49" s="68" t="inlineStr">
        <is>
          <t>R07 · La personne la plus chargée</t>
        </is>
      </c>
      <c r="E49" s="68" t="inlineStr">
        <is>
          <t>Cette surcharge est : liée à un pic, permanente</t>
        </is>
      </c>
      <c r="F49" s="68" t="inlineStr">
        <is>
          <t>Choix</t>
        </is>
      </c>
      <c r="G49" s="67" t="inlineStr">
        <is>
          <t>Demandée</t>
        </is>
      </c>
      <c r="H49" s="67" t="inlineStr">
        <is>
          <t>Approfondi</t>
        </is>
      </c>
      <c r="I49" s="68" t="inlineStr">
        <is>
          <t>—</t>
        </is>
      </c>
      <c r="J49" s="68" t="inlineStr">
        <is>
          <t>—</t>
        </is>
      </c>
      <c r="K49" s="67" t="n"/>
      <c r="L49" s="67" t="inlineStr">
        <is>
          <t>●</t>
        </is>
      </c>
      <c r="M49" s="67" t="inlineStr">
        <is>
          <t>●</t>
        </is>
      </c>
      <c r="N49" s="68" t="inlineStr">
        <is>
          <t>Risque</t>
        </is>
      </c>
      <c r="O49" s="68" t="inlineStr">
        <is>
          <t>—</t>
        </is>
      </c>
      <c r="P49" s="68" t="inlineStr">
        <is>
          <t>—</t>
        </is>
      </c>
      <c r="Q49" s="68" t="inlineStr">
        <is>
          <t>XR12</t>
        </is>
      </c>
      <c r="R49" s="83" t="inlineStr">
        <is>
          <t>Niveau</t>
        </is>
      </c>
    </row>
    <row r="50" ht="23.85" customHeight="1" s="53">
      <c r="A50" s="81" t="inlineStr">
        <is>
          <t>RH-08.06</t>
        </is>
      </c>
      <c r="B50" s="67" t="inlineStr">
        <is>
          <t>RH-08</t>
        </is>
      </c>
      <c r="C50" s="95">
        <f>IFERROR(INDEX(Thèmes!$D$2:$D$190,MATCH(B50,Thèmes!$A$2:$A$190,0)),"")</f>
        <v/>
      </c>
      <c r="D50" s="68" t="inlineStr">
        <is>
          <t>R07 · La personne la plus chargée</t>
        </is>
      </c>
      <c r="E50" s="68" t="inlineStr">
        <is>
          <t>Travail en attente chez elle : aucun, quelques jours, plus d'une semaine</t>
        </is>
      </c>
      <c r="F50" s="68" t="inlineStr">
        <is>
          <t>Choix</t>
        </is>
      </c>
      <c r="G50" s="67" t="inlineStr">
        <is>
          <t>Demandée</t>
        </is>
      </c>
      <c r="H50" s="67" t="inlineStr">
        <is>
          <t>Approfondi</t>
        </is>
      </c>
      <c r="I50" s="68" t="inlineStr">
        <is>
          <t>—</t>
        </is>
      </c>
      <c r="J50" s="68" t="inlineStr">
        <is>
          <t>—</t>
        </is>
      </c>
      <c r="K50" s="67" t="n"/>
      <c r="L50" s="67" t="inlineStr">
        <is>
          <t>●</t>
        </is>
      </c>
      <c r="M50" s="67" t="inlineStr">
        <is>
          <t>●</t>
        </is>
      </c>
      <c r="N50" s="68" t="inlineStr">
        <is>
          <t>Problème</t>
        </is>
      </c>
      <c r="O50" s="68" t="inlineStr">
        <is>
          <t>—</t>
        </is>
      </c>
      <c r="P50" s="68" t="inlineStr">
        <is>
          <t>—</t>
        </is>
      </c>
      <c r="Q50" s="68" t="inlineStr">
        <is>
          <t>Lue par l'IA pour adapter le conseil</t>
        </is>
      </c>
      <c r="R50" s="83" t="n"/>
    </row>
    <row r="51" ht="23.85" customHeight="1" s="53">
      <c r="A51" s="81" t="inlineStr">
        <is>
          <t>RH-08.07</t>
        </is>
      </c>
      <c r="B51" s="67" t="inlineStr">
        <is>
          <t>RH-08</t>
        </is>
      </c>
      <c r="C51" s="95">
        <f>IFERROR(INDEX(Thèmes!$D$2:$D$190,MATCH(B51,Thèmes!$A$2:$A$190,0)),"")</f>
        <v/>
      </c>
      <c r="D51" s="68" t="inlineStr">
        <is>
          <t>—</t>
        </is>
      </c>
      <c r="E51" s="68" t="inlineStr">
        <is>
          <t>Charge de la personne la plus chargée par rapport à un temps plein</t>
        </is>
      </c>
      <c r="F51" s="68" t="inlineStr">
        <is>
          <t>%</t>
        </is>
      </c>
      <c r="G51" s="96" t="inlineStr">
        <is>
          <t>Calculée</t>
        </is>
      </c>
      <c r="H51" s="67" t="inlineStr">
        <is>
          <t>—</t>
        </is>
      </c>
      <c r="I51" s="68" t="inlineStr">
        <is>
          <t>—</t>
        </is>
      </c>
      <c r="J51" s="68" t="inlineStr">
        <is>
          <t>—</t>
        </is>
      </c>
      <c r="K51" s="67" t="n"/>
      <c r="L51" s="67" t="inlineStr">
        <is>
          <t>●</t>
        </is>
      </c>
      <c r="M51" s="67" t="inlineStr">
        <is>
          <t>●</t>
        </is>
      </c>
      <c r="N51" s="68" t="inlineStr">
        <is>
          <t>Problème</t>
        </is>
      </c>
      <c r="O51" s="68" t="inlineStr">
        <is>
          <t>Heures réelles ÷ heures prévues au contrat (si c'est vous : vos heures, RH-05, ÷ 35 h)</t>
        </is>
      </c>
      <c r="P51" s="68" t="inlineStr">
        <is>
          <t>RH-08.02, RH-06.01, RH-05.01</t>
        </is>
      </c>
      <c r="Q51" s="68" t="inlineStr">
        <is>
          <t>RH-08.08, XR12</t>
        </is>
      </c>
      <c r="R51" s="83" t="n"/>
    </row>
    <row r="52" ht="23.85" customHeight="1" s="53">
      <c r="A52" s="81" t="inlineStr">
        <is>
          <t>RH-08.08</t>
        </is>
      </c>
      <c r="B52" s="67" t="inlineStr">
        <is>
          <t>RH-08</t>
        </is>
      </c>
      <c r="C52" s="95">
        <f>IFERROR(INDEX(Thèmes!$D$2:$D$190,MATCH(B52,Thèmes!$A$2:$A$190,0)),"")</f>
        <v/>
      </c>
      <c r="D52" s="68" t="inlineStr">
        <is>
          <t>—</t>
        </is>
      </c>
      <c r="E52" s="68" t="inlineStr">
        <is>
          <t>Goulot d'étranglement humain</t>
        </is>
      </c>
      <c r="F52" s="68" t="inlineStr">
        <is>
          <t>Oui / non</t>
        </is>
      </c>
      <c r="G52" s="96" t="inlineStr">
        <is>
          <t>Calculée</t>
        </is>
      </c>
      <c r="H52" s="67" t="inlineStr">
        <is>
          <t>—</t>
        </is>
      </c>
      <c r="I52" s="68" t="inlineStr">
        <is>
          <t>—</t>
        </is>
      </c>
      <c r="J52" s="68" t="inlineStr">
        <is>
          <t>—</t>
        </is>
      </c>
      <c r="K52" s="67" t="n"/>
      <c r="L52" s="67" t="inlineStr">
        <is>
          <t>●</t>
        </is>
      </c>
      <c r="M52" s="67" t="inlineStr">
        <is>
          <t>●</t>
        </is>
      </c>
      <c r="N52" s="68" t="inlineStr">
        <is>
          <t>Risque</t>
        </is>
      </c>
      <c r="O52" s="68" t="inlineStr">
        <is>
          <t>Oui si charge supérieure à 120 % et au moins 2 personnes qui attendent son travail</t>
        </is>
      </c>
      <c r="P52" s="68" t="inlineStr">
        <is>
          <t>RH-08.07, RH-08.03</t>
        </is>
      </c>
      <c r="Q52" s="68" t="inlineStr">
        <is>
          <t>XR12</t>
        </is>
      </c>
      <c r="R52" s="83" t="n"/>
    </row>
    <row r="53" ht="46.25" customHeight="1" s="53">
      <c r="A53" s="85" t="inlineStr">
        <is>
          <t>RH-09.01</t>
        </is>
      </c>
      <c r="B53" s="89" t="inlineStr">
        <is>
          <t>RH-09</t>
        </is>
      </c>
      <c r="C53" s="97">
        <f>IFERROR(INDEX(Thèmes!$D$2:$D$190,MATCH(B53,Thèmes!$A$2:$A$190,0)),"")</f>
        <v/>
      </c>
      <c r="D53" s="86" t="inlineStr">
        <is>
          <t>R08 · Urgences et interruptions</t>
        </is>
      </c>
      <c r="E53" s="86" t="inlineStr">
        <is>
          <t>Part du temps passée dans l'urgence. Définition : tâche non prévue à traiter tout de suite (problème client, retard, erreur, oubli, commande de dernière minute, rupture, incident, demande interne bloquante)</t>
        </is>
      </c>
      <c r="F53" s="86" t="inlineStr">
        <is>
          <t>Tranches : moins de 10 % · 10-25 % · 25-50 % · plus de 50 % · je ne sais pas</t>
        </is>
      </c>
      <c r="G53" s="89" t="inlineStr">
        <is>
          <t>Demandée</t>
        </is>
      </c>
      <c r="H53" s="89" t="inlineStr">
        <is>
          <t>Essentiel</t>
        </is>
      </c>
      <c r="I53" s="86" t="inlineStr">
        <is>
          <t>—</t>
        </is>
      </c>
      <c r="J53" s="86" t="inlineStr">
        <is>
          <t>—</t>
        </is>
      </c>
      <c r="K53" s="89" t="inlineStr">
        <is>
          <t>●</t>
        </is>
      </c>
      <c r="L53" s="89" t="inlineStr">
        <is>
          <t>●</t>
        </is>
      </c>
      <c r="M53" s="89" t="inlineStr">
        <is>
          <t>●</t>
        </is>
      </c>
      <c r="N53" s="86" t="inlineStr">
        <is>
          <t>Problème</t>
        </is>
      </c>
      <c r="O53" s="86" t="inlineStr">
        <is>
          <t>—</t>
        </is>
      </c>
      <c r="P53" s="86" t="inlineStr">
        <is>
          <t>—</t>
        </is>
      </c>
      <c r="Q53" s="86" t="inlineStr">
        <is>
          <t>RH-09.05, RH-09.07</t>
        </is>
      </c>
      <c r="R53" s="91" t="n"/>
    </row>
    <row r="54" ht="46.25" customHeight="1" s="53">
      <c r="A54" s="94" t="inlineStr">
        <is>
          <t>RH-09.02</t>
        </is>
      </c>
      <c r="B54" s="67" t="inlineStr">
        <is>
          <t>RH-09</t>
        </is>
      </c>
      <c r="C54" s="95">
        <f>IFERROR(INDEX(Thèmes!$D$2:$D$190,MATCH(B54,Thèmes!$A$2:$A$190,0)),"")</f>
        <v/>
      </c>
      <c r="D54" s="68" t="inlineStr">
        <is>
          <t>R08 · Urgences et interruptions</t>
        </is>
      </c>
      <c r="E54" s="68" t="inlineStr">
        <is>
          <t>Causes les plus fréquentes (3 au plus) : demande client de dernière minute, erreur ou oubli interne, retard fournisseur, panne ou incident, manque de planification, absence imprévue</t>
        </is>
      </c>
      <c r="F54" s="68" t="inlineStr">
        <is>
          <t>Cases à cocher</t>
        </is>
      </c>
      <c r="G54" s="67" t="inlineStr">
        <is>
          <t>Demandée</t>
        </is>
      </c>
      <c r="H54" s="67" t="inlineStr">
        <is>
          <t>Approfondi</t>
        </is>
      </c>
      <c r="I54" s="68" t="inlineStr">
        <is>
          <t>—</t>
        </is>
      </c>
      <c r="J54" s="68" t="inlineStr">
        <is>
          <t>—</t>
        </is>
      </c>
      <c r="K54" s="67" t="inlineStr">
        <is>
          <t>●</t>
        </is>
      </c>
      <c r="L54" s="67" t="inlineStr">
        <is>
          <t>●</t>
        </is>
      </c>
      <c r="M54" s="67" t="inlineStr">
        <is>
          <t>●</t>
        </is>
      </c>
      <c r="N54" s="68" t="inlineStr">
        <is>
          <t>Levier</t>
        </is>
      </c>
      <c r="O54" s="68" t="inlineStr">
        <is>
          <t>—</t>
        </is>
      </c>
      <c r="P54" s="68" t="inlineStr">
        <is>
          <t>—</t>
        </is>
      </c>
      <c r="Q54" s="68" t="inlineStr">
        <is>
          <t>XR13</t>
        </is>
      </c>
      <c r="R54" s="83" t="inlineStr">
        <is>
          <t>Niveau</t>
        </is>
      </c>
    </row>
    <row r="55" ht="35.05" customHeight="1" s="53">
      <c r="A55" s="94" t="inlineStr">
        <is>
          <t>RH-09.03</t>
        </is>
      </c>
      <c r="B55" s="67" t="inlineStr">
        <is>
          <t>RH-09</t>
        </is>
      </c>
      <c r="C55" s="95">
        <f>IFERROR(INDEX(Thèmes!$D$2:$D$190,MATCH(B55,Thèmes!$A$2:$A$190,0)),"")</f>
        <v/>
      </c>
      <c r="D55" s="68" t="inlineStr">
        <is>
          <t>R08 · Urgences et interruptions</t>
        </is>
      </c>
      <c r="E55" s="68" t="inlineStr">
        <is>
          <t>Sur 10 urgences, combien auraient pu être anticipées ?</t>
        </is>
      </c>
      <c r="F55" s="68" t="inlineStr">
        <is>
          <t>Sur 10 : 0-2 · 3-5 · 6-8 · 9-10 · je ne sais pas</t>
        </is>
      </c>
      <c r="G55" s="67" t="inlineStr">
        <is>
          <t>Demandée</t>
        </is>
      </c>
      <c r="H55" s="67" t="inlineStr">
        <is>
          <t>Approfondi</t>
        </is>
      </c>
      <c r="I55" s="68" t="inlineStr">
        <is>
          <t>—</t>
        </is>
      </c>
      <c r="J55" s="68" t="inlineStr">
        <is>
          <t>—</t>
        </is>
      </c>
      <c r="K55" s="67" t="inlineStr">
        <is>
          <t>●</t>
        </is>
      </c>
      <c r="L55" s="67" t="inlineStr">
        <is>
          <t>●</t>
        </is>
      </c>
      <c r="M55" s="67" t="inlineStr">
        <is>
          <t>●</t>
        </is>
      </c>
      <c r="N55" s="68" t="inlineStr">
        <is>
          <t>Levier</t>
        </is>
      </c>
      <c r="O55" s="68" t="inlineStr">
        <is>
          <t>—</t>
        </is>
      </c>
      <c r="P55" s="68" t="inlineStr">
        <is>
          <t>—</t>
        </is>
      </c>
      <c r="Q55" s="68" t="inlineStr">
        <is>
          <t>RH-09.06, RH-09.07</t>
        </is>
      </c>
      <c r="R55" s="83" t="inlineStr">
        <is>
          <t>Niveau</t>
        </is>
      </c>
    </row>
    <row r="56" ht="23.85" customHeight="1" s="53">
      <c r="A56" s="81" t="inlineStr">
        <is>
          <t>RH-09.04</t>
        </is>
      </c>
      <c r="B56" s="67" t="inlineStr">
        <is>
          <t>RH-09</t>
        </is>
      </c>
      <c r="C56" s="95">
        <f>IFERROR(INDEX(Thèmes!$D$2:$D$190,MATCH(B56,Thèmes!$A$2:$A$190,0)),"")</f>
        <v/>
      </c>
      <c r="D56" s="68" t="inlineStr">
        <is>
          <t>R08 · Urgences et interruptions</t>
        </is>
      </c>
      <c r="E56" s="68" t="inlineStr">
        <is>
          <t>Effet le plus fréquent sur le travail prévu : décalé de quelques heures, de plusieurs jours, abandonné</t>
        </is>
      </c>
      <c r="F56" s="68" t="inlineStr">
        <is>
          <t>Choix</t>
        </is>
      </c>
      <c r="G56" s="67" t="inlineStr">
        <is>
          <t>Demandée</t>
        </is>
      </c>
      <c r="H56" s="67" t="inlineStr">
        <is>
          <t>Approfondi</t>
        </is>
      </c>
      <c r="I56" s="68" t="inlineStr">
        <is>
          <t>—</t>
        </is>
      </c>
      <c r="J56" s="68" t="inlineStr">
        <is>
          <t>—</t>
        </is>
      </c>
      <c r="K56" s="67" t="inlineStr">
        <is>
          <t>●</t>
        </is>
      </c>
      <c r="L56" s="67" t="inlineStr">
        <is>
          <t>●</t>
        </is>
      </c>
      <c r="M56" s="67" t="inlineStr">
        <is>
          <t>●</t>
        </is>
      </c>
      <c r="N56" s="68" t="inlineStr">
        <is>
          <t>Problème</t>
        </is>
      </c>
      <c r="O56" s="68" t="inlineStr">
        <is>
          <t>—</t>
        </is>
      </c>
      <c r="P56" s="68" t="inlineStr">
        <is>
          <t>—</t>
        </is>
      </c>
      <c r="Q56" s="68" t="inlineStr">
        <is>
          <t>Lue par l'IA pour adapter le conseil</t>
        </is>
      </c>
      <c r="R56" s="83" t="n"/>
    </row>
    <row r="57" ht="35.05" customHeight="1" s="53">
      <c r="A57" s="81" t="inlineStr">
        <is>
          <t>RH-09.05</t>
        </is>
      </c>
      <c r="B57" s="67" t="inlineStr">
        <is>
          <t>RH-09</t>
        </is>
      </c>
      <c r="C57" s="95">
        <f>IFERROR(INDEX(Thèmes!$D$2:$D$190,MATCH(B57,Thèmes!$A$2:$A$190,0)),"")</f>
        <v/>
      </c>
      <c r="D57" s="68" t="inlineStr">
        <is>
          <t>—</t>
        </is>
      </c>
      <c r="E57" s="68" t="inlineStr">
        <is>
          <t>Heures par semaine passées dans l'urgence</t>
        </is>
      </c>
      <c r="F57" s="68" t="inlineStr">
        <is>
          <t>Heures</t>
        </is>
      </c>
      <c r="G57" s="96" t="inlineStr">
        <is>
          <t>Calculée</t>
        </is>
      </c>
      <c r="H57" s="67" t="inlineStr">
        <is>
          <t>—</t>
        </is>
      </c>
      <c r="I57" s="68" t="inlineStr">
        <is>
          <t>—</t>
        </is>
      </c>
      <c r="J57" s="68" t="inlineStr">
        <is>
          <t>—</t>
        </is>
      </c>
      <c r="K57" s="67" t="inlineStr">
        <is>
          <t>●</t>
        </is>
      </c>
      <c r="L57" s="67" t="inlineStr">
        <is>
          <t>●</t>
        </is>
      </c>
      <c r="M57" s="67" t="inlineStr">
        <is>
          <t>●</t>
        </is>
      </c>
      <c r="N57" s="68" t="inlineStr">
        <is>
          <t>Capacité</t>
        </is>
      </c>
      <c r="O57" s="68" t="inlineStr">
        <is>
          <t>Part dans l'urgence × heures travaillées de l'équipe (dirigeant seul : ses heures)</t>
        </is>
      </c>
      <c r="P57" s="68" t="inlineStr">
        <is>
          <t>RH-09.01, RH-06.02, Inscription · effectif, RH-05.01</t>
        </is>
      </c>
      <c r="Q57" s="68" t="inlineStr">
        <is>
          <t>RH-09.06, XR13</t>
        </is>
      </c>
      <c r="R57" s="83" t="n"/>
    </row>
    <row r="58" ht="15" customHeight="1" s="53">
      <c r="A58" s="81" t="inlineStr">
        <is>
          <t>RH-09.06</t>
        </is>
      </c>
      <c r="B58" s="67" t="inlineStr">
        <is>
          <t>RH-09</t>
        </is>
      </c>
      <c r="C58" s="95">
        <f>IFERROR(INDEX(Thèmes!$D$2:$D$190,MATCH(B58,Thèmes!$A$2:$A$190,0)),"")</f>
        <v/>
      </c>
      <c r="D58" s="68" t="inlineStr">
        <is>
          <t>—</t>
        </is>
      </c>
      <c r="E58" s="68" t="inlineStr">
        <is>
          <t>Heures d'urgence évitables par semaine</t>
        </is>
      </c>
      <c r="F58" s="68" t="inlineStr">
        <is>
          <t>Heures</t>
        </is>
      </c>
      <c r="G58" s="96" t="inlineStr">
        <is>
          <t>Calculée</t>
        </is>
      </c>
      <c r="H58" s="67" t="inlineStr">
        <is>
          <t>—</t>
        </is>
      </c>
      <c r="I58" s="68" t="inlineStr">
        <is>
          <t>—</t>
        </is>
      </c>
      <c r="J58" s="68" t="inlineStr">
        <is>
          <t>—</t>
        </is>
      </c>
      <c r="K58" s="67" t="inlineStr">
        <is>
          <t>●</t>
        </is>
      </c>
      <c r="L58" s="67" t="inlineStr">
        <is>
          <t>●</t>
        </is>
      </c>
      <c r="M58" s="67" t="inlineStr">
        <is>
          <t>●</t>
        </is>
      </c>
      <c r="N58" s="68" t="inlineStr">
        <is>
          <t>Levier</t>
        </is>
      </c>
      <c r="O58" s="68" t="inlineStr">
        <is>
          <t>Heures dans l'urgence × part anticipable</t>
        </is>
      </c>
      <c r="P58" s="68" t="inlineStr">
        <is>
          <t>RH-09.05, RH-09.03</t>
        </is>
      </c>
      <c r="Q58" s="68" t="inlineStr">
        <is>
          <t>XR13, XR27</t>
        </is>
      </c>
      <c r="R58" s="83" t="n"/>
    </row>
    <row r="59" ht="35.05" customHeight="1" s="53">
      <c r="A59" s="81" t="inlineStr">
        <is>
          <t>RH-09.07</t>
        </is>
      </c>
      <c r="B59" s="67" t="inlineStr">
        <is>
          <t>RH-09</t>
        </is>
      </c>
      <c r="C59" s="95">
        <f>IFERROR(INDEX(Thèmes!$D$2:$D$190,MATCH(B59,Thèmes!$A$2:$A$190,0)),"")</f>
        <v/>
      </c>
      <c r="D59" s="68" t="inlineStr">
        <is>
          <t>—</t>
        </is>
      </c>
      <c r="E59" s="68" t="inlineStr">
        <is>
          <t>Fonctionnement en anticipation ou en réaction permanente</t>
        </is>
      </c>
      <c r="F59" s="68" t="inlineStr">
        <is>
          <t>Choix</t>
        </is>
      </c>
      <c r="G59" s="96" t="inlineStr">
        <is>
          <t>Calculée</t>
        </is>
      </c>
      <c r="H59" s="67" t="inlineStr">
        <is>
          <t>—</t>
        </is>
      </c>
      <c r="I59" s="68" t="inlineStr">
        <is>
          <t>—</t>
        </is>
      </c>
      <c r="J59" s="68" t="inlineStr">
        <is>
          <t>—</t>
        </is>
      </c>
      <c r="K59" s="67" t="inlineStr">
        <is>
          <t>●</t>
        </is>
      </c>
      <c r="L59" s="67" t="inlineStr">
        <is>
          <t>●</t>
        </is>
      </c>
      <c r="M59" s="67" t="inlineStr">
        <is>
          <t>●</t>
        </is>
      </c>
      <c r="N59" s="68" t="inlineStr">
        <is>
          <t>Risque</t>
        </is>
      </c>
      <c r="O59" s="68" t="inlineStr">
        <is>
          <t>Réaction permanente si plus de 25 % du temps dans l'urgence et plus de la moitié des urgences anticipables (seuils à valider)</t>
        </is>
      </c>
      <c r="P59" s="68" t="inlineStr">
        <is>
          <t>RH-09.01, RH-09.03</t>
        </is>
      </c>
      <c r="Q59" s="68" t="inlineStr">
        <is>
          <t>XR13</t>
        </is>
      </c>
      <c r="R59" s="83" t="n"/>
    </row>
    <row r="60" ht="35.05" customHeight="1" s="53">
      <c r="A60" s="85" t="inlineStr">
        <is>
          <t>RH-10.01</t>
        </is>
      </c>
      <c r="B60" s="89" t="inlineStr">
        <is>
          <t>RH-10</t>
        </is>
      </c>
      <c r="C60" s="97">
        <f>IFERROR(INDEX(Thèmes!$D$2:$D$190,MATCH(B60,Thèmes!$A$2:$A$190,0)),"")</f>
        <v/>
      </c>
      <c r="D60" s="86" t="inlineStr">
        <is>
          <t>R08 · Urgences et interruptions</t>
        </is>
      </c>
      <c r="E60" s="86" t="inlineStr">
        <is>
          <t>Interruptions par jour, pour vous. Définition : arrêt non prévu d'une tâche en cours (appel, message, collègue, client, fournisseur, notification, demande de validation)</t>
        </is>
      </c>
      <c r="F60" s="86" t="inlineStr">
        <is>
          <t>Tranches : 0-2 · 3-5 · 6-10 · 11-20 · plus de 20 · je ne sais pas</t>
        </is>
      </c>
      <c r="G60" s="89" t="inlineStr">
        <is>
          <t>Demandée</t>
        </is>
      </c>
      <c r="H60" s="89" t="inlineStr">
        <is>
          <t>Essentiel</t>
        </is>
      </c>
      <c r="I60" s="86" t="inlineStr">
        <is>
          <t>—</t>
        </is>
      </c>
      <c r="J60" s="86" t="inlineStr">
        <is>
          <t>—</t>
        </is>
      </c>
      <c r="K60" s="89" t="inlineStr">
        <is>
          <t>●</t>
        </is>
      </c>
      <c r="L60" s="89" t="inlineStr">
        <is>
          <t>●</t>
        </is>
      </c>
      <c r="M60" s="89" t="inlineStr">
        <is>
          <t>●</t>
        </is>
      </c>
      <c r="N60" s="86" t="inlineStr">
        <is>
          <t>Problème</t>
        </is>
      </c>
      <c r="O60" s="86" t="inlineStr">
        <is>
          <t>—</t>
        </is>
      </c>
      <c r="P60" s="86" t="inlineStr">
        <is>
          <t>—</t>
        </is>
      </c>
      <c r="Q60" s="86" t="inlineStr">
        <is>
          <t>RH-10.07</t>
        </is>
      </c>
      <c r="R60" s="91" t="n"/>
    </row>
    <row r="61" ht="46.25" customHeight="1" s="53">
      <c r="A61" s="81" t="inlineStr">
        <is>
          <t>RH-10.02</t>
        </is>
      </c>
      <c r="B61" s="67" t="inlineStr">
        <is>
          <t>RH-10</t>
        </is>
      </c>
      <c r="C61" s="95">
        <f>IFERROR(INDEX(Thèmes!$D$2:$D$190,MATCH(B61,Thèmes!$A$2:$A$190,0)),"")</f>
        <v/>
      </c>
      <c r="D61" s="68" t="inlineStr">
        <is>
          <t>R08 · Urgences et interruptions</t>
        </is>
      </c>
      <c r="E61" s="68" t="inlineStr">
        <is>
          <t>Temps moyen perdu par interruption, reprise du fil comprise</t>
        </is>
      </c>
      <c r="F61" s="68" t="inlineStr">
        <is>
          <t>Tranches : moins de 2 min · 2-5 · 5-15 · plus de 15 min · je ne sais pas</t>
        </is>
      </c>
      <c r="G61" s="67" t="inlineStr">
        <is>
          <t>Demandée</t>
        </is>
      </c>
      <c r="H61" s="67" t="inlineStr">
        <is>
          <t>Essentiel</t>
        </is>
      </c>
      <c r="I61" s="68" t="inlineStr">
        <is>
          <t>—</t>
        </is>
      </c>
      <c r="J61" s="68" t="inlineStr">
        <is>
          <t>—</t>
        </is>
      </c>
      <c r="K61" s="67" t="inlineStr">
        <is>
          <t>●</t>
        </is>
      </c>
      <c r="L61" s="67" t="inlineStr">
        <is>
          <t>●</t>
        </is>
      </c>
      <c r="M61" s="67" t="inlineStr">
        <is>
          <t>●</t>
        </is>
      </c>
      <c r="N61" s="68" t="inlineStr">
        <is>
          <t>Capacité</t>
        </is>
      </c>
      <c r="O61" s="68" t="inlineStr">
        <is>
          <t>—</t>
        </is>
      </c>
      <c r="P61" s="68" t="inlineStr">
        <is>
          <t>—</t>
        </is>
      </c>
      <c r="Q61" s="68" t="inlineStr">
        <is>
          <t>RH-10.07</t>
        </is>
      </c>
      <c r="R61" s="83" t="n"/>
    </row>
    <row r="62" ht="23.85" customHeight="1" s="53">
      <c r="A62" s="94" t="inlineStr">
        <is>
          <t>RH-10.03</t>
        </is>
      </c>
      <c r="B62" s="67" t="inlineStr">
        <is>
          <t>RH-10</t>
        </is>
      </c>
      <c r="C62" s="95">
        <f>IFERROR(INDEX(Thèmes!$D$2:$D$190,MATCH(B62,Thèmes!$A$2:$A$190,0)),"")</f>
        <v/>
      </c>
      <c r="D62" s="68" t="inlineStr">
        <is>
          <t>R08 · Urgences et interruptions</t>
        </is>
      </c>
      <c r="E62" s="68" t="inlineStr">
        <is>
          <t>Source principale : téléphone, messages, collègues, clients, notifications</t>
        </is>
      </c>
      <c r="F62" s="68" t="inlineStr">
        <is>
          <t>Choix</t>
        </is>
      </c>
      <c r="G62" s="67" t="inlineStr">
        <is>
          <t>Demandée</t>
        </is>
      </c>
      <c r="H62" s="67" t="inlineStr">
        <is>
          <t>Approfondi</t>
        </is>
      </c>
      <c r="I62" s="68" t="inlineStr">
        <is>
          <t>—</t>
        </is>
      </c>
      <c r="J62" s="68" t="inlineStr">
        <is>
          <t>—</t>
        </is>
      </c>
      <c r="K62" s="67" t="inlineStr">
        <is>
          <t>●</t>
        </is>
      </c>
      <c r="L62" s="67" t="inlineStr">
        <is>
          <t>●</t>
        </is>
      </c>
      <c r="M62" s="67" t="inlineStr">
        <is>
          <t>●</t>
        </is>
      </c>
      <c r="N62" s="68" t="inlineStr">
        <is>
          <t>Levier</t>
        </is>
      </c>
      <c r="O62" s="68" t="inlineStr">
        <is>
          <t>—</t>
        </is>
      </c>
      <c r="P62" s="68" t="inlineStr">
        <is>
          <t>—</t>
        </is>
      </c>
      <c r="Q62" s="68" t="inlineStr">
        <is>
          <t>XR03</t>
        </is>
      </c>
      <c r="R62" s="83" t="inlineStr">
        <is>
          <t>Niveau</t>
        </is>
      </c>
    </row>
    <row r="63" ht="35.05" customHeight="1" s="53">
      <c r="A63" s="81" t="inlineStr">
        <is>
          <t>RH-10.04</t>
        </is>
      </c>
      <c r="B63" s="67" t="inlineStr">
        <is>
          <t>RH-10</t>
        </is>
      </c>
      <c r="C63" s="95">
        <f>IFERROR(INDEX(Thèmes!$D$2:$D$190,MATCH(B63,Thèmes!$A$2:$A$190,0)),"")</f>
        <v/>
      </c>
      <c r="D63" s="68" t="inlineStr">
        <is>
          <t>R08 · Urgences et interruptions</t>
        </is>
      </c>
      <c r="E63" s="68" t="inlineStr">
        <is>
          <t>Interruptions par jour pour un membre de l'équipe</t>
        </is>
      </c>
      <c r="F63" s="68" t="inlineStr">
        <is>
          <t>Tranches : 0-2 · 3-5 · 6-10 · 11-20 · plus de 20 · je ne sais pas</t>
        </is>
      </c>
      <c r="G63" s="67" t="inlineStr">
        <is>
          <t>Demandée</t>
        </is>
      </c>
      <c r="H63" s="67" t="inlineStr">
        <is>
          <t>Approfondi</t>
        </is>
      </c>
      <c r="I63" s="68" t="inlineStr">
        <is>
          <t>—</t>
        </is>
      </c>
      <c r="J63" s="68" t="inlineStr">
        <is>
          <t>—</t>
        </is>
      </c>
      <c r="K63" s="67" t="n"/>
      <c r="L63" s="67" t="inlineStr">
        <is>
          <t>●</t>
        </is>
      </c>
      <c r="M63" s="67" t="inlineStr">
        <is>
          <t>●</t>
        </is>
      </c>
      <c r="N63" s="68" t="inlineStr">
        <is>
          <t>Problème</t>
        </is>
      </c>
      <c r="O63" s="68" t="inlineStr">
        <is>
          <t>—</t>
        </is>
      </c>
      <c r="P63" s="68" t="inlineStr">
        <is>
          <t>—</t>
        </is>
      </c>
      <c r="Q63" s="68" t="inlineStr">
        <is>
          <t>Lue par l'IA pour adapter le conseil</t>
        </is>
      </c>
      <c r="R63" s="83" t="n"/>
    </row>
    <row r="64" ht="35.05" customHeight="1" s="53">
      <c r="A64" s="81" t="inlineStr">
        <is>
          <t>RH-10.05</t>
        </is>
      </c>
      <c r="B64" s="67" t="inlineStr">
        <is>
          <t>RH-10</t>
        </is>
      </c>
      <c r="C64" s="95">
        <f>IFERROR(INDEX(Thèmes!$D$2:$D$190,MATCH(B64,Thèmes!$A$2:$A$190,0)),"")</f>
        <v/>
      </c>
      <c r="D64" s="68" t="inlineStr">
        <is>
          <t>R08 · Urgences et interruptions</t>
        </is>
      </c>
      <c r="E64" s="68" t="inlineStr">
        <is>
          <t>Sur 10 interruptions, combien auraient pu attendre un moment prévu ?</t>
        </is>
      </c>
      <c r="F64" s="68" t="inlineStr">
        <is>
          <t>Sur 10 : 0-2 · 3-5 · 6-8 · 9-10 · je ne sais pas</t>
        </is>
      </c>
      <c r="G64" s="67" t="inlineStr">
        <is>
          <t>Demandée</t>
        </is>
      </c>
      <c r="H64" s="67" t="inlineStr">
        <is>
          <t>Approfondi</t>
        </is>
      </c>
      <c r="I64" s="68" t="inlineStr">
        <is>
          <t>—</t>
        </is>
      </c>
      <c r="J64" s="68" t="inlineStr">
        <is>
          <t>—</t>
        </is>
      </c>
      <c r="K64" s="67" t="inlineStr">
        <is>
          <t>●</t>
        </is>
      </c>
      <c r="L64" s="67" t="inlineStr">
        <is>
          <t>●</t>
        </is>
      </c>
      <c r="M64" s="67" t="inlineStr">
        <is>
          <t>●</t>
        </is>
      </c>
      <c r="N64" s="68" t="inlineStr">
        <is>
          <t>Levier</t>
        </is>
      </c>
      <c r="O64" s="68" t="inlineStr">
        <is>
          <t>—</t>
        </is>
      </c>
      <c r="P64" s="68" t="inlineStr">
        <is>
          <t>—</t>
        </is>
      </c>
      <c r="Q64" s="68" t="inlineStr">
        <is>
          <t>RH-10.08</t>
        </is>
      </c>
      <c r="R64" s="83" t="n"/>
    </row>
    <row r="65" ht="23.85" customHeight="1" s="53">
      <c r="A65" s="81" t="inlineStr">
        <is>
          <t>RH-10.06</t>
        </is>
      </c>
      <c r="B65" s="67" t="inlineStr">
        <is>
          <t>RH-10</t>
        </is>
      </c>
      <c r="C65" s="95">
        <f>IFERROR(INDEX(Thèmes!$D$2:$D$190,MATCH(B65,Thèmes!$A$2:$A$190,0)),"")</f>
        <v/>
      </c>
      <c r="D65" s="68" t="inlineStr">
        <is>
          <t>R08 · Urgences et interruptions</t>
        </is>
      </c>
      <c r="E65" s="68" t="inlineStr">
        <is>
          <t>Moment de la journée le plus touché</t>
        </is>
      </c>
      <c r="F65" s="68" t="inlineStr">
        <is>
          <t>Choix</t>
        </is>
      </c>
      <c r="G65" s="67" t="inlineStr">
        <is>
          <t>Demandée</t>
        </is>
      </c>
      <c r="H65" s="67" t="inlineStr">
        <is>
          <t>Approfondi</t>
        </is>
      </c>
      <c r="I65" s="68" t="inlineStr">
        <is>
          <t>—</t>
        </is>
      </c>
      <c r="J65" s="68" t="inlineStr">
        <is>
          <t>—</t>
        </is>
      </c>
      <c r="K65" s="67" t="inlineStr">
        <is>
          <t>●</t>
        </is>
      </c>
      <c r="L65" s="67" t="inlineStr">
        <is>
          <t>●</t>
        </is>
      </c>
      <c r="M65" s="67" t="inlineStr">
        <is>
          <t>●</t>
        </is>
      </c>
      <c r="N65" s="68" t="inlineStr">
        <is>
          <t>Levier</t>
        </is>
      </c>
      <c r="O65" s="68" t="inlineStr">
        <is>
          <t>—</t>
        </is>
      </c>
      <c r="P65" s="68" t="inlineStr">
        <is>
          <t>—</t>
        </is>
      </c>
      <c r="Q65" s="68" t="inlineStr">
        <is>
          <t>XR03</t>
        </is>
      </c>
      <c r="R65" s="83" t="n"/>
    </row>
    <row r="66" ht="23.85" customHeight="1" s="53">
      <c r="A66" s="81" t="inlineStr">
        <is>
          <t>RH-10.07</t>
        </is>
      </c>
      <c r="B66" s="67" t="inlineStr">
        <is>
          <t>RH-10</t>
        </is>
      </c>
      <c r="C66" s="95">
        <f>IFERROR(INDEX(Thèmes!$D$2:$D$190,MATCH(B66,Thèmes!$A$2:$A$190,0)),"")</f>
        <v/>
      </c>
      <c r="D66" s="68" t="inlineStr">
        <is>
          <t>—</t>
        </is>
      </c>
      <c r="E66" s="68" t="inlineStr">
        <is>
          <t>Temps fragmenté par les interruptions, par semaine</t>
        </is>
      </c>
      <c r="F66" s="68" t="inlineStr">
        <is>
          <t>Heures</t>
        </is>
      </c>
      <c r="G66" s="96" t="inlineStr">
        <is>
          <t>Calculée</t>
        </is>
      </c>
      <c r="H66" s="67" t="inlineStr">
        <is>
          <t>—</t>
        </is>
      </c>
      <c r="I66" s="68" t="inlineStr">
        <is>
          <t>—</t>
        </is>
      </c>
      <c r="J66" s="68" t="inlineStr">
        <is>
          <t>—</t>
        </is>
      </c>
      <c r="K66" s="67" t="inlineStr">
        <is>
          <t>●</t>
        </is>
      </c>
      <c r="L66" s="67" t="inlineStr">
        <is>
          <t>●</t>
        </is>
      </c>
      <c r="M66" s="67" t="inlineStr">
        <is>
          <t>●</t>
        </is>
      </c>
      <c r="N66" s="68" t="inlineStr">
        <is>
          <t>Capacité</t>
        </is>
      </c>
      <c r="O66" s="68" t="inlineStr">
        <is>
          <t>Interruptions par jour × temps perdu × jours travaillés</t>
        </is>
      </c>
      <c r="P66" s="68" t="inlineStr">
        <is>
          <t>RH-10.01, RH-10.02, ACQ-22.01</t>
        </is>
      </c>
      <c r="Q66" s="68" t="inlineStr">
        <is>
          <t>RH-10.08, XR03</t>
        </is>
      </c>
      <c r="R66" s="83" t="n"/>
    </row>
    <row r="67" ht="23.85" customHeight="1" s="53">
      <c r="A67" s="81" t="inlineStr">
        <is>
          <t>RH-10.08</t>
        </is>
      </c>
      <c r="B67" s="67" t="inlineStr">
        <is>
          <t>RH-10</t>
        </is>
      </c>
      <c r="C67" s="95">
        <f>IFERROR(INDEX(Thèmes!$D$2:$D$190,MATCH(B67,Thèmes!$A$2:$A$190,0)),"")</f>
        <v/>
      </c>
      <c r="D67" s="68" t="inlineStr">
        <is>
          <t>—</t>
        </is>
      </c>
      <c r="E67" s="68" t="inlineStr">
        <is>
          <t>Heures récupérables en regroupant les interruptions évitables</t>
        </is>
      </c>
      <c r="F67" s="68" t="inlineStr">
        <is>
          <t>Heures</t>
        </is>
      </c>
      <c r="G67" s="96" t="inlineStr">
        <is>
          <t>Calculée</t>
        </is>
      </c>
      <c r="H67" s="67" t="inlineStr">
        <is>
          <t>—</t>
        </is>
      </c>
      <c r="I67" s="68" t="inlineStr">
        <is>
          <t>—</t>
        </is>
      </c>
      <c r="J67" s="68" t="inlineStr">
        <is>
          <t>—</t>
        </is>
      </c>
      <c r="K67" s="67" t="inlineStr">
        <is>
          <t>●</t>
        </is>
      </c>
      <c r="L67" s="67" t="inlineStr">
        <is>
          <t>●</t>
        </is>
      </c>
      <c r="M67" s="67" t="inlineStr">
        <is>
          <t>●</t>
        </is>
      </c>
      <c r="N67" s="68" t="inlineStr">
        <is>
          <t>Levier</t>
        </is>
      </c>
      <c r="O67" s="68" t="inlineStr">
        <is>
          <t>Temps fragmenté × part évitable</t>
        </is>
      </c>
      <c r="P67" s="68" t="inlineStr">
        <is>
          <t>RH-10.07, RH-10.05</t>
        </is>
      </c>
      <c r="Q67" s="68" t="inlineStr">
        <is>
          <t>RH-05.08, XR03</t>
        </is>
      </c>
      <c r="R67" s="83" t="n"/>
    </row>
    <row r="68" ht="35.05" customHeight="1" s="53">
      <c r="A68" s="85" t="inlineStr">
        <is>
          <t>RH-11.01</t>
        </is>
      </c>
      <c r="B68" s="89" t="inlineStr">
        <is>
          <t>RH-11</t>
        </is>
      </c>
      <c r="C68" s="97">
        <f>IFERROR(INDEX(Thèmes!$D$2:$D$190,MATCH(B68,Thèmes!$A$2:$A$190,0)),"")</f>
        <v/>
      </c>
      <c r="D68" s="86" t="inlineStr">
        <is>
          <t>A23 · Vos 12 derniers mois (tableau)</t>
        </is>
      </c>
      <c r="E68" s="86" t="inlineStr">
        <is>
          <t>CA de chacun des 12 derniers mois</t>
        </is>
      </c>
      <c r="F68" s="86" t="inlineStr">
        <is>
          <t>12 montants</t>
        </is>
      </c>
      <c r="G68" s="88" t="inlineStr">
        <is>
          <t>Partagée</t>
        </is>
      </c>
      <c r="H68" s="89" t="inlineStr">
        <is>
          <t>Essentiel</t>
        </is>
      </c>
      <c r="I68" s="86" t="inlineStr">
        <is>
          <t>—</t>
        </is>
      </c>
      <c r="J68" s="86" t="inlineStr">
        <is>
          <t>Période adaptée : depuis la création si moins de 12 mois</t>
        </is>
      </c>
      <c r="K68" s="89" t="inlineStr">
        <is>
          <t>●</t>
        </is>
      </c>
      <c r="L68" s="89" t="inlineStr">
        <is>
          <t>●</t>
        </is>
      </c>
      <c r="M68" s="89" t="inlineStr">
        <is>
          <t>●</t>
        </is>
      </c>
      <c r="N68" s="86" t="inlineStr">
        <is>
          <t>Problème</t>
        </is>
      </c>
      <c r="O68" s="86" t="inlineStr">
        <is>
          <t>Posée une seule fois, par le premier agent souscrit qui en a besoin (ACQ-23.01), sinon ici</t>
        </is>
      </c>
      <c r="P68" s="86" t="inlineStr">
        <is>
          <t>ACQ-23.01</t>
        </is>
      </c>
      <c r="Q68" s="86" t="inlineStr">
        <is>
          <t>Affichée dans le rapport</t>
        </is>
      </c>
      <c r="R68" s="91" t="n"/>
    </row>
    <row r="69" ht="23.85" customHeight="1" s="53">
      <c r="A69" s="81" t="inlineStr">
        <is>
          <t>RH-11.02</t>
        </is>
      </c>
      <c r="B69" s="67" t="inlineStr">
        <is>
          <t>RH-11</t>
        </is>
      </c>
      <c r="C69" s="95">
        <f>IFERROR(INDEX(Thèmes!$D$2:$D$190,MATCH(B69,Thèmes!$A$2:$A$190,0)),"")</f>
        <v/>
      </c>
      <c r="D69" s="68" t="inlineStr">
        <is>
          <t>R05 · La charge de l'équipe</t>
        </is>
      </c>
      <c r="E69" s="68" t="inlineStr">
        <is>
          <t>Pendant vos mois forts, vous ajoutez : intérim ou extras, heures supplémentaires, rien</t>
        </is>
      </c>
      <c r="F69" s="68" t="inlineStr">
        <is>
          <t>Choix</t>
        </is>
      </c>
      <c r="G69" s="67" t="inlineStr">
        <is>
          <t>Demandée</t>
        </is>
      </c>
      <c r="H69" s="67" t="inlineStr">
        <is>
          <t>Essentiel</t>
        </is>
      </c>
      <c r="I69" s="68" t="inlineStr">
        <is>
          <t>—</t>
        </is>
      </c>
      <c r="J69" s="68" t="inlineStr">
        <is>
          <t>—</t>
        </is>
      </c>
      <c r="K69" s="67" t="n"/>
      <c r="L69" s="67" t="inlineStr">
        <is>
          <t>●</t>
        </is>
      </c>
      <c r="M69" s="67" t="inlineStr">
        <is>
          <t>●</t>
        </is>
      </c>
      <c r="N69" s="68" t="inlineStr">
        <is>
          <t>Levier</t>
        </is>
      </c>
      <c r="O69" s="68" t="inlineStr">
        <is>
          <t>—</t>
        </is>
      </c>
      <c r="P69" s="68" t="inlineStr">
        <is>
          <t>—</t>
        </is>
      </c>
      <c r="Q69" s="68" t="inlineStr">
        <is>
          <t>RH-11.03, XR30</t>
        </is>
      </c>
      <c r="R69" s="83" t="n"/>
    </row>
    <row r="70" ht="23.85" customHeight="1" s="53">
      <c r="A70" s="81" t="inlineStr">
        <is>
          <t>RH-11.03</t>
        </is>
      </c>
      <c r="B70" s="67" t="inlineStr">
        <is>
          <t>RH-11</t>
        </is>
      </c>
      <c r="C70" s="95">
        <f>IFERROR(INDEX(Thèmes!$D$2:$D$190,MATCH(B70,Thèmes!$A$2:$A$190,0)),"")</f>
        <v/>
      </c>
      <c r="D70" s="68" t="inlineStr">
        <is>
          <t>—</t>
        </is>
      </c>
      <c r="E70" s="68" t="inlineStr">
        <is>
          <t>Mois forts sans renfort prévu</t>
        </is>
      </c>
      <c r="F70" s="68" t="inlineStr">
        <is>
          <t>Liste de mois</t>
        </is>
      </c>
      <c r="G70" s="96" t="inlineStr">
        <is>
          <t>Calculée</t>
        </is>
      </c>
      <c r="H70" s="67" t="inlineStr">
        <is>
          <t>—</t>
        </is>
      </c>
      <c r="I70" s="68" t="inlineStr">
        <is>
          <t>—</t>
        </is>
      </c>
      <c r="J70" s="68" t="inlineStr">
        <is>
          <t>—</t>
        </is>
      </c>
      <c r="K70" s="67" t="n"/>
      <c r="L70" s="67" t="inlineStr">
        <is>
          <t>●</t>
        </is>
      </c>
      <c r="M70" s="67" t="inlineStr">
        <is>
          <t>●</t>
        </is>
      </c>
      <c r="N70" s="68" t="inlineStr">
        <is>
          <t>Risque</t>
        </is>
      </c>
      <c r="O70" s="68" t="inlineStr">
        <is>
          <t>Mois forts croisés avec l'absence de renfort et les semaines d'heures supplémentaires</t>
        </is>
      </c>
      <c r="P70" s="68" t="inlineStr">
        <is>
          <t>ACQ-23.05, RH-11.02, RH-06.05</t>
        </is>
      </c>
      <c r="Q70" s="68" t="inlineStr">
        <is>
          <t>XR30</t>
        </is>
      </c>
      <c r="R70" s="83" t="n"/>
    </row>
    <row r="71" ht="23.85" customHeight="1" s="53">
      <c r="A71" s="85" t="inlineStr">
        <is>
          <t>RH-12.01</t>
        </is>
      </c>
      <c r="B71" s="89" t="inlineStr">
        <is>
          <t>RH-12</t>
        </is>
      </c>
      <c r="C71" s="97">
        <f>IFERROR(INDEX(Thèmes!$D$2:$D$190,MATCH(B71,Thèmes!$A$2:$A$190,0)),"")</f>
        <v/>
      </c>
      <c r="D71" s="86" t="inlineStr">
        <is>
          <t>R09 · Méthodes, informations et outils</t>
        </is>
      </c>
      <c r="E71" s="86" t="inlineStr">
        <is>
          <t>Tâches clés de l'activité, et combien sont décrites par écrit (procédure, liste, vidéo)</t>
        </is>
      </c>
      <c r="F71" s="86" t="inlineStr">
        <is>
          <t>Nombre et nombre</t>
        </is>
      </c>
      <c r="G71" s="89" t="inlineStr">
        <is>
          <t>Demandée</t>
        </is>
      </c>
      <c r="H71" s="89" t="inlineStr">
        <is>
          <t>Essentiel</t>
        </is>
      </c>
      <c r="I71" s="86" t="inlineStr">
        <is>
          <t>—</t>
        </is>
      </c>
      <c r="J71" s="86" t="inlineStr">
        <is>
          <t>—</t>
        </is>
      </c>
      <c r="K71" s="89" t="inlineStr">
        <is>
          <t>●</t>
        </is>
      </c>
      <c r="L71" s="89" t="inlineStr">
        <is>
          <t>●</t>
        </is>
      </c>
      <c r="M71" s="89" t="inlineStr">
        <is>
          <t>●</t>
        </is>
      </c>
      <c r="N71" s="86" t="inlineStr">
        <is>
          <t>Risque</t>
        </is>
      </c>
      <c r="O71" s="86" t="inlineStr">
        <is>
          <t>—</t>
        </is>
      </c>
      <c r="P71" s="86" t="inlineStr">
        <is>
          <t>—</t>
        </is>
      </c>
      <c r="Q71" s="86" t="inlineStr">
        <is>
          <t>RH-12.02, RH-27.02</t>
        </is>
      </c>
      <c r="R71" s="91" t="n"/>
    </row>
    <row r="72" ht="23.85" customHeight="1" s="53">
      <c r="A72" s="81" t="inlineStr">
        <is>
          <t>RH-12.02</t>
        </is>
      </c>
      <c r="B72" s="67" t="inlineStr">
        <is>
          <t>RH-12</t>
        </is>
      </c>
      <c r="C72" s="95">
        <f>IFERROR(INDEX(Thèmes!$D$2:$D$190,MATCH(B72,Thèmes!$A$2:$A$190,0)),"")</f>
        <v/>
      </c>
      <c r="D72" s="68" t="inlineStr">
        <is>
          <t>—</t>
        </is>
      </c>
      <c r="E72" s="68" t="inlineStr">
        <is>
          <t>Part des tâches clés décrites par écrit</t>
        </is>
      </c>
      <c r="F72" s="68" t="inlineStr">
        <is>
          <t>%</t>
        </is>
      </c>
      <c r="G72" s="96" t="inlineStr">
        <is>
          <t>Calculée</t>
        </is>
      </c>
      <c r="H72" s="67" t="inlineStr">
        <is>
          <t>—</t>
        </is>
      </c>
      <c r="I72" s="68" t="inlineStr">
        <is>
          <t>—</t>
        </is>
      </c>
      <c r="J72" s="68" t="inlineStr">
        <is>
          <t>—</t>
        </is>
      </c>
      <c r="K72" s="67" t="inlineStr">
        <is>
          <t>●</t>
        </is>
      </c>
      <c r="L72" s="67" t="inlineStr">
        <is>
          <t>●</t>
        </is>
      </c>
      <c r="M72" s="67" t="inlineStr">
        <is>
          <t>●</t>
        </is>
      </c>
      <c r="N72" s="68" t="inlineStr">
        <is>
          <t>Cible</t>
        </is>
      </c>
      <c r="O72" s="68" t="inlineStr">
        <is>
          <t>Tâches décrites ÷ tâches clés</t>
        </is>
      </c>
      <c r="P72" s="68" t="inlineStr">
        <is>
          <t>RH-12.01</t>
        </is>
      </c>
      <c r="Q72" s="68" t="inlineStr">
        <is>
          <t>XR23, XR24</t>
        </is>
      </c>
      <c r="R72" s="83" t="n"/>
    </row>
    <row r="73" ht="23.85" customHeight="1" s="53">
      <c r="A73" s="85" t="inlineStr">
        <is>
          <t>RH-13.01</t>
        </is>
      </c>
      <c r="B73" s="89" t="inlineStr">
        <is>
          <t>RH-13</t>
        </is>
      </c>
      <c r="C73" s="97">
        <f>IFERROR(INDEX(Thèmes!$D$2:$D$190,MATCH(B73,Thèmes!$A$2:$A$190,0)),"")</f>
        <v/>
      </c>
      <c r="D73" s="86" t="inlineStr">
        <is>
          <t>R09 · Méthodes, informations et outils</t>
        </is>
      </c>
      <c r="E73" s="86" t="inlineStr">
        <is>
          <t>Quand quelqu'un est absent, son travail est repris : grâce à des consignes écrites, à l'oral, pas repris</t>
        </is>
      </c>
      <c r="F73" s="86" t="inlineStr">
        <is>
          <t>Choix</t>
        </is>
      </c>
      <c r="G73" s="89" t="inlineStr">
        <is>
          <t>Demandée</t>
        </is>
      </c>
      <c r="H73" s="89" t="inlineStr">
        <is>
          <t>Essentiel</t>
        </is>
      </c>
      <c r="I73" s="86" t="inlineStr">
        <is>
          <t>—</t>
        </is>
      </c>
      <c r="J73" s="86" t="inlineStr">
        <is>
          <t>—</t>
        </is>
      </c>
      <c r="K73" s="89" t="n"/>
      <c r="L73" s="89" t="inlineStr">
        <is>
          <t>●</t>
        </is>
      </c>
      <c r="M73" s="89" t="inlineStr">
        <is>
          <t>●</t>
        </is>
      </c>
      <c r="N73" s="86" t="inlineStr">
        <is>
          <t>Risque</t>
        </is>
      </c>
      <c r="O73" s="86" t="inlineStr">
        <is>
          <t>—</t>
        </is>
      </c>
      <c r="P73" s="86" t="inlineStr">
        <is>
          <t>—</t>
        </is>
      </c>
      <c r="Q73" s="86" t="inlineStr">
        <is>
          <t>Notée directement (couleur du thème)</t>
        </is>
      </c>
      <c r="R73" s="91" t="n"/>
    </row>
    <row r="74" ht="35.05" customHeight="1" s="53">
      <c r="A74" s="85" t="inlineStr">
        <is>
          <t>RH-14.01</t>
        </is>
      </c>
      <c r="B74" s="89" t="inlineStr">
        <is>
          <t>RH-14</t>
        </is>
      </c>
      <c r="C74" s="97">
        <f>IFERROR(INDEX(Thèmes!$D$2:$D$190,MATCH(B74,Thèmes!$A$2:$A$190,0)),"")</f>
        <v/>
      </c>
      <c r="D74" s="86" t="inlineStr">
        <is>
          <t>R09 · Méthodes, informations et outils</t>
        </is>
      </c>
      <c r="E74" s="86" t="inlineStr">
        <is>
          <t>Les informations utiles (dossiers clients, accès, tarifs) sont : dans un espace partagé, en partie, chacun garde les siennes</t>
        </is>
      </c>
      <c r="F74" s="86" t="inlineStr">
        <is>
          <t>Choix</t>
        </is>
      </c>
      <c r="G74" s="89" t="inlineStr">
        <is>
          <t>Demandée</t>
        </is>
      </c>
      <c r="H74" s="89" t="inlineStr">
        <is>
          <t>Essentiel</t>
        </is>
      </c>
      <c r="I74" s="86" t="inlineStr">
        <is>
          <t>—</t>
        </is>
      </c>
      <c r="J74" s="86" t="inlineStr">
        <is>
          <t>—</t>
        </is>
      </c>
      <c r="K74" s="89" t="n"/>
      <c r="L74" s="89" t="inlineStr">
        <is>
          <t>●</t>
        </is>
      </c>
      <c r="M74" s="89" t="inlineStr">
        <is>
          <t>●</t>
        </is>
      </c>
      <c r="N74" s="86" t="inlineStr">
        <is>
          <t>Risque</t>
        </is>
      </c>
      <c r="O74" s="86" t="inlineStr">
        <is>
          <t>—</t>
        </is>
      </c>
      <c r="P74" s="86" t="inlineStr">
        <is>
          <t>—</t>
        </is>
      </c>
      <c r="Q74" s="86" t="inlineStr">
        <is>
          <t>XR25</t>
        </is>
      </c>
      <c r="R74" s="91" t="n"/>
    </row>
    <row r="75" ht="46.25" customHeight="1" s="53">
      <c r="A75" s="81" t="inlineStr">
        <is>
          <t>RH-14.02</t>
        </is>
      </c>
      <c r="B75" s="67" t="inlineStr">
        <is>
          <t>RH-14</t>
        </is>
      </c>
      <c r="C75" s="95">
        <f>IFERROR(INDEX(Thèmes!$D$2:$D$190,MATCH(B75,Thèmes!$A$2:$A$190,0)),"")</f>
        <v/>
      </c>
      <c r="D75" s="68" t="inlineStr">
        <is>
          <t>R09 · Méthodes, informations et outils</t>
        </is>
      </c>
      <c r="E75" s="68" t="inlineStr">
        <is>
          <t>Temps perdu par semaine et par personne à chercher une information ou à attendre quelqu'un pour l'avoir</t>
        </is>
      </c>
      <c r="F75" s="68" t="inlineStr">
        <is>
          <t>Tranches : 0 · 1-3 h · 3-6 h · 6-10 h · plus de 10 h · je ne sais pas</t>
        </is>
      </c>
      <c r="G75" s="67" t="inlineStr">
        <is>
          <t>Demandée</t>
        </is>
      </c>
      <c r="H75" s="67" t="inlineStr">
        <is>
          <t>Approfondi</t>
        </is>
      </c>
      <c r="I75" s="68" t="inlineStr">
        <is>
          <t>—</t>
        </is>
      </c>
      <c r="J75" s="68" t="inlineStr">
        <is>
          <t>—</t>
        </is>
      </c>
      <c r="K75" s="67" t="inlineStr">
        <is>
          <t>●</t>
        </is>
      </c>
      <c r="L75" s="67" t="inlineStr">
        <is>
          <t>●</t>
        </is>
      </c>
      <c r="M75" s="67" t="inlineStr">
        <is>
          <t>●</t>
        </is>
      </c>
      <c r="N75" s="68" t="inlineStr">
        <is>
          <t>Capacité</t>
        </is>
      </c>
      <c r="O75" s="68" t="inlineStr">
        <is>
          <t>—</t>
        </is>
      </c>
      <c r="P75" s="68" t="inlineStr">
        <is>
          <t>—</t>
        </is>
      </c>
      <c r="Q75" s="68" t="inlineStr">
        <is>
          <t>RH-14.03</t>
        </is>
      </c>
      <c r="R75" s="83" t="n"/>
    </row>
    <row r="76" ht="23.85" customHeight="1" s="53">
      <c r="A76" s="81" t="inlineStr">
        <is>
          <t>RH-14.03</t>
        </is>
      </c>
      <c r="B76" s="67" t="inlineStr">
        <is>
          <t>RH-14</t>
        </is>
      </c>
      <c r="C76" s="95">
        <f>IFERROR(INDEX(Thèmes!$D$2:$D$190,MATCH(B76,Thèmes!$A$2:$A$190,0)),"")</f>
        <v/>
      </c>
      <c r="D76" s="68" t="inlineStr">
        <is>
          <t>—</t>
        </is>
      </c>
      <c r="E76" s="68" t="inlineStr">
        <is>
          <t>Temps perdu à chercher l'information, toute l'équipe</t>
        </is>
      </c>
      <c r="F76" s="68" t="inlineStr">
        <is>
          <t>Heures par semaine</t>
        </is>
      </c>
      <c r="G76" s="96" t="inlineStr">
        <is>
          <t>Calculée</t>
        </is>
      </c>
      <c r="H76" s="67" t="inlineStr">
        <is>
          <t>—</t>
        </is>
      </c>
      <c r="I76" s="68" t="inlineStr">
        <is>
          <t>—</t>
        </is>
      </c>
      <c r="J76" s="68" t="inlineStr">
        <is>
          <t>—</t>
        </is>
      </c>
      <c r="K76" s="67" t="inlineStr">
        <is>
          <t>●</t>
        </is>
      </c>
      <c r="L76" s="67" t="inlineStr">
        <is>
          <t>●</t>
        </is>
      </c>
      <c r="M76" s="67" t="inlineStr">
        <is>
          <t>●</t>
        </is>
      </c>
      <c r="N76" s="68" t="inlineStr">
        <is>
          <t>Capacité</t>
        </is>
      </c>
      <c r="O76" s="68" t="inlineStr">
        <is>
          <t>Temps perdu par personne × effectif</t>
        </is>
      </c>
      <c r="P76" s="68" t="inlineStr">
        <is>
          <t>RH-14.02, Inscription · effectif</t>
        </is>
      </c>
      <c r="Q76" s="68" t="inlineStr">
        <is>
          <t>XR25</t>
        </is>
      </c>
      <c r="R76" s="83" t="n"/>
    </row>
    <row r="77" ht="35.05" customHeight="1" s="53">
      <c r="A77" s="85" t="inlineStr">
        <is>
          <t>RH-15.01</t>
        </is>
      </c>
      <c r="B77" s="89" t="inlineStr">
        <is>
          <t>RH-15</t>
        </is>
      </c>
      <c r="C77" s="97">
        <f>IFERROR(INDEX(Thèmes!$D$2:$D$190,MATCH(B77,Thèmes!$A$2:$A$190,0)),"")</f>
        <v/>
      </c>
      <c r="D77" s="86" t="inlineStr">
        <is>
          <t>R09 · Méthodes, informations et outils</t>
        </is>
      </c>
      <c r="E77" s="86" t="inlineStr">
        <is>
          <t>Outils pour organiser le travail (planning partagé, gestion de tâches, logiciel métier, messagerie d'équipe), et utilisés par tous : oui, en partie, non</t>
        </is>
      </c>
      <c r="F77" s="86" t="inlineStr">
        <is>
          <t>Cases + choix</t>
        </is>
      </c>
      <c r="G77" s="89" t="inlineStr">
        <is>
          <t>Demandée</t>
        </is>
      </c>
      <c r="H77" s="89" t="inlineStr">
        <is>
          <t>Essentiel</t>
        </is>
      </c>
      <c r="I77" s="86" t="inlineStr">
        <is>
          <t>—</t>
        </is>
      </c>
      <c r="J77" s="86" t="inlineStr">
        <is>
          <t>—</t>
        </is>
      </c>
      <c r="K77" s="89" t="inlineStr">
        <is>
          <t>●</t>
        </is>
      </c>
      <c r="L77" s="89" t="inlineStr">
        <is>
          <t>●</t>
        </is>
      </c>
      <c r="M77" s="89" t="inlineStr">
        <is>
          <t>●</t>
        </is>
      </c>
      <c r="N77" s="86" t="inlineStr">
        <is>
          <t>Levier</t>
        </is>
      </c>
      <c r="O77" s="86" t="inlineStr">
        <is>
          <t>—</t>
        </is>
      </c>
      <c r="P77" s="86" t="inlineStr">
        <is>
          <t>—</t>
        </is>
      </c>
      <c r="Q77" s="86" t="inlineStr">
        <is>
          <t>Notée directement (couleur du thème)</t>
        </is>
      </c>
      <c r="R77" s="91" t="n"/>
    </row>
    <row r="78" ht="23.85" customHeight="1" s="53">
      <c r="A78" s="94" t="inlineStr">
        <is>
          <t>RH-15.02</t>
        </is>
      </c>
      <c r="B78" s="67" t="inlineStr">
        <is>
          <t>RH-15</t>
        </is>
      </c>
      <c r="C78" s="95">
        <f>IFERROR(INDEX(Thèmes!$D$2:$D$190,MATCH(B78,Thèmes!$A$2:$A$190,0)),"")</f>
        <v/>
      </c>
      <c r="D78" s="68" t="inlineStr">
        <is>
          <t>R09 · Méthodes, informations et outils</t>
        </is>
      </c>
      <c r="E78" s="68" t="inlineStr">
        <is>
          <t>Matériel qui ralentit le travail — déclencheur D47</t>
        </is>
      </c>
      <c r="F78" s="68" t="inlineStr">
        <is>
          <t>Oui / non + heures</t>
        </is>
      </c>
      <c r="G78" s="67" t="inlineStr">
        <is>
          <t>Demandée</t>
        </is>
      </c>
      <c r="H78" s="67" t="inlineStr">
        <is>
          <t>Approfondi</t>
        </is>
      </c>
      <c r="I78" s="68" t="inlineStr">
        <is>
          <t>—</t>
        </is>
      </c>
      <c r="J78" s="68" t="inlineStr">
        <is>
          <t>—</t>
        </is>
      </c>
      <c r="K78" s="67" t="inlineStr">
        <is>
          <t>●</t>
        </is>
      </c>
      <c r="L78" s="67" t="inlineStr">
        <is>
          <t>●</t>
        </is>
      </c>
      <c r="M78" s="67" t="inlineStr">
        <is>
          <t>●</t>
        </is>
      </c>
      <c r="N78" s="68" t="inlineStr">
        <is>
          <t>Capacité</t>
        </is>
      </c>
      <c r="O78" s="68" t="inlineStr">
        <is>
          <t>—</t>
        </is>
      </c>
      <c r="P78" s="68" t="inlineStr">
        <is>
          <t>—</t>
        </is>
      </c>
      <c r="Q78" s="68" t="inlineStr">
        <is>
          <t>XR29</t>
        </is>
      </c>
      <c r="R78" s="83" t="inlineStr">
        <is>
          <t>Libellé (« Donnée »)</t>
        </is>
      </c>
    </row>
    <row r="79" ht="23.85" customHeight="1" s="53">
      <c r="A79" s="92" t="inlineStr">
        <is>
          <t>RH-15.03</t>
        </is>
      </c>
      <c r="B79" s="67" t="inlineStr">
        <is>
          <t>RH-15</t>
        </is>
      </c>
      <c r="C79" s="95">
        <f>IFERROR(INDEX(Thèmes!$D$2:$D$190,MATCH(B79,Thèmes!$A$2:$A$190,0)),"")</f>
        <v/>
      </c>
      <c r="D79" s="68" t="inlineStr">
        <is>
          <t>—</t>
        </is>
      </c>
      <c r="E79" s="68" t="inlineStr">
        <is>
          <t>Heures perdues par semaine à cause du matériel</t>
        </is>
      </c>
      <c r="F79" s="68" t="inlineStr">
        <is>
          <t>Heures</t>
        </is>
      </c>
      <c r="G79" s="67" t="inlineStr">
        <is>
          <t>Demandée</t>
        </is>
      </c>
      <c r="H79" s="67" t="inlineStr">
        <is>
          <t>Approfondi</t>
        </is>
      </c>
      <c r="I79" s="99" t="inlineStr">
        <is>
          <t>D47 · si du matériel ralentit le travail</t>
        </is>
      </c>
      <c r="J79" s="68" t="inlineStr">
        <is>
          <t>—</t>
        </is>
      </c>
      <c r="K79" s="67" t="inlineStr">
        <is>
          <t>●</t>
        </is>
      </c>
      <c r="L79" s="67" t="inlineStr">
        <is>
          <t>●</t>
        </is>
      </c>
      <c r="M79" s="67" t="inlineStr">
        <is>
          <t>●</t>
        </is>
      </c>
      <c r="N79" s="68" t="inlineStr">
        <is>
          <t>—</t>
        </is>
      </c>
      <c r="O79" s="68" t="inlineStr">
        <is>
          <t>—</t>
        </is>
      </c>
      <c r="P79" s="68" t="inlineStr">
        <is>
          <t>—</t>
        </is>
      </c>
      <c r="Q79" s="68" t="inlineStr">
        <is>
          <t>—</t>
        </is>
      </c>
      <c r="R79" s="83" t="inlineStr">
        <is>
          <t>Nouveau</t>
        </is>
      </c>
    </row>
    <row r="80" ht="57.45" customHeight="1" s="53">
      <c r="A80" s="98" t="inlineStr">
        <is>
          <t>RH-16.01</t>
        </is>
      </c>
      <c r="B80" s="89" t="inlineStr">
        <is>
          <t>RH-16</t>
        </is>
      </c>
      <c r="C80" s="97">
        <f>IFERROR(INDEX(Thèmes!$D$2:$D$190,MATCH(B80,Thèmes!$A$2:$A$190,0)),"")</f>
        <v/>
      </c>
      <c r="D80" s="86" t="inlineStr">
        <is>
          <t>F07 · Vos erreurs et gestes commerciaux</t>
        </is>
      </c>
      <c r="E80" s="86" t="inlineStr">
        <is>
          <t>Reprises par mois et temps moyen d'une reprise — champs partagés avec FIN-10.01 (reprises par mois) et FIN-10.03 (heures par reprise) : chaque chiffre n'est demandé qu'une fois, le second agent reprend la réponse — déclencheur D49</t>
        </is>
      </c>
      <c r="F80" s="86" t="inlineStr">
        <is>
          <t>Nombre et heures</t>
        </is>
      </c>
      <c r="G80" s="88" t="inlineStr">
        <is>
          <t>Partagée</t>
        </is>
      </c>
      <c r="H80" s="89" t="inlineStr">
        <is>
          <t>Essentiel</t>
        </is>
      </c>
      <c r="I80" s="86" t="inlineStr">
        <is>
          <t>—</t>
        </is>
      </c>
      <c r="J80" s="86" t="inlineStr">
        <is>
          <t>—</t>
        </is>
      </c>
      <c r="K80" s="89" t="inlineStr">
        <is>
          <t>●</t>
        </is>
      </c>
      <c r="L80" s="89" t="inlineStr">
        <is>
          <t>●</t>
        </is>
      </c>
      <c r="M80" s="89" t="inlineStr">
        <is>
          <t>●</t>
        </is>
      </c>
      <c r="N80" s="86" t="inlineStr">
        <is>
          <t>Perte</t>
        </is>
      </c>
      <c r="O80" s="86" t="inlineStr">
        <is>
          <t>Posée une seule fois, par le premier agent souscrit qui en a besoin (FIN-10.01, FIN-10.03), sinon ici</t>
        </is>
      </c>
      <c r="P80" s="86" t="inlineStr">
        <is>
          <t>FIN-10.01, FIN-10.03</t>
        </is>
      </c>
      <c r="Q80" s="86" t="inlineStr">
        <is>
          <t>RH-16.05</t>
        </is>
      </c>
      <c r="R80" s="91" t="inlineStr">
        <is>
          <t>Libellé (« Donnée »)</t>
        </is>
      </c>
    </row>
    <row r="81" ht="46.25" customHeight="1" s="53">
      <c r="A81" s="94" t="inlineStr">
        <is>
          <t>RH-16.02</t>
        </is>
      </c>
      <c r="B81" s="67" t="inlineStr">
        <is>
          <t>RH-16</t>
        </is>
      </c>
      <c r="C81" s="95">
        <f>IFERROR(INDEX(Thèmes!$D$2:$D$190,MATCH(B81,Thèmes!$A$2:$A$190,0)),"")</f>
        <v/>
      </c>
      <c r="D81" s="68" t="inlineStr">
        <is>
          <t>R10 · Les reprises</t>
        </is>
      </c>
      <c r="E81" s="68" t="inlineStr">
        <is>
          <t>Cause principale : erreur humaine, consignes incomplètes, pas de procédure, mauvaise information, problème logiciel, problème fournisseur, mauvaise communication, manque de formation</t>
        </is>
      </c>
      <c r="F81" s="68" t="inlineStr">
        <is>
          <t>Choix</t>
        </is>
      </c>
      <c r="G81" s="67" t="inlineStr">
        <is>
          <t>Demandée</t>
        </is>
      </c>
      <c r="H81" s="67" t="inlineStr">
        <is>
          <t>Approfondi</t>
        </is>
      </c>
      <c r="I81" s="99" t="inlineStr">
        <is>
          <t>D49 · si vous avez des reprises</t>
        </is>
      </c>
      <c r="J81" s="68" t="inlineStr">
        <is>
          <t>—</t>
        </is>
      </c>
      <c r="K81" s="67" t="inlineStr">
        <is>
          <t>●</t>
        </is>
      </c>
      <c r="L81" s="67" t="inlineStr">
        <is>
          <t>●</t>
        </is>
      </c>
      <c r="M81" s="67" t="inlineStr">
        <is>
          <t>●</t>
        </is>
      </c>
      <c r="N81" s="68" t="inlineStr">
        <is>
          <t>Levier</t>
        </is>
      </c>
      <c r="O81" s="68" t="inlineStr">
        <is>
          <t>—</t>
        </is>
      </c>
      <c r="P81" s="68" t="inlineStr">
        <is>
          <t>—</t>
        </is>
      </c>
      <c r="Q81" s="68" t="inlineStr">
        <is>
          <t>XR14</t>
        </is>
      </c>
      <c r="R81" s="83" t="inlineStr">
        <is>
          <t>Condition d'affichage · Niveau</t>
        </is>
      </c>
    </row>
    <row r="82" ht="23.85" customHeight="1" s="53">
      <c r="A82" s="94" t="inlineStr">
        <is>
          <t>RH-16.03</t>
        </is>
      </c>
      <c r="B82" s="67" t="inlineStr">
        <is>
          <t>RH-16</t>
        </is>
      </c>
      <c r="C82" s="95">
        <f>IFERROR(INDEX(Thèmes!$D$2:$D$190,MATCH(B82,Thèmes!$A$2:$A$190,0)),"")</f>
        <v/>
      </c>
      <c r="D82" s="68" t="inlineStr">
        <is>
          <t>R10 · Les reprises</t>
        </is>
      </c>
      <c r="E82" s="68" t="inlineStr">
        <is>
          <t>Parmi les reprises : corrections mineures, reprises complètes</t>
        </is>
      </c>
      <c r="F82" s="68" t="inlineStr">
        <is>
          <t>2 nombres</t>
        </is>
      </c>
      <c r="G82" s="67" t="inlineStr">
        <is>
          <t>Demandée</t>
        </is>
      </c>
      <c r="H82" s="67" t="inlineStr">
        <is>
          <t>Approfondi</t>
        </is>
      </c>
      <c r="I82" s="99" t="inlineStr">
        <is>
          <t>D49 · si vous avez des reprises</t>
        </is>
      </c>
      <c r="J82" s="68" t="inlineStr">
        <is>
          <t>—</t>
        </is>
      </c>
      <c r="K82" s="67" t="inlineStr">
        <is>
          <t>●</t>
        </is>
      </c>
      <c r="L82" s="67" t="inlineStr">
        <is>
          <t>●</t>
        </is>
      </c>
      <c r="M82" s="67" t="inlineStr">
        <is>
          <t>●</t>
        </is>
      </c>
      <c r="N82" s="68" t="inlineStr">
        <is>
          <t>Problème</t>
        </is>
      </c>
      <c r="O82" s="68" t="inlineStr">
        <is>
          <t>—</t>
        </is>
      </c>
      <c r="P82" s="68" t="inlineStr">
        <is>
          <t>—</t>
        </is>
      </c>
      <c r="Q82" s="68" t="inlineStr">
        <is>
          <t>Lue par l'IA pour adapter le conseil</t>
        </is>
      </c>
      <c r="R82" s="83" t="inlineStr">
        <is>
          <t>Condition d'affichage</t>
        </is>
      </c>
    </row>
    <row r="83" ht="23.85" customHeight="1" s="53">
      <c r="A83" s="94" t="inlineStr">
        <is>
          <t>RH-16.04</t>
        </is>
      </c>
      <c r="B83" s="67" t="inlineStr">
        <is>
          <t>RH-16</t>
        </is>
      </c>
      <c r="C83" s="95">
        <f>IFERROR(INDEX(Thèmes!$D$2:$D$190,MATCH(B83,Thèmes!$A$2:$A$190,0)),"")</f>
        <v/>
      </c>
      <c r="D83" s="68" t="inlineStr">
        <is>
          <t>R10 · Les reprises</t>
        </is>
      </c>
      <c r="E83" s="68" t="inlineStr">
        <is>
          <t>Fonctions les plus concernées</t>
        </is>
      </c>
      <c r="F83" s="68" t="inlineStr">
        <is>
          <t>Choix</t>
        </is>
      </c>
      <c r="G83" s="67" t="inlineStr">
        <is>
          <t>Demandée</t>
        </is>
      </c>
      <c r="H83" s="67" t="inlineStr">
        <is>
          <t>Approfondi</t>
        </is>
      </c>
      <c r="I83" s="99" t="inlineStr">
        <is>
          <t>D49 · si vous avez des reprises</t>
        </is>
      </c>
      <c r="J83" s="68" t="inlineStr">
        <is>
          <t>—</t>
        </is>
      </c>
      <c r="K83" s="67" t="n"/>
      <c r="L83" s="67" t="inlineStr">
        <is>
          <t>●</t>
        </is>
      </c>
      <c r="M83" s="67" t="inlineStr">
        <is>
          <t>●</t>
        </is>
      </c>
      <c r="N83" s="68" t="inlineStr">
        <is>
          <t>Levier</t>
        </is>
      </c>
      <c r="O83" s="68" t="inlineStr">
        <is>
          <t>—</t>
        </is>
      </c>
      <c r="P83" s="68" t="inlineStr">
        <is>
          <t>—</t>
        </is>
      </c>
      <c r="Q83" s="68" t="inlineStr">
        <is>
          <t>Lue par l'IA pour adapter le conseil</t>
        </is>
      </c>
      <c r="R83" s="83" t="inlineStr">
        <is>
          <t>Condition d'affichage</t>
        </is>
      </c>
    </row>
    <row r="84" ht="15" customHeight="1" s="53">
      <c r="A84" s="81" t="inlineStr">
        <is>
          <t>RH-16.05</t>
        </is>
      </c>
      <c r="B84" s="67" t="inlineStr">
        <is>
          <t>RH-16</t>
        </is>
      </c>
      <c r="C84" s="95">
        <f>IFERROR(INDEX(Thèmes!$D$2:$D$190,MATCH(B84,Thèmes!$A$2:$A$190,0)),"")</f>
        <v/>
      </c>
      <c r="D84" s="68" t="inlineStr">
        <is>
          <t>—</t>
        </is>
      </c>
      <c r="E84" s="68" t="inlineStr">
        <is>
          <t>Temps perdu en reprises par mois</t>
        </is>
      </c>
      <c r="F84" s="68" t="inlineStr">
        <is>
          <t>Heures</t>
        </is>
      </c>
      <c r="G84" s="96" t="inlineStr">
        <is>
          <t>Calculée</t>
        </is>
      </c>
      <c r="H84" s="67" t="inlineStr">
        <is>
          <t>—</t>
        </is>
      </c>
      <c r="I84" s="68" t="inlineStr">
        <is>
          <t>—</t>
        </is>
      </c>
      <c r="J84" s="68" t="inlineStr">
        <is>
          <t>—</t>
        </is>
      </c>
      <c r="K84" s="67" t="inlineStr">
        <is>
          <t>●</t>
        </is>
      </c>
      <c r="L84" s="67" t="inlineStr">
        <is>
          <t>●</t>
        </is>
      </c>
      <c r="M84" s="67" t="inlineStr">
        <is>
          <t>●</t>
        </is>
      </c>
      <c r="N84" s="68" t="inlineStr">
        <is>
          <t>Perte</t>
        </is>
      </c>
      <c r="O84" s="68" t="inlineStr">
        <is>
          <t>Reprises × temps moyen</t>
        </is>
      </c>
      <c r="P84" s="68" t="inlineStr">
        <is>
          <t>FIN-10.01, FIN-10.03</t>
        </is>
      </c>
      <c r="Q84" s="68" t="inlineStr">
        <is>
          <t>XR14</t>
        </is>
      </c>
      <c r="R84" s="83" t="n"/>
    </row>
    <row r="85" ht="57.45" customHeight="1" s="53">
      <c r="A85" s="98" t="inlineStr">
        <is>
          <t>RH-17.01</t>
        </is>
      </c>
      <c r="B85" s="89" t="inlineStr">
        <is>
          <t>RH-17</t>
        </is>
      </c>
      <c r="C85" s="97">
        <f>IFERROR(INDEX(Thèmes!$D$2:$D$190,MATCH(B85,Thèmes!$A$2:$A$190,0)),"")</f>
        <v/>
      </c>
      <c r="D85" s="86" t="inlineStr">
        <is>
          <t>R11 · Les tâches répétitives (tableau)</t>
        </is>
      </c>
      <c r="E85" s="86" t="inlineStr">
        <is>
          <t>Vos 3 tâches répétitives les plus longues : laquelle (ressaisie, copier-coller, reporting, facturation, planification, emails, relances, saisie administrative, documents, réponses clients répétitives), heures par semaine, qui la fait, outil utilisé</t>
        </is>
      </c>
      <c r="F85" s="86" t="inlineStr">
        <is>
          <t>Tableau 3 × 4</t>
        </is>
      </c>
      <c r="G85" s="89" t="inlineStr">
        <is>
          <t>Demandée</t>
        </is>
      </c>
      <c r="H85" s="89" t="inlineStr">
        <is>
          <t>Approfondi</t>
        </is>
      </c>
      <c r="I85" s="86" t="inlineStr">
        <is>
          <t>—</t>
        </is>
      </c>
      <c r="J85" s="86" t="inlineStr">
        <is>
          <t>—</t>
        </is>
      </c>
      <c r="K85" s="89" t="inlineStr">
        <is>
          <t>●</t>
        </is>
      </c>
      <c r="L85" s="89" t="inlineStr">
        <is>
          <t>●</t>
        </is>
      </c>
      <c r="M85" s="89" t="inlineStr">
        <is>
          <t>●</t>
        </is>
      </c>
      <c r="N85" s="86" t="inlineStr">
        <is>
          <t>Levier</t>
        </is>
      </c>
      <c r="O85" s="86" t="inlineStr">
        <is>
          <t>—</t>
        </is>
      </c>
      <c r="P85" s="86" t="inlineStr">
        <is>
          <t>—</t>
        </is>
      </c>
      <c r="Q85" s="86" t="inlineStr">
        <is>
          <t>RH-17.03, RH-17.04, XR07, XR15</t>
        </is>
      </c>
      <c r="R85" s="91" t="inlineStr">
        <is>
          <t>Niveau</t>
        </is>
      </c>
    </row>
    <row r="86" ht="46.25" customHeight="1" s="53">
      <c r="A86" s="81" t="inlineStr">
        <is>
          <t>RH-17.02</t>
        </is>
      </c>
      <c r="B86" s="67" t="inlineStr">
        <is>
          <t>RH-17</t>
        </is>
      </c>
      <c r="C86" s="95">
        <f>IFERROR(INDEX(Thèmes!$D$2:$D$190,MATCH(B86,Thèmes!$A$2:$A$190,0)),"")</f>
        <v/>
      </c>
      <c r="D86" s="68" t="inlineStr">
        <is>
          <t>R11 · Les tâches répétitives (tableau)</t>
        </is>
      </c>
      <c r="E86" s="68" t="inlineStr">
        <is>
          <t>Heures par semaine sur des tâches répétitives, toute l'équipe</t>
        </is>
      </c>
      <c r="F86" s="68" t="inlineStr">
        <is>
          <t>Tranches : 0 · 1-3 h · 3-6 h · 6-10 h · plus de 10 h · je ne sais pas</t>
        </is>
      </c>
      <c r="G86" s="67" t="inlineStr">
        <is>
          <t>Demandée</t>
        </is>
      </c>
      <c r="H86" s="67" t="inlineStr">
        <is>
          <t>Essentiel</t>
        </is>
      </c>
      <c r="I86" s="68" t="inlineStr">
        <is>
          <t>—</t>
        </is>
      </c>
      <c r="J86" s="68" t="inlineStr">
        <is>
          <t>—</t>
        </is>
      </c>
      <c r="K86" s="67" t="inlineStr">
        <is>
          <t>●</t>
        </is>
      </c>
      <c r="L86" s="67" t="inlineStr">
        <is>
          <t>●</t>
        </is>
      </c>
      <c r="M86" s="67" t="inlineStr">
        <is>
          <t>●</t>
        </is>
      </c>
      <c r="N86" s="68" t="inlineStr">
        <is>
          <t>Capacité</t>
        </is>
      </c>
      <c r="O86" s="68" t="inlineStr">
        <is>
          <t>—</t>
        </is>
      </c>
      <c r="P86" s="68" t="inlineStr">
        <is>
          <t>—</t>
        </is>
      </c>
      <c r="Q86" s="68" t="inlineStr">
        <is>
          <t>RH-17.05</t>
        </is>
      </c>
      <c r="R86" s="83" t="n"/>
    </row>
    <row r="87" ht="23.85" customHeight="1" s="53">
      <c r="A87" s="81" t="inlineStr">
        <is>
          <t>RH-17.03</t>
        </is>
      </c>
      <c r="B87" s="67" t="inlineStr">
        <is>
          <t>RH-17</t>
        </is>
      </c>
      <c r="C87" s="95">
        <f>IFERROR(INDEX(Thèmes!$D$2:$D$190,MATCH(B87,Thèmes!$A$2:$A$190,0)),"")</f>
        <v/>
      </c>
      <c r="D87" s="68" t="inlineStr">
        <is>
          <t>—</t>
        </is>
      </c>
      <c r="E87" s="68" t="inlineStr">
        <is>
          <t>Chaque tâche classée : à supprimer, automatiser, confier ou standardiser</t>
        </is>
      </c>
      <c r="F87" s="68" t="inlineStr">
        <is>
          <t>Choix par tâche</t>
        </is>
      </c>
      <c r="G87" s="96" t="inlineStr">
        <is>
          <t>Calculée</t>
        </is>
      </c>
      <c r="H87" s="67" t="inlineStr">
        <is>
          <t>—</t>
        </is>
      </c>
      <c r="I87" s="68" t="inlineStr">
        <is>
          <t>—</t>
        </is>
      </c>
      <c r="J87" s="68" t="inlineStr">
        <is>
          <t>—</t>
        </is>
      </c>
      <c r="K87" s="67" t="inlineStr">
        <is>
          <t>●</t>
        </is>
      </c>
      <c r="L87" s="67" t="inlineStr">
        <is>
          <t>●</t>
        </is>
      </c>
      <c r="M87" s="67" t="inlineStr">
        <is>
          <t>●</t>
        </is>
      </c>
      <c r="N87" s="68" t="inlineStr">
        <is>
          <t>Levier</t>
        </is>
      </c>
      <c r="O87" s="68" t="inlineStr">
        <is>
          <t>Classée par l'IA selon le type de tâche et l'outil déclaré</t>
        </is>
      </c>
      <c r="P87" s="68" t="inlineStr">
        <is>
          <t>RH-17.01</t>
        </is>
      </c>
      <c r="Q87" s="68" t="inlineStr">
        <is>
          <t>RH-17.04</t>
        </is>
      </c>
      <c r="R87" s="83" t="n"/>
    </row>
    <row r="88" ht="23.85" customHeight="1" s="53">
      <c r="A88" s="81" t="inlineStr">
        <is>
          <t>RH-17.04</t>
        </is>
      </c>
      <c r="B88" s="67" t="inlineStr">
        <is>
          <t>RH-17</t>
        </is>
      </c>
      <c r="C88" s="95">
        <f>IFERROR(INDEX(Thèmes!$D$2:$D$190,MATCH(B88,Thèmes!$A$2:$A$190,0)),"")</f>
        <v/>
      </c>
      <c r="D88" s="68" t="inlineStr">
        <is>
          <t>—</t>
        </is>
      </c>
      <c r="E88" s="68" t="inlineStr">
        <is>
          <t>Heures récupérables par l'automatisation</t>
        </is>
      </c>
      <c r="F88" s="68" t="inlineStr">
        <is>
          <t>Heures par semaine</t>
        </is>
      </c>
      <c r="G88" s="96" t="inlineStr">
        <is>
          <t>Calculée</t>
        </is>
      </c>
      <c r="H88" s="67" t="inlineStr">
        <is>
          <t>—</t>
        </is>
      </c>
      <c r="I88" s="68" t="inlineStr">
        <is>
          <t>—</t>
        </is>
      </c>
      <c r="J88" s="68" t="inlineStr">
        <is>
          <t>—</t>
        </is>
      </c>
      <c r="K88" s="67" t="inlineStr">
        <is>
          <t>●</t>
        </is>
      </c>
      <c r="L88" s="67" t="inlineStr">
        <is>
          <t>●</t>
        </is>
      </c>
      <c r="M88" s="67" t="inlineStr">
        <is>
          <t>●</t>
        </is>
      </c>
      <c r="N88" s="68" t="inlineStr">
        <is>
          <t>Levier</t>
        </is>
      </c>
      <c r="O88" s="68" t="inlineStr">
        <is>
          <t>Heures des tâches classées « automatiser » × part automatisable prudente</t>
        </is>
      </c>
      <c r="P88" s="68" t="inlineStr">
        <is>
          <t>RH-17.01, RH-17.03</t>
        </is>
      </c>
      <c r="Q88" s="68" t="inlineStr">
        <is>
          <t>XR15, XR27</t>
        </is>
      </c>
      <c r="R88" s="83" t="n"/>
    </row>
    <row r="89" ht="35.05" customHeight="1" s="53">
      <c r="A89" s="81" t="inlineStr">
        <is>
          <t>RH-17.05</t>
        </is>
      </c>
      <c r="B89" s="67" t="inlineStr">
        <is>
          <t>RH-17</t>
        </is>
      </c>
      <c r="C89" s="95">
        <f>IFERROR(INDEX(Thèmes!$D$2:$D$190,MATCH(B89,Thèmes!$A$2:$A$190,0)),"")</f>
        <v/>
      </c>
      <c r="D89" s="68" t="inlineStr">
        <is>
          <t>—</t>
        </is>
      </c>
      <c r="E89" s="68" t="inlineStr">
        <is>
          <t>Part du temps de l'équipe passée sur des tâches répétitives</t>
        </is>
      </c>
      <c r="F89" s="68" t="inlineStr">
        <is>
          <t>%</t>
        </is>
      </c>
      <c r="G89" s="96" t="inlineStr">
        <is>
          <t>Calculée</t>
        </is>
      </c>
      <c r="H89" s="67" t="inlineStr">
        <is>
          <t>—</t>
        </is>
      </c>
      <c r="I89" s="68" t="inlineStr">
        <is>
          <t>—</t>
        </is>
      </c>
      <c r="J89" s="68" t="inlineStr">
        <is>
          <t>—</t>
        </is>
      </c>
      <c r="K89" s="67" t="inlineStr">
        <is>
          <t>●</t>
        </is>
      </c>
      <c r="L89" s="67" t="inlineStr">
        <is>
          <t>●</t>
        </is>
      </c>
      <c r="M89" s="67" t="inlineStr">
        <is>
          <t>●</t>
        </is>
      </c>
      <c r="N89" s="68" t="inlineStr">
        <is>
          <t>Problème</t>
        </is>
      </c>
      <c r="O89" s="68" t="inlineStr">
        <is>
          <t>Heures répétitives ÷ heures travaillées de l'équipe</t>
        </is>
      </c>
      <c r="P89" s="68" t="inlineStr">
        <is>
          <t>RH-17.02, RH-06.02, Inscription · effectif, RH-05.01</t>
        </is>
      </c>
      <c r="Q89" s="68" t="inlineStr">
        <is>
          <t>XR15</t>
        </is>
      </c>
      <c r="R89" s="83" t="n"/>
    </row>
    <row r="90" ht="23.85" customHeight="1" s="53">
      <c r="A90" s="85" t="inlineStr">
        <is>
          <t>RH-18.01</t>
        </is>
      </c>
      <c r="B90" s="89" t="inlineStr">
        <is>
          <t>RH-18</t>
        </is>
      </c>
      <c r="C90" s="97">
        <f>IFERROR(INDEX(Thèmes!$D$2:$D$190,MATCH(B90,Thèmes!$A$2:$A$190,0)),"")</f>
        <v/>
      </c>
      <c r="D90" s="86" t="inlineStr">
        <is>
          <t>R12 · Réunions et échanges</t>
        </is>
      </c>
      <c r="E90" s="86" t="inlineStr">
        <is>
          <t>Les priorités de la semaine sont partagées avec l'équipe : par écrit, à l'oral, pas vraiment</t>
        </is>
      </c>
      <c r="F90" s="86" t="inlineStr">
        <is>
          <t>Choix</t>
        </is>
      </c>
      <c r="G90" s="89" t="inlineStr">
        <is>
          <t>Demandée</t>
        </is>
      </c>
      <c r="H90" s="89" t="inlineStr">
        <is>
          <t>Essentiel</t>
        </is>
      </c>
      <c r="I90" s="86" t="inlineStr">
        <is>
          <t>—</t>
        </is>
      </c>
      <c r="J90" s="86" t="inlineStr">
        <is>
          <t>—</t>
        </is>
      </c>
      <c r="K90" s="89" t="n"/>
      <c r="L90" s="89" t="inlineStr">
        <is>
          <t>●</t>
        </is>
      </c>
      <c r="M90" s="89" t="inlineStr">
        <is>
          <t>●</t>
        </is>
      </c>
      <c r="N90" s="86" t="inlineStr">
        <is>
          <t>Levier</t>
        </is>
      </c>
      <c r="O90" s="86" t="inlineStr">
        <is>
          <t>—</t>
        </is>
      </c>
      <c r="P90" s="86" t="inlineStr">
        <is>
          <t>—</t>
        </is>
      </c>
      <c r="Q90" s="86" t="inlineStr">
        <is>
          <t>Notée directement (couleur du thème)</t>
        </is>
      </c>
      <c r="R90" s="91" t="n"/>
    </row>
    <row r="91" ht="23.85" customHeight="1" s="53">
      <c r="A91" s="98" t="inlineStr">
        <is>
          <t>RH-19.01</t>
        </is>
      </c>
      <c r="B91" s="89" t="inlineStr">
        <is>
          <t>RH-19</t>
        </is>
      </c>
      <c r="C91" s="97">
        <f>IFERROR(INDEX(Thèmes!$D$2:$D$190,MATCH(B91,Thèmes!$A$2:$A$190,0)),"")</f>
        <v/>
      </c>
      <c r="D91" s="86" t="inlineStr">
        <is>
          <t>R12 · Réunions et échanges</t>
        </is>
      </c>
      <c r="E91" s="86" t="inlineStr">
        <is>
          <t>Réunions d'équipe : nombre par mois, durée moyenne, participants — déclencheur D50</t>
        </is>
      </c>
      <c r="F91" s="86" t="inlineStr">
        <is>
          <t>3 nombres</t>
        </is>
      </c>
      <c r="G91" s="89" t="inlineStr">
        <is>
          <t>Demandée</t>
        </is>
      </c>
      <c r="H91" s="89" t="inlineStr">
        <is>
          <t>Essentiel</t>
        </is>
      </c>
      <c r="I91" s="86" t="inlineStr">
        <is>
          <t>—</t>
        </is>
      </c>
      <c r="J91" s="86" t="inlineStr">
        <is>
          <t>—</t>
        </is>
      </c>
      <c r="K91" s="89" t="n"/>
      <c r="L91" s="89" t="inlineStr">
        <is>
          <t>●</t>
        </is>
      </c>
      <c r="M91" s="89" t="inlineStr">
        <is>
          <t>●</t>
        </is>
      </c>
      <c r="N91" s="86" t="inlineStr">
        <is>
          <t>Capacité</t>
        </is>
      </c>
      <c r="O91" s="86" t="inlineStr">
        <is>
          <t>—</t>
        </is>
      </c>
      <c r="P91" s="86" t="inlineStr">
        <is>
          <t>—</t>
        </is>
      </c>
      <c r="Q91" s="86" t="inlineStr">
        <is>
          <t>RH-19.05, RH-19.06</t>
        </is>
      </c>
      <c r="R91" s="91" t="inlineStr">
        <is>
          <t>Libellé (« Donnée »)</t>
        </is>
      </c>
    </row>
    <row r="92" ht="23.85" customHeight="1" s="53">
      <c r="A92" s="94" t="inlineStr">
        <is>
          <t>RH-19.02</t>
        </is>
      </c>
      <c r="B92" s="67" t="inlineStr">
        <is>
          <t>RH-19</t>
        </is>
      </c>
      <c r="C92" s="95">
        <f>IFERROR(INDEX(Thèmes!$D$2:$D$190,MATCH(B92,Thèmes!$A$2:$A$190,0)),"")</f>
        <v/>
      </c>
      <c r="D92" s="68" t="inlineStr">
        <is>
          <t>R12 · Réunions et échanges</t>
        </is>
      </c>
      <c r="E92" s="68" t="inlineStr">
        <is>
          <t>Ces réunions ont un ordre du jour et finissent par des décisions notées : toujours, parfois, jamais</t>
        </is>
      </c>
      <c r="F92" s="68" t="inlineStr">
        <is>
          <t>Choix</t>
        </is>
      </c>
      <c r="G92" s="67" t="inlineStr">
        <is>
          <t>Demandée</t>
        </is>
      </c>
      <c r="H92" s="67" t="inlineStr">
        <is>
          <t>Essentiel</t>
        </is>
      </c>
      <c r="I92" s="99" t="inlineStr">
        <is>
          <t>D50 · si vous faites des réunions</t>
        </is>
      </c>
      <c r="J92" s="68" t="inlineStr">
        <is>
          <t>—</t>
        </is>
      </c>
      <c r="K92" s="67" t="n"/>
      <c r="L92" s="67" t="n"/>
      <c r="M92" s="67" t="inlineStr">
        <is>
          <t>●</t>
        </is>
      </c>
      <c r="N92" s="68" t="inlineStr">
        <is>
          <t>Levier</t>
        </is>
      </c>
      <c r="O92" s="68" t="inlineStr">
        <is>
          <t>—</t>
        </is>
      </c>
      <c r="P92" s="68" t="inlineStr">
        <is>
          <t>—</t>
        </is>
      </c>
      <c r="Q92" s="68" t="inlineStr">
        <is>
          <t>RH-19.06</t>
        </is>
      </c>
      <c r="R92" s="83" t="inlineStr">
        <is>
          <t>Condition d'affichage</t>
        </is>
      </c>
    </row>
    <row r="93" ht="23.85" customHeight="1" s="53">
      <c r="A93" s="81" t="inlineStr">
        <is>
          <t>RH-19.03</t>
        </is>
      </c>
      <c r="B93" s="67" t="inlineStr">
        <is>
          <t>RH-19</t>
        </is>
      </c>
      <c r="C93" s="95">
        <f>IFERROR(INDEX(Thèmes!$D$2:$D$190,MATCH(B93,Thèmes!$A$2:$A$190,0)),"")</f>
        <v/>
      </c>
      <c r="D93" s="68" t="inlineStr">
        <is>
          <t>R12 · Réunions et échanges</t>
        </is>
      </c>
      <c r="E93" s="68" t="inlineStr">
        <is>
          <t>Entretiens individuels : jamais, une fois par an, chaque trimestre, chaque mois — et date du dernier</t>
        </is>
      </c>
      <c r="F93" s="68" t="inlineStr">
        <is>
          <t>Choix + date</t>
        </is>
      </c>
      <c r="G93" s="67" t="inlineStr">
        <is>
          <t>Demandée</t>
        </is>
      </c>
      <c r="H93" s="67" t="inlineStr">
        <is>
          <t>Essentiel</t>
        </is>
      </c>
      <c r="I93" s="68" t="inlineStr">
        <is>
          <t>—</t>
        </is>
      </c>
      <c r="J93" s="68" t="inlineStr">
        <is>
          <t>—</t>
        </is>
      </c>
      <c r="K93" s="67" t="n"/>
      <c r="L93" s="67" t="inlineStr">
        <is>
          <t>●</t>
        </is>
      </c>
      <c r="M93" s="67" t="inlineStr">
        <is>
          <t>●</t>
        </is>
      </c>
      <c r="N93" s="68" t="inlineStr">
        <is>
          <t>Levier</t>
        </is>
      </c>
      <c r="O93" s="68" t="inlineStr">
        <is>
          <t>—</t>
        </is>
      </c>
      <c r="P93" s="68" t="inlineStr">
        <is>
          <t>—</t>
        </is>
      </c>
      <c r="Q93" s="68" t="inlineStr">
        <is>
          <t>RH-19.06</t>
        </is>
      </c>
      <c r="R93" s="83" t="n"/>
    </row>
    <row r="94" ht="46.25" customHeight="1" s="53">
      <c r="A94" s="94" t="inlineStr">
        <is>
          <t>RH-19.04</t>
        </is>
      </c>
      <c r="B94" s="67" t="inlineStr">
        <is>
          <t>RH-19</t>
        </is>
      </c>
      <c r="C94" s="95">
        <f>IFERROR(INDEX(Thèmes!$D$2:$D$190,MATCH(B94,Thèmes!$A$2:$A$190,0)),"")</f>
        <v/>
      </c>
      <c r="D94" s="68" t="inlineStr">
        <is>
          <t>R12 · Réunions et échanges</t>
        </is>
      </c>
      <c r="E94" s="68" t="inlineStr">
        <is>
          <t>Part des réunions vraiment utiles selon vous</t>
        </is>
      </c>
      <c r="F94" s="68" t="inlineStr">
        <is>
          <t>Tranches : moins de 10 % · 10-25 % · 25-50 % · plus de 50 % · je ne sais pas</t>
        </is>
      </c>
      <c r="G94" s="67" t="inlineStr">
        <is>
          <t>Demandée</t>
        </is>
      </c>
      <c r="H94" s="67" t="inlineStr">
        <is>
          <t>Approfondi</t>
        </is>
      </c>
      <c r="I94" s="99" t="inlineStr">
        <is>
          <t>D50 · si vous faites des réunions</t>
        </is>
      </c>
      <c r="J94" s="68" t="inlineStr">
        <is>
          <t>—</t>
        </is>
      </c>
      <c r="K94" s="67" t="n"/>
      <c r="L94" s="67" t="n"/>
      <c r="M94" s="67" t="inlineStr">
        <is>
          <t>●</t>
        </is>
      </c>
      <c r="N94" s="68" t="inlineStr">
        <is>
          <t>Problème</t>
        </is>
      </c>
      <c r="O94" s="68" t="inlineStr">
        <is>
          <t>—</t>
        </is>
      </c>
      <c r="P94" s="68" t="inlineStr">
        <is>
          <t>—</t>
        </is>
      </c>
      <c r="Q94" s="68" t="inlineStr">
        <is>
          <t>XR16</t>
        </is>
      </c>
      <c r="R94" s="83" t="inlineStr">
        <is>
          <t>Condition d'affichage</t>
        </is>
      </c>
    </row>
    <row r="95" ht="23.85" customHeight="1" s="53">
      <c r="A95" s="81" t="inlineStr">
        <is>
          <t>RH-19.05</t>
        </is>
      </c>
      <c r="B95" s="67" t="inlineStr">
        <is>
          <t>RH-19</t>
        </is>
      </c>
      <c r="C95" s="95">
        <f>IFERROR(INDEX(Thèmes!$D$2:$D$190,MATCH(B95,Thèmes!$A$2:$A$190,0)),"")</f>
        <v/>
      </c>
      <c r="D95" s="68" t="inlineStr">
        <is>
          <t>—</t>
        </is>
      </c>
      <c r="E95" s="68" t="inlineStr">
        <is>
          <t>Temps total passé en réunion par mois, toutes personnes comprises</t>
        </is>
      </c>
      <c r="F95" s="68" t="inlineStr">
        <is>
          <t>Heures</t>
        </is>
      </c>
      <c r="G95" s="96" t="inlineStr">
        <is>
          <t>Calculée</t>
        </is>
      </c>
      <c r="H95" s="67" t="inlineStr">
        <is>
          <t>—</t>
        </is>
      </c>
      <c r="I95" s="68" t="inlineStr">
        <is>
          <t>—</t>
        </is>
      </c>
      <c r="J95" s="68" t="inlineStr">
        <is>
          <t>—</t>
        </is>
      </c>
      <c r="K95" s="67" t="n"/>
      <c r="L95" s="67" t="inlineStr">
        <is>
          <t>●</t>
        </is>
      </c>
      <c r="M95" s="67" t="inlineStr">
        <is>
          <t>●</t>
        </is>
      </c>
      <c r="N95" s="68" t="inlineStr">
        <is>
          <t>Capacité</t>
        </is>
      </c>
      <c r="O95" s="68" t="inlineStr">
        <is>
          <t>Réunions × durée × participants</t>
        </is>
      </c>
      <c r="P95" s="68" t="inlineStr">
        <is>
          <t>RH-19.01</t>
        </is>
      </c>
      <c r="Q95" s="68" t="inlineStr">
        <is>
          <t>RH-19.06, XR16</t>
        </is>
      </c>
      <c r="R95" s="83" t="n"/>
    </row>
    <row r="96" ht="46.25" customHeight="1" s="53">
      <c r="A96" s="81" t="inlineStr">
        <is>
          <t>RH-19.06</t>
        </is>
      </c>
      <c r="B96" s="67" t="inlineStr">
        <is>
          <t>RH-19</t>
        </is>
      </c>
      <c r="C96" s="95">
        <f>IFERROR(INDEX(Thèmes!$D$2:$D$190,MATCH(B96,Thèmes!$A$2:$A$190,0)),"")</f>
        <v/>
      </c>
      <c r="D96" s="68" t="inlineStr">
        <is>
          <t>—</t>
        </is>
      </c>
      <c r="E96" s="68" t="inlineStr">
        <is>
          <t>Absence de communication, réunions utiles, ou surcharge de réunions</t>
        </is>
      </c>
      <c r="F96" s="68" t="inlineStr">
        <is>
          <t>Choix</t>
        </is>
      </c>
      <c r="G96" s="96" t="inlineStr">
        <is>
          <t>Calculée</t>
        </is>
      </c>
      <c r="H96" s="67" t="inlineStr">
        <is>
          <t>—</t>
        </is>
      </c>
      <c r="I96" s="68" t="inlineStr">
        <is>
          <t>—</t>
        </is>
      </c>
      <c r="J96" s="68" t="inlineStr">
        <is>
          <t>—</t>
        </is>
      </c>
      <c r="K96" s="67" t="n"/>
      <c r="L96" s="67" t="inlineStr">
        <is>
          <t>●</t>
        </is>
      </c>
      <c r="M96" s="67" t="inlineStr">
        <is>
          <t>●</t>
        </is>
      </c>
      <c r="N96" s="68" t="inlineStr">
        <is>
          <t>Problème</t>
        </is>
      </c>
      <c r="O96" s="68" t="inlineStr">
        <is>
          <t>Absence : ni réunion ni entretien. Surcharge : plus de 10 % du temps en réunion et peu de décisions. Sinon : utiles (seuils à valider). Plus de réunions n'est jamais lu comme un meilleur management</t>
        </is>
      </c>
      <c r="P96" s="68" t="inlineStr">
        <is>
          <t>RH-19.01, RH-19.05, RH-19.02, RH-19.03, RH-06.02</t>
        </is>
      </c>
      <c r="Q96" s="68" t="inlineStr">
        <is>
          <t>XR16</t>
        </is>
      </c>
      <c r="R96" s="83" t="n"/>
    </row>
    <row r="97" ht="23.85" customHeight="1" s="53">
      <c r="A97" s="85" t="inlineStr">
        <is>
          <t>RH-20.01</t>
        </is>
      </c>
      <c r="B97" s="89" t="inlineStr">
        <is>
          <t>RH-20</t>
        </is>
      </c>
      <c r="C97" s="97">
        <f>IFERROR(INDEX(Thèmes!$D$2:$D$190,MATCH(B97,Thèmes!$A$2:$A$190,0)),"")</f>
        <v/>
      </c>
      <c r="D97" s="86" t="inlineStr">
        <is>
          <t>R12 · Réunions et échanges</t>
        </is>
      </c>
      <c r="E97" s="86" t="inlineStr">
        <is>
          <t>Retour à chacun sur ce qui va et ce qui ne va pas : chaque semaine, chaque mois, rarement</t>
        </is>
      </c>
      <c r="F97" s="86" t="inlineStr">
        <is>
          <t>Choix</t>
        </is>
      </c>
      <c r="G97" s="89" t="inlineStr">
        <is>
          <t>Demandée</t>
        </is>
      </c>
      <c r="H97" s="89" t="inlineStr">
        <is>
          <t>Essentiel</t>
        </is>
      </c>
      <c r="I97" s="86" t="inlineStr">
        <is>
          <t>—</t>
        </is>
      </c>
      <c r="J97" s="86" t="inlineStr">
        <is>
          <t>—</t>
        </is>
      </c>
      <c r="K97" s="89" t="n"/>
      <c r="L97" s="89" t="inlineStr">
        <is>
          <t>●</t>
        </is>
      </c>
      <c r="M97" s="89" t="inlineStr">
        <is>
          <t>●</t>
        </is>
      </c>
      <c r="N97" s="86" t="inlineStr">
        <is>
          <t>Levier</t>
        </is>
      </c>
      <c r="O97" s="86" t="inlineStr">
        <is>
          <t>—</t>
        </is>
      </c>
      <c r="P97" s="86" t="inlineStr">
        <is>
          <t>—</t>
        </is>
      </c>
      <c r="Q97" s="86" t="inlineStr">
        <is>
          <t>Notée directement (couleur du thème)</t>
        </is>
      </c>
      <c r="R97" s="91" t="n"/>
    </row>
    <row r="98" ht="23.85" customHeight="1" s="53">
      <c r="A98" s="85" t="inlineStr">
        <is>
          <t>RH-21.01</t>
        </is>
      </c>
      <c r="B98" s="89" t="inlineStr">
        <is>
          <t>RH-21</t>
        </is>
      </c>
      <c r="C98" s="97">
        <f>IFERROR(INDEX(Thèmes!$D$2:$D$190,MATCH(B98,Thèmes!$A$2:$A$190,0)),"")</f>
        <v/>
      </c>
      <c r="D98" s="86" t="inlineStr">
        <is>
          <t>R12 · Réunions et échanges</t>
        </is>
      </c>
      <c r="E98" s="86" t="inlineStr">
        <is>
          <t>Quand l'équipe a besoin de vous, elle obtient une réponse : dans l'heure, dans la journée, plus tard</t>
        </is>
      </c>
      <c r="F98" s="86" t="inlineStr">
        <is>
          <t>Choix</t>
        </is>
      </c>
      <c r="G98" s="89" t="inlineStr">
        <is>
          <t>Demandée</t>
        </is>
      </c>
      <c r="H98" s="89" t="inlineStr">
        <is>
          <t>Essentiel</t>
        </is>
      </c>
      <c r="I98" s="86" t="inlineStr">
        <is>
          <t>—</t>
        </is>
      </c>
      <c r="J98" s="86" t="inlineStr">
        <is>
          <t>—</t>
        </is>
      </c>
      <c r="K98" s="89" t="n"/>
      <c r="L98" s="89" t="inlineStr">
        <is>
          <t>●</t>
        </is>
      </c>
      <c r="M98" s="89" t="inlineStr">
        <is>
          <t>●</t>
        </is>
      </c>
      <c r="N98" s="86" t="inlineStr">
        <is>
          <t>Problème</t>
        </is>
      </c>
      <c r="O98" s="86" t="inlineStr">
        <is>
          <t>—</t>
        </is>
      </c>
      <c r="P98" s="86" t="inlineStr">
        <is>
          <t>—</t>
        </is>
      </c>
      <c r="Q98" s="86" t="inlineStr">
        <is>
          <t>Notée directement (couleur du thème)</t>
        </is>
      </c>
      <c r="R98" s="91" t="n"/>
    </row>
    <row r="99" ht="35.05" customHeight="1" s="53">
      <c r="A99" s="85" t="inlineStr">
        <is>
          <t>RH-22.01</t>
        </is>
      </c>
      <c r="B99" s="89" t="inlineStr">
        <is>
          <t>RH-22</t>
        </is>
      </c>
      <c r="C99" s="97">
        <f>IFERROR(INDEX(Thèmes!$D$2:$D$190,MATCH(B99,Thèmes!$A$2:$A$190,0)),"")</f>
        <v/>
      </c>
      <c r="D99" s="86" t="inlineStr">
        <is>
          <t>R12 · Réunions et échanges</t>
        </is>
      </c>
      <c r="E99" s="86" t="inlineStr">
        <is>
          <t>Moyen prévu pour que l'équipe signale un problème ou une idée (réunion, outil, boîte à idées), et idées appliquées sur 6 mois</t>
        </is>
      </c>
      <c r="F99" s="86" t="inlineStr">
        <is>
          <t>Oui / non + nombre</t>
        </is>
      </c>
      <c r="G99" s="89" t="inlineStr">
        <is>
          <t>Demandée</t>
        </is>
      </c>
      <c r="H99" s="89" t="inlineStr">
        <is>
          <t>Essentiel</t>
        </is>
      </c>
      <c r="I99" s="86" t="inlineStr">
        <is>
          <t>—</t>
        </is>
      </c>
      <c r="J99" s="86" t="inlineStr">
        <is>
          <t>Période adaptée : depuis la création si moins de 6 mois</t>
        </is>
      </c>
      <c r="K99" s="89" t="n"/>
      <c r="L99" s="89" t="n"/>
      <c r="M99" s="89" t="inlineStr">
        <is>
          <t>●</t>
        </is>
      </c>
      <c r="N99" s="86" t="inlineStr">
        <is>
          <t>Levier</t>
        </is>
      </c>
      <c r="O99" s="86" t="inlineStr">
        <is>
          <t>—</t>
        </is>
      </c>
      <c r="P99" s="86" t="inlineStr">
        <is>
          <t>—</t>
        </is>
      </c>
      <c r="Q99" s="86" t="inlineStr">
        <is>
          <t>Notée directement (couleur du thème)</t>
        </is>
      </c>
      <c r="R99" s="91" t="n"/>
    </row>
    <row r="100" ht="35.05" customHeight="1" s="53">
      <c r="A100" s="85" t="inlineStr">
        <is>
          <t>RH-23.01</t>
        </is>
      </c>
      <c r="B100" s="89" t="inlineStr">
        <is>
          <t>RH-23</t>
        </is>
      </c>
      <c r="C100" s="97">
        <f>IFERROR(INDEX(Thèmes!$D$2:$D$190,MATCH(B100,Thèmes!$A$2:$A$190,0)),"")</f>
        <v/>
      </c>
      <c r="D100" s="86" t="inlineStr">
        <is>
          <t>R13 · Compétences et formation</t>
        </is>
      </c>
      <c r="E100" s="86" t="inlineStr">
        <is>
          <t>Compétences nécessaires que personne n'a dans l'entreprise, et comment vous faites aujourd'hui : sous-traitance, vous-même, pas fait</t>
        </is>
      </c>
      <c r="F100" s="86" t="inlineStr">
        <is>
          <t>Liste + choix</t>
        </is>
      </c>
      <c r="G100" s="89" t="inlineStr">
        <is>
          <t>Demandée</t>
        </is>
      </c>
      <c r="H100" s="89" t="inlineStr">
        <is>
          <t>Essentiel</t>
        </is>
      </c>
      <c r="I100" s="86" t="inlineStr">
        <is>
          <t>—</t>
        </is>
      </c>
      <c r="J100" s="86" t="inlineStr">
        <is>
          <t>—</t>
        </is>
      </c>
      <c r="K100" s="89" t="inlineStr">
        <is>
          <t>●</t>
        </is>
      </c>
      <c r="L100" s="89" t="inlineStr">
        <is>
          <t>●</t>
        </is>
      </c>
      <c r="M100" s="89" t="inlineStr">
        <is>
          <t>●</t>
        </is>
      </c>
      <c r="N100" s="86" t="inlineStr">
        <is>
          <t>Risque</t>
        </is>
      </c>
      <c r="O100" s="86" t="inlineStr">
        <is>
          <t>—</t>
        </is>
      </c>
      <c r="P100" s="86" t="inlineStr">
        <is>
          <t>—</t>
        </is>
      </c>
      <c r="Q100" s="86" t="inlineStr">
        <is>
          <t>Notée directement (couleur du thème)</t>
        </is>
      </c>
      <c r="R100" s="91" t="n"/>
    </row>
    <row r="101" ht="23.85" customHeight="1" s="53">
      <c r="A101" s="85" t="inlineStr">
        <is>
          <t>RH-24.01</t>
        </is>
      </c>
      <c r="B101" s="89" t="inlineStr">
        <is>
          <t>RH-24</t>
        </is>
      </c>
      <c r="C101" s="97">
        <f>IFERROR(INDEX(Thèmes!$D$2:$D$190,MATCH(B101,Thèmes!$A$2:$A$190,0)),"")</f>
        <v/>
      </c>
      <c r="D101" s="86" t="inlineStr">
        <is>
          <t>R13 · Compétences et formation</t>
        </is>
      </c>
      <c r="E101" s="86" t="inlineStr">
        <is>
          <t>Besoins de formation identifiés pour chacun : oui, pour certains, non</t>
        </is>
      </c>
      <c r="F101" s="86" t="inlineStr">
        <is>
          <t>Choix</t>
        </is>
      </c>
      <c r="G101" s="89" t="inlineStr">
        <is>
          <t>Demandée</t>
        </is>
      </c>
      <c r="H101" s="89" t="inlineStr">
        <is>
          <t>Essentiel</t>
        </is>
      </c>
      <c r="I101" s="86" t="inlineStr">
        <is>
          <t>—</t>
        </is>
      </c>
      <c r="J101" s="86" t="inlineStr">
        <is>
          <t>—</t>
        </is>
      </c>
      <c r="K101" s="89" t="n"/>
      <c r="L101" s="89" t="n"/>
      <c r="M101" s="89" t="inlineStr">
        <is>
          <t>●</t>
        </is>
      </c>
      <c r="N101" s="86" t="inlineStr">
        <is>
          <t>Levier</t>
        </is>
      </c>
      <c r="O101" s="86" t="inlineStr">
        <is>
          <t>—</t>
        </is>
      </c>
      <c r="P101" s="86" t="inlineStr">
        <is>
          <t>—</t>
        </is>
      </c>
      <c r="Q101" s="86" t="inlineStr">
        <is>
          <t>Notée directement (couleur du thème)</t>
        </is>
      </c>
      <c r="R101" s="91" t="n"/>
    </row>
    <row r="102" ht="35.05" customHeight="1" s="53">
      <c r="A102" s="98" t="inlineStr">
        <is>
          <t>RH-25.01</t>
        </is>
      </c>
      <c r="B102" s="89" t="inlineStr">
        <is>
          <t>RH-25</t>
        </is>
      </c>
      <c r="C102" s="97">
        <f>IFERROR(INDEX(Thèmes!$D$2:$D$190,MATCH(B102,Thèmes!$A$2:$A$190,0)),"")</f>
        <v/>
      </c>
      <c r="D102" s="86" t="inlineStr">
        <is>
          <t>R13 · Compétences et formation</t>
        </is>
      </c>
      <c r="E102" s="86" t="inlineStr">
        <is>
          <t>Jours de formation sur les 12 derniers mois, toute l'équipe, et transmission organisée entre collègues (oui / non) — déclencheur D53</t>
        </is>
      </c>
      <c r="F102" s="86" t="inlineStr">
        <is>
          <t>Nombre + oui / non</t>
        </is>
      </c>
      <c r="G102" s="89" t="inlineStr">
        <is>
          <t>Demandée</t>
        </is>
      </c>
      <c r="H102" s="89" t="inlineStr">
        <is>
          <t>Essentiel</t>
        </is>
      </c>
      <c r="I102" s="86" t="inlineStr">
        <is>
          <t>—</t>
        </is>
      </c>
      <c r="J102" s="86" t="inlineStr">
        <is>
          <t>Période adaptée : depuis la création si moins de 12 mois</t>
        </is>
      </c>
      <c r="K102" s="89" t="n"/>
      <c r="L102" s="89" t="inlineStr">
        <is>
          <t>●</t>
        </is>
      </c>
      <c r="M102" s="89" t="inlineStr">
        <is>
          <t>●</t>
        </is>
      </c>
      <c r="N102" s="86" t="inlineStr">
        <is>
          <t>Levier</t>
        </is>
      </c>
      <c r="O102" s="86" t="inlineStr">
        <is>
          <t>—</t>
        </is>
      </c>
      <c r="P102" s="86" t="inlineStr">
        <is>
          <t>—</t>
        </is>
      </c>
      <c r="Q102" s="86" t="inlineStr">
        <is>
          <t>Notée directement (couleur du thème)</t>
        </is>
      </c>
      <c r="R102" s="91" t="inlineStr">
        <is>
          <t>Libellé (« Donnée »)</t>
        </is>
      </c>
    </row>
    <row r="103" ht="15" customHeight="1" s="53">
      <c r="A103" s="92" t="inlineStr">
        <is>
          <t>RH-25.02</t>
        </is>
      </c>
      <c r="B103" s="67" t="inlineStr">
        <is>
          <t>RH-25</t>
        </is>
      </c>
      <c r="C103" s="95">
        <f>IFERROR(INDEX(Thèmes!$D$2:$D$190,MATCH(B103,Thèmes!$A$2:$A$190,0)),"")</f>
        <v/>
      </c>
      <c r="D103" s="68" t="inlineStr">
        <is>
          <t>—</t>
        </is>
      </c>
      <c r="E103" s="68" t="inlineStr">
        <is>
          <t>Utilisation des financements de formation de l'OPCO</t>
        </is>
      </c>
      <c r="F103" s="68" t="inlineStr">
        <is>
          <t>Choix</t>
        </is>
      </c>
      <c r="G103" s="67" t="inlineStr">
        <is>
          <t>Demandée</t>
        </is>
      </c>
      <c r="H103" s="67" t="inlineStr">
        <is>
          <t>Approfondi</t>
        </is>
      </c>
      <c r="I103" s="68" t="inlineStr">
        <is>
          <t>—</t>
        </is>
      </c>
      <c r="J103" s="68" t="inlineStr">
        <is>
          <t>—</t>
        </is>
      </c>
      <c r="K103" s="67" t="n"/>
      <c r="L103" s="67" t="inlineStr">
        <is>
          <t>●</t>
        </is>
      </c>
      <c r="M103" s="67" t="inlineStr">
        <is>
          <t>●</t>
        </is>
      </c>
      <c r="N103" s="68" t="inlineStr">
        <is>
          <t>—</t>
        </is>
      </c>
      <c r="O103" s="68" t="inlineStr">
        <is>
          <t>—</t>
        </is>
      </c>
      <c r="P103" s="68" t="inlineStr">
        <is>
          <t>—</t>
        </is>
      </c>
      <c r="Q103" s="68" t="inlineStr">
        <is>
          <t>—</t>
        </is>
      </c>
      <c r="R103" s="83" t="inlineStr">
        <is>
          <t>Nouveau</t>
        </is>
      </c>
    </row>
    <row r="104" ht="23.85" customHeight="1" s="53">
      <c r="A104" s="98" t="inlineStr">
        <is>
          <t>RH-26.01</t>
        </is>
      </c>
      <c r="B104" s="89" t="inlineStr">
        <is>
          <t>RH-26</t>
        </is>
      </c>
      <c r="C104" s="97">
        <f>IFERROR(INDEX(Thèmes!$D$2:$D$190,MATCH(B104,Thèmes!$A$2:$A$190,0)),"")</f>
        <v/>
      </c>
      <c r="D104" s="86" t="inlineStr">
        <is>
          <t>R13 · Compétences et formation</t>
        </is>
      </c>
      <c r="E104" s="86" t="inlineStr">
        <is>
          <t>Ce qui est appris est appliqué : oui, en partie, rarement</t>
        </is>
      </c>
      <c r="F104" s="86" t="inlineStr">
        <is>
          <t>Choix</t>
        </is>
      </c>
      <c r="G104" s="89" t="inlineStr">
        <is>
          <t>Demandée</t>
        </is>
      </c>
      <c r="H104" s="89" t="inlineStr">
        <is>
          <t>Approfondi</t>
        </is>
      </c>
      <c r="I104" s="100" t="inlineStr">
        <is>
          <t>D53 · si l'équipe a été formée</t>
        </is>
      </c>
      <c r="J104" s="86" t="inlineStr">
        <is>
          <t>—</t>
        </is>
      </c>
      <c r="K104" s="89" t="n"/>
      <c r="L104" s="89" t="n"/>
      <c r="M104" s="89" t="inlineStr">
        <is>
          <t>●</t>
        </is>
      </c>
      <c r="N104" s="86" t="inlineStr">
        <is>
          <t>Problème</t>
        </is>
      </c>
      <c r="O104" s="86" t="inlineStr">
        <is>
          <t>—</t>
        </is>
      </c>
      <c r="P104" s="86" t="inlineStr">
        <is>
          <t>—</t>
        </is>
      </c>
      <c r="Q104" s="86" t="inlineStr">
        <is>
          <t>Lue par l'IA pour adapter le conseil</t>
        </is>
      </c>
      <c r="R104" s="91" t="inlineStr">
        <is>
          <t>Condition d'affichage</t>
        </is>
      </c>
    </row>
    <row r="105" ht="23.85" customHeight="1" s="53">
      <c r="A105" s="85" t="inlineStr">
        <is>
          <t>RH-27.01</t>
        </is>
      </c>
      <c r="B105" s="89" t="inlineStr">
        <is>
          <t>RH-27</t>
        </is>
      </c>
      <c r="C105" s="97">
        <f>IFERROR(INDEX(Thèmes!$D$2:$D$190,MATCH(B105,Thèmes!$A$2:$A$190,0)),"")</f>
        <v/>
      </c>
      <c r="D105" s="86" t="inlineStr">
        <is>
          <t>R13 · Compétences et formation</t>
        </is>
      </c>
      <c r="E105" s="86" t="inlineStr">
        <is>
          <t>Parmi vos tâches clés, combien ne sont maîtrisées que par une seule personne ?</t>
        </is>
      </c>
      <c r="F105" s="86" t="inlineStr">
        <is>
          <t>Nombre</t>
        </is>
      </c>
      <c r="G105" s="89" t="inlineStr">
        <is>
          <t>Demandée</t>
        </is>
      </c>
      <c r="H105" s="89" t="inlineStr">
        <is>
          <t>Essentiel</t>
        </is>
      </c>
      <c r="I105" s="86" t="inlineStr">
        <is>
          <t>—</t>
        </is>
      </c>
      <c r="J105" s="86" t="inlineStr">
        <is>
          <t>—</t>
        </is>
      </c>
      <c r="K105" s="89" t="n"/>
      <c r="L105" s="89" t="inlineStr">
        <is>
          <t>●</t>
        </is>
      </c>
      <c r="M105" s="89" t="inlineStr">
        <is>
          <t>●</t>
        </is>
      </c>
      <c r="N105" s="86" t="inlineStr">
        <is>
          <t>Risque</t>
        </is>
      </c>
      <c r="O105" s="86" t="inlineStr">
        <is>
          <t>—</t>
        </is>
      </c>
      <c r="P105" s="86" t="inlineStr">
        <is>
          <t>—</t>
        </is>
      </c>
      <c r="Q105" s="86" t="inlineStr">
        <is>
          <t>RH-27.02, RH-37.04, XR24</t>
        </is>
      </c>
      <c r="R105" s="91" t="n"/>
    </row>
    <row r="106" ht="15" customHeight="1" s="53">
      <c r="A106" s="81" t="inlineStr">
        <is>
          <t>RH-27.02</t>
        </is>
      </c>
      <c r="B106" s="67" t="inlineStr">
        <is>
          <t>RH-27</t>
        </is>
      </c>
      <c r="C106" s="95">
        <f>IFERROR(INDEX(Thèmes!$D$2:$D$190,MATCH(B106,Thèmes!$A$2:$A$190,0)),"")</f>
        <v/>
      </c>
      <c r="D106" s="68" t="inlineStr">
        <is>
          <t>—</t>
        </is>
      </c>
      <c r="E106" s="68" t="inlineStr">
        <is>
          <t>Part des tâches clés sans deuxième personne capable</t>
        </is>
      </c>
      <c r="F106" s="68" t="inlineStr">
        <is>
          <t>%</t>
        </is>
      </c>
      <c r="G106" s="96" t="inlineStr">
        <is>
          <t>Calculée</t>
        </is>
      </c>
      <c r="H106" s="67" t="inlineStr">
        <is>
          <t>—</t>
        </is>
      </c>
      <c r="I106" s="68" t="inlineStr">
        <is>
          <t>—</t>
        </is>
      </c>
      <c r="J106" s="68" t="inlineStr">
        <is>
          <t>—</t>
        </is>
      </c>
      <c r="K106" s="67" t="n"/>
      <c r="L106" s="67" t="inlineStr">
        <is>
          <t>●</t>
        </is>
      </c>
      <c r="M106" s="67" t="inlineStr">
        <is>
          <t>●</t>
        </is>
      </c>
      <c r="N106" s="68" t="inlineStr">
        <is>
          <t>Risque</t>
        </is>
      </c>
      <c r="O106" s="68" t="inlineStr">
        <is>
          <t>Tâches à une seule personne ÷ tâches clés</t>
        </is>
      </c>
      <c r="P106" s="68" t="inlineStr">
        <is>
          <t>RH-27.01, RH-12.01</t>
        </is>
      </c>
      <c r="Q106" s="68" t="inlineStr">
        <is>
          <t>XR21</t>
        </is>
      </c>
      <c r="R106" s="83" t="n"/>
    </row>
    <row r="107" ht="35.05" customHeight="1" s="53">
      <c r="A107" s="85" t="inlineStr">
        <is>
          <t>RH-28.01</t>
        </is>
      </c>
      <c r="B107" s="89" t="inlineStr">
        <is>
          <t>RH-28</t>
        </is>
      </c>
      <c r="C107" s="97">
        <f>IFERROR(INDEX(Thèmes!$D$2:$D$190,MATCH(B107,Thèmes!$A$2:$A$190,0)),"")</f>
        <v/>
      </c>
      <c r="D107" s="86" t="inlineStr">
        <is>
          <t>R14 · Recrutements</t>
        </is>
      </c>
      <c r="E107" s="86" t="inlineStr">
        <is>
          <t>Avez-vous recruté sur les 12 derniers mois, ou prévoyez-vous de recruter ?</t>
        </is>
      </c>
      <c r="F107" s="86" t="inlineStr">
        <is>
          <t>Recruté · prévu · ni l'un ni l'autre</t>
        </is>
      </c>
      <c r="G107" s="89" t="inlineStr">
        <is>
          <t>Demandée</t>
        </is>
      </c>
      <c r="H107" s="89" t="inlineStr">
        <is>
          <t>Essentiel</t>
        </is>
      </c>
      <c r="I107" s="86" t="inlineStr">
        <is>
          <t>—</t>
        </is>
      </c>
      <c r="J107" s="86" t="inlineStr">
        <is>
          <t>Période adaptée : depuis la création si moins de 12 mois</t>
        </is>
      </c>
      <c r="K107" s="89" t="inlineStr">
        <is>
          <t>●</t>
        </is>
      </c>
      <c r="L107" s="89" t="inlineStr">
        <is>
          <t>●</t>
        </is>
      </c>
      <c r="M107" s="89" t="inlineStr">
        <is>
          <t>●</t>
        </is>
      </c>
      <c r="N107" s="86" t="inlineStr">
        <is>
          <t>Parcours</t>
        </is>
      </c>
      <c r="O107" s="86" t="inlineStr">
        <is>
          <t>—</t>
        </is>
      </c>
      <c r="P107" s="86" t="inlineStr">
        <is>
          <t>—</t>
        </is>
      </c>
      <c r="Q107" s="86" t="inlineStr">
        <is>
          <t>Question déclencheuse (D13)</t>
        </is>
      </c>
      <c r="R107" s="91" t="n"/>
    </row>
    <row r="108" ht="35.05" customHeight="1" s="53">
      <c r="A108" s="81" t="inlineStr">
        <is>
          <t>RH-28.02</t>
        </is>
      </c>
      <c r="B108" s="67" t="inlineStr">
        <is>
          <t>RH-28</t>
        </is>
      </c>
      <c r="C108" s="95">
        <f>IFERROR(INDEX(Thèmes!$D$2:$D$190,MATCH(B108,Thèmes!$A$2:$A$190,0)),"")</f>
        <v/>
      </c>
      <c r="D108" s="68" t="inlineStr">
        <is>
          <t>R14 · Recrutements</t>
        </is>
      </c>
      <c r="E108" s="68" t="inlineStr">
        <is>
          <t>Postes ouverts sur la période : pourvus, encore vacants, et motif (croissance, remplacement, nouvelle compétence)</t>
        </is>
      </c>
      <c r="F108" s="68" t="inlineStr">
        <is>
          <t>Tableau par poste</t>
        </is>
      </c>
      <c r="G108" s="67" t="inlineStr">
        <is>
          <t>Demandée</t>
        </is>
      </c>
      <c r="H108" s="67" t="inlineStr">
        <is>
          <t>Essentiel</t>
        </is>
      </c>
      <c r="I108" s="99" t="inlineStr">
        <is>
          <t>D13 · si recrutement fait ou prévu</t>
        </is>
      </c>
      <c r="J108" s="68" t="inlineStr">
        <is>
          <t>Période adaptée : depuis la création si moins de 12 mois</t>
        </is>
      </c>
      <c r="K108" s="67" t="inlineStr">
        <is>
          <t>●</t>
        </is>
      </c>
      <c r="L108" s="67" t="inlineStr">
        <is>
          <t>●</t>
        </is>
      </c>
      <c r="M108" s="67" t="inlineStr">
        <is>
          <t>●</t>
        </is>
      </c>
      <c r="N108" s="68" t="inlineStr">
        <is>
          <t>Mesure</t>
        </is>
      </c>
      <c r="O108" s="68" t="inlineStr">
        <is>
          <t>—</t>
        </is>
      </c>
      <c r="P108" s="68" t="inlineStr">
        <is>
          <t>—</t>
        </is>
      </c>
      <c r="Q108" s="68" t="inlineStr">
        <is>
          <t>RH-28.07, RH-33.02</t>
        </is>
      </c>
      <c r="R108" s="83" t="n"/>
    </row>
    <row r="109" ht="57.45" customHeight="1" s="53">
      <c r="A109" s="81" t="inlineStr">
        <is>
          <t>RH-28.03</t>
        </is>
      </c>
      <c r="B109" s="67" t="inlineStr">
        <is>
          <t>RH-28</t>
        </is>
      </c>
      <c r="C109" s="95">
        <f>IFERROR(INDEX(Thèmes!$D$2:$D$190,MATCH(B109,Thèmes!$A$2:$A$190,0)),"")</f>
        <v/>
      </c>
      <c r="D109" s="68" t="inlineStr">
        <is>
          <t>R14 · Recrutements</t>
        </is>
      </c>
      <c r="E109" s="68" t="inlineStr">
        <is>
          <t>Délai entre l'annonce et l'arrivée de la recrue</t>
        </is>
      </c>
      <c r="F109" s="68" t="inlineStr">
        <is>
          <t>Tranches : moins de 4 semaines · 1-2 mois · 2-4 mois · plus de 4 mois · je ne sais pas</t>
        </is>
      </c>
      <c r="G109" s="67" t="inlineStr">
        <is>
          <t>Demandée</t>
        </is>
      </c>
      <c r="H109" s="67" t="inlineStr">
        <is>
          <t>Essentiel</t>
        </is>
      </c>
      <c r="I109" s="99" t="inlineStr">
        <is>
          <t>D13 · si recrutement fait ou prévu</t>
        </is>
      </c>
      <c r="J109" s="68" t="inlineStr">
        <is>
          <t>—</t>
        </is>
      </c>
      <c r="K109" s="67" t="inlineStr">
        <is>
          <t>●</t>
        </is>
      </c>
      <c r="L109" s="67" t="inlineStr">
        <is>
          <t>●</t>
        </is>
      </c>
      <c r="M109" s="67" t="inlineStr">
        <is>
          <t>●</t>
        </is>
      </c>
      <c r="N109" s="68" t="inlineStr">
        <is>
          <t>Problème</t>
        </is>
      </c>
      <c r="O109" s="68" t="inlineStr">
        <is>
          <t>—</t>
        </is>
      </c>
      <c r="P109" s="68" t="inlineStr">
        <is>
          <t>—</t>
        </is>
      </c>
      <c r="Q109" s="68" t="inlineStr">
        <is>
          <t>RH-31.04</t>
        </is>
      </c>
      <c r="R109" s="83" t="n"/>
    </row>
    <row r="110" ht="23.85" customHeight="1" s="53">
      <c r="A110" s="81" t="inlineStr">
        <is>
          <t>RH-28.04</t>
        </is>
      </c>
      <c r="B110" s="67" t="inlineStr">
        <is>
          <t>RH-28</t>
        </is>
      </c>
      <c r="C110" s="95">
        <f>IFERROR(INDEX(Thèmes!$D$2:$D$190,MATCH(B110,Thèmes!$A$2:$A$190,0)),"")</f>
        <v/>
      </c>
      <c r="D110" s="68" t="inlineStr">
        <is>
          <t>R14 · Recrutements</t>
        </is>
      </c>
      <c r="E110" s="68" t="inlineStr">
        <is>
          <t>Candidatures et entretiens par poste, en moyenne, et candidats qui ont refusé l'offre</t>
        </is>
      </c>
      <c r="F110" s="68" t="inlineStr">
        <is>
          <t>3 nombres</t>
        </is>
      </c>
      <c r="G110" s="67" t="inlineStr">
        <is>
          <t>Demandée</t>
        </is>
      </c>
      <c r="H110" s="67" t="inlineStr">
        <is>
          <t>Approfondi</t>
        </is>
      </c>
      <c r="I110" s="99" t="inlineStr">
        <is>
          <t>D13 · si recrutement sur la période</t>
        </is>
      </c>
      <c r="J110" s="68" t="inlineStr">
        <is>
          <t>—</t>
        </is>
      </c>
      <c r="K110" s="67" t="n"/>
      <c r="L110" s="67" t="n"/>
      <c r="M110" s="67" t="inlineStr">
        <is>
          <t>●</t>
        </is>
      </c>
      <c r="N110" s="68" t="inlineStr">
        <is>
          <t>Problème</t>
        </is>
      </c>
      <c r="O110" s="68" t="inlineStr">
        <is>
          <t>—</t>
        </is>
      </c>
      <c r="P110" s="68" t="inlineStr">
        <is>
          <t>—</t>
        </is>
      </c>
      <c r="Q110" s="68" t="inlineStr">
        <is>
          <t>Lue par l'IA pour adapter le conseil</t>
        </is>
      </c>
      <c r="R110" s="83" t="n"/>
    </row>
    <row r="111" ht="23.85" customHeight="1" s="53">
      <c r="A111" s="81" t="inlineStr">
        <is>
          <t>RH-28.05</t>
        </is>
      </c>
      <c r="B111" s="67" t="inlineStr">
        <is>
          <t>RH-28</t>
        </is>
      </c>
      <c r="C111" s="95">
        <f>IFERROR(INDEX(Thèmes!$D$2:$D$190,MATCH(B111,Thèmes!$A$2:$A$190,0)),"")</f>
        <v/>
      </c>
      <c r="D111" s="68" t="inlineStr">
        <is>
          <t>R14 · Recrutements</t>
        </is>
      </c>
      <c r="E111" s="68" t="inlineStr">
        <is>
          <t>Coût d'un recrutement (annonces, cabinet) et heures passées en interne</t>
        </is>
      </c>
      <c r="F111" s="68" t="inlineStr">
        <is>
          <t>€ et heures</t>
        </is>
      </c>
      <c r="G111" s="67" t="inlineStr">
        <is>
          <t>Demandée</t>
        </is>
      </c>
      <c r="H111" s="67" t="inlineStr">
        <is>
          <t>Approfondi</t>
        </is>
      </c>
      <c r="I111" s="99" t="inlineStr">
        <is>
          <t>D13 · si recrutement sur la période</t>
        </is>
      </c>
      <c r="J111" s="68" t="inlineStr">
        <is>
          <t>—</t>
        </is>
      </c>
      <c r="K111" s="67" t="n"/>
      <c r="L111" s="67" t="n"/>
      <c r="M111" s="67" t="inlineStr">
        <is>
          <t>●</t>
        </is>
      </c>
      <c r="N111" s="68" t="inlineStr">
        <is>
          <t>Perte</t>
        </is>
      </c>
      <c r="O111" s="68" t="inlineStr">
        <is>
          <t>—</t>
        </is>
      </c>
      <c r="P111" s="68" t="inlineStr">
        <is>
          <t>—</t>
        </is>
      </c>
      <c r="Q111" s="68" t="inlineStr">
        <is>
          <t>RH-28.08</t>
        </is>
      </c>
      <c r="R111" s="83" t="n"/>
    </row>
    <row r="112" ht="23.85" customHeight="1" s="53">
      <c r="A112" s="81" t="inlineStr">
        <is>
          <t>RH-28.06</t>
        </is>
      </c>
      <c r="B112" s="67" t="inlineStr">
        <is>
          <t>RH-28</t>
        </is>
      </c>
      <c r="C112" s="95">
        <f>IFERROR(INDEX(Thèmes!$D$2:$D$190,MATCH(B112,Thèmes!$A$2:$A$190,0)),"")</f>
        <v/>
      </c>
      <c r="D112" s="68" t="inlineStr">
        <is>
          <t>R14 · Recrutements</t>
        </is>
      </c>
      <c r="E112" s="68" t="inlineStr">
        <is>
          <t>Poste le plus difficile à pourvoir</t>
        </is>
      </c>
      <c r="F112" s="68" t="inlineStr">
        <is>
          <t>Texte court</t>
        </is>
      </c>
      <c r="G112" s="67" t="inlineStr">
        <is>
          <t>Demandée</t>
        </is>
      </c>
      <c r="H112" s="67" t="inlineStr">
        <is>
          <t>Approfondi</t>
        </is>
      </c>
      <c r="I112" s="99" t="inlineStr">
        <is>
          <t>D13 · si recrutement fait ou prévu</t>
        </is>
      </c>
      <c r="J112" s="68" t="inlineStr">
        <is>
          <t>—</t>
        </is>
      </c>
      <c r="K112" s="67" t="n"/>
      <c r="L112" s="67" t="n"/>
      <c r="M112" s="67" t="inlineStr">
        <is>
          <t>●</t>
        </is>
      </c>
      <c r="N112" s="68" t="inlineStr">
        <is>
          <t>Risque</t>
        </is>
      </c>
      <c r="O112" s="68" t="inlineStr">
        <is>
          <t>—</t>
        </is>
      </c>
      <c r="P112" s="68" t="inlineStr">
        <is>
          <t>—</t>
        </is>
      </c>
      <c r="Q112" s="68" t="inlineStr">
        <is>
          <t>Lue par l'IA pour adapter le conseil</t>
        </is>
      </c>
      <c r="R112" s="83" t="n"/>
    </row>
    <row r="113" ht="15" customHeight="1" s="53">
      <c r="A113" s="81" t="inlineStr">
        <is>
          <t>RH-28.07</t>
        </is>
      </c>
      <c r="B113" s="67" t="inlineStr">
        <is>
          <t>RH-28</t>
        </is>
      </c>
      <c r="C113" s="95">
        <f>IFERROR(INDEX(Thèmes!$D$2:$D$190,MATCH(B113,Thèmes!$A$2:$A$190,0)),"")</f>
        <v/>
      </c>
      <c r="D113" s="68" t="inlineStr">
        <is>
          <t>—</t>
        </is>
      </c>
      <c r="E113" s="68" t="inlineStr">
        <is>
          <t>Postes encore vacants et capacité manquante</t>
        </is>
      </c>
      <c r="F113" s="68" t="inlineStr">
        <is>
          <t>Nombre et heures</t>
        </is>
      </c>
      <c r="G113" s="96" t="inlineStr">
        <is>
          <t>Calculée</t>
        </is>
      </c>
      <c r="H113" s="67" t="inlineStr">
        <is>
          <t>—</t>
        </is>
      </c>
      <c r="I113" s="68" t="inlineStr">
        <is>
          <t>—</t>
        </is>
      </c>
      <c r="J113" s="68" t="inlineStr">
        <is>
          <t>—</t>
        </is>
      </c>
      <c r="K113" s="67" t="inlineStr">
        <is>
          <t>●</t>
        </is>
      </c>
      <c r="L113" s="67" t="inlineStr">
        <is>
          <t>●</t>
        </is>
      </c>
      <c r="M113" s="67" t="inlineStr">
        <is>
          <t>●</t>
        </is>
      </c>
      <c r="N113" s="68" t="inlineStr">
        <is>
          <t>Risque</t>
        </is>
      </c>
      <c r="O113" s="68" t="inlineStr">
        <is>
          <t>Postes vacants × heures du contrat</t>
        </is>
      </c>
      <c r="P113" s="68" t="inlineStr">
        <is>
          <t>RH-28.02, RH-06.01</t>
        </is>
      </c>
      <c r="Q113" s="68" t="inlineStr">
        <is>
          <t>Affichée dans le rapport</t>
        </is>
      </c>
      <c r="R113" s="83" t="n"/>
    </row>
    <row r="114" ht="15" customHeight="1" s="53">
      <c r="A114" s="81" t="inlineStr">
        <is>
          <t>RH-28.08</t>
        </is>
      </c>
      <c r="B114" s="67" t="inlineStr">
        <is>
          <t>RH-28</t>
        </is>
      </c>
      <c r="C114" s="95">
        <f>IFERROR(INDEX(Thèmes!$D$2:$D$190,MATCH(B114,Thèmes!$A$2:$A$190,0)),"")</f>
        <v/>
      </c>
      <c r="D114" s="68" t="inlineStr">
        <is>
          <t>—</t>
        </is>
      </c>
      <c r="E114" s="68" t="inlineStr">
        <is>
          <t>Coût complet d'un recrutement</t>
        </is>
      </c>
      <c r="F114" s="68" t="inlineStr">
        <is>
          <t>€</t>
        </is>
      </c>
      <c r="G114" s="96" t="inlineStr">
        <is>
          <t>Calculée</t>
        </is>
      </c>
      <c r="H114" s="67" t="inlineStr">
        <is>
          <t>—</t>
        </is>
      </c>
      <c r="I114" s="68" t="inlineStr">
        <is>
          <t>—</t>
        </is>
      </c>
      <c r="J114" s="68" t="inlineStr">
        <is>
          <t>—</t>
        </is>
      </c>
      <c r="K114" s="67" t="inlineStr">
        <is>
          <t>●</t>
        </is>
      </c>
      <c r="L114" s="67" t="inlineStr">
        <is>
          <t>●</t>
        </is>
      </c>
      <c r="M114" s="67" t="inlineStr">
        <is>
          <t>●</t>
        </is>
      </c>
      <c r="N114" s="68" t="inlineStr">
        <is>
          <t>Perte</t>
        </is>
      </c>
      <c r="O114" s="68" t="inlineStr">
        <is>
          <t>Coût externe + heures internes × coût d'une heure</t>
        </is>
      </c>
      <c r="P114" s="68" t="inlineStr">
        <is>
          <t>RH-28.05, FIN-07.12</t>
        </is>
      </c>
      <c r="Q114" s="68" t="inlineStr">
        <is>
          <t>XR20</t>
        </is>
      </c>
      <c r="R114" s="83" t="n"/>
    </row>
    <row r="115" ht="23.85" customHeight="1" s="53">
      <c r="A115" s="92" t="inlineStr">
        <is>
          <t>RH-28.09</t>
        </is>
      </c>
      <c r="B115" s="67" t="inlineStr">
        <is>
          <t>RH-28</t>
        </is>
      </c>
      <c r="C115" s="95">
        <f>IFERROR(INDEX(Thèmes!$D$2:$D$190,MATCH(B115,Thèmes!$A$2:$A$190,0)),"")</f>
        <v/>
      </c>
      <c r="D115" s="68" t="inlineStr">
        <is>
          <t>—</t>
        </is>
      </c>
      <c r="E115" s="68" t="inlineStr">
        <is>
          <t>Moyens de recrutement utilisés</t>
        </is>
      </c>
      <c r="F115" s="68" t="inlineStr">
        <is>
          <t>Cases à cocher</t>
        </is>
      </c>
      <c r="G115" s="67" t="inlineStr">
        <is>
          <t>Demandée</t>
        </is>
      </c>
      <c r="H115" s="67" t="inlineStr">
        <is>
          <t>Approfondi</t>
        </is>
      </c>
      <c r="I115" s="99" t="inlineStr">
        <is>
          <t>D13 · si recrutement fait ou prévu</t>
        </is>
      </c>
      <c r="J115" s="68" t="inlineStr">
        <is>
          <t>—</t>
        </is>
      </c>
      <c r="K115" s="67" t="inlineStr">
        <is>
          <t>●</t>
        </is>
      </c>
      <c r="L115" s="67" t="inlineStr">
        <is>
          <t>●</t>
        </is>
      </c>
      <c r="M115" s="67" t="inlineStr">
        <is>
          <t>●</t>
        </is>
      </c>
      <c r="N115" s="68" t="inlineStr">
        <is>
          <t>—</t>
        </is>
      </c>
      <c r="O115" s="68" t="inlineStr">
        <is>
          <t>—</t>
        </is>
      </c>
      <c r="P115" s="68" t="inlineStr">
        <is>
          <t>—</t>
        </is>
      </c>
      <c r="Q115" s="68" t="inlineStr">
        <is>
          <t>—</t>
        </is>
      </c>
      <c r="R115" s="83" t="inlineStr">
        <is>
          <t>Nouveau</t>
        </is>
      </c>
    </row>
    <row r="116" ht="23.85" customHeight="1" s="53">
      <c r="A116" s="92" t="inlineStr">
        <is>
          <t>RH-28.10</t>
        </is>
      </c>
      <c r="B116" s="67" t="inlineStr">
        <is>
          <t>RH-28</t>
        </is>
      </c>
      <c r="C116" s="95">
        <f>IFERROR(INDEX(Thèmes!$D$2:$D$190,MATCH(B116,Thèmes!$A$2:$A$190,0)),"")</f>
        <v/>
      </c>
      <c r="D116" s="68" t="inlineStr">
        <is>
          <t>—</t>
        </is>
      </c>
      <c r="E116" s="68" t="inlineStr">
        <is>
          <t>Moyen de recrutement qui a donné les meilleures recrues</t>
        </is>
      </c>
      <c r="F116" s="68" t="inlineStr">
        <is>
          <t>Choix</t>
        </is>
      </c>
      <c r="G116" s="67" t="inlineStr">
        <is>
          <t>Demandée</t>
        </is>
      </c>
      <c r="H116" s="67" t="inlineStr">
        <is>
          <t>Approfondi</t>
        </is>
      </c>
      <c r="I116" s="99" t="inlineStr">
        <is>
          <t>D13 · si recrutement fait ou prévu</t>
        </is>
      </c>
      <c r="J116" s="68" t="inlineStr">
        <is>
          <t>—</t>
        </is>
      </c>
      <c r="K116" s="67" t="inlineStr">
        <is>
          <t>●</t>
        </is>
      </c>
      <c r="L116" s="67" t="inlineStr">
        <is>
          <t>●</t>
        </is>
      </c>
      <c r="M116" s="67" t="inlineStr">
        <is>
          <t>●</t>
        </is>
      </c>
      <c r="N116" s="68" t="inlineStr">
        <is>
          <t>—</t>
        </is>
      </c>
      <c r="O116" s="68" t="inlineStr">
        <is>
          <t>—</t>
        </is>
      </c>
      <c r="P116" s="68" t="inlineStr">
        <is>
          <t>—</t>
        </is>
      </c>
      <c r="Q116" s="68" t="inlineStr">
        <is>
          <t>—</t>
        </is>
      </c>
      <c r="R116" s="83" t="inlineStr">
        <is>
          <t>Nouveau</t>
        </is>
      </c>
    </row>
    <row r="117" ht="35.05" customHeight="1" s="53">
      <c r="A117" s="85" t="inlineStr">
        <is>
          <t>RH-29.01</t>
        </is>
      </c>
      <c r="B117" s="89" t="inlineStr">
        <is>
          <t>RH-29</t>
        </is>
      </c>
      <c r="C117" s="97">
        <f>IFERROR(INDEX(Thèmes!$D$2:$D$190,MATCH(B117,Thèmes!$A$2:$A$190,0)),"")</f>
        <v/>
      </c>
      <c r="D117" s="86" t="inlineStr">
        <is>
          <t>R15 · Intégration des recrues</t>
        </is>
      </c>
      <c r="E117" s="86" t="inlineStr">
        <is>
          <t>À l'arrivée d'une recrue, sont prêts : poste et matériel, accès, planning des premières semaines, documentation</t>
        </is>
      </c>
      <c r="F117" s="86" t="inlineStr">
        <is>
          <t>Cases à cocher</t>
        </is>
      </c>
      <c r="G117" s="89" t="inlineStr">
        <is>
          <t>Demandée</t>
        </is>
      </c>
      <c r="H117" s="89" t="inlineStr">
        <is>
          <t>Essentiel</t>
        </is>
      </c>
      <c r="I117" s="100" t="inlineStr">
        <is>
          <t>D13 · si recrutement fait ou prévu</t>
        </is>
      </c>
      <c r="J117" s="86" t="inlineStr">
        <is>
          <t>—</t>
        </is>
      </c>
      <c r="K117" s="89" t="inlineStr">
        <is>
          <t>●</t>
        </is>
      </c>
      <c r="L117" s="89" t="inlineStr">
        <is>
          <t>●</t>
        </is>
      </c>
      <c r="M117" s="89" t="inlineStr">
        <is>
          <t>●</t>
        </is>
      </c>
      <c r="N117" s="86" t="inlineStr">
        <is>
          <t>Levier</t>
        </is>
      </c>
      <c r="O117" s="86" t="inlineStr">
        <is>
          <t>—</t>
        </is>
      </c>
      <c r="P117" s="86" t="inlineStr">
        <is>
          <t>—</t>
        </is>
      </c>
      <c r="Q117" s="86" t="inlineStr">
        <is>
          <t>RH-33.03</t>
        </is>
      </c>
      <c r="R117" s="91" t="n"/>
    </row>
    <row r="118" ht="23.85" customHeight="1" s="53">
      <c r="A118" s="85" t="inlineStr">
        <is>
          <t>RH-30.01</t>
        </is>
      </c>
      <c r="B118" s="89" t="inlineStr">
        <is>
          <t>RH-30</t>
        </is>
      </c>
      <c r="C118" s="97">
        <f>IFERROR(INDEX(Thèmes!$D$2:$D$190,MATCH(B118,Thèmes!$A$2:$A$190,0)),"")</f>
        <v/>
      </c>
      <c r="D118" s="86" t="inlineStr">
        <is>
          <t>R15 · Intégration des recrues</t>
        </is>
      </c>
      <c r="E118" s="86" t="inlineStr">
        <is>
          <t>Un référent est désigné, avec des points réguliers les premières semaines : oui, parfois, non</t>
        </is>
      </c>
      <c r="F118" s="86" t="inlineStr">
        <is>
          <t>Choix</t>
        </is>
      </c>
      <c r="G118" s="89" t="inlineStr">
        <is>
          <t>Demandée</t>
        </is>
      </c>
      <c r="H118" s="89" t="inlineStr">
        <is>
          <t>Essentiel</t>
        </is>
      </c>
      <c r="I118" s="100" t="inlineStr">
        <is>
          <t>D13 · si recrutement fait ou prévu</t>
        </is>
      </c>
      <c r="J118" s="86" t="inlineStr">
        <is>
          <t>—</t>
        </is>
      </c>
      <c r="K118" s="89" t="inlineStr">
        <is>
          <t>●</t>
        </is>
      </c>
      <c r="L118" s="89" t="inlineStr">
        <is>
          <t>●</t>
        </is>
      </c>
      <c r="M118" s="89" t="inlineStr">
        <is>
          <t>●</t>
        </is>
      </c>
      <c r="N118" s="86" t="inlineStr">
        <is>
          <t>Levier</t>
        </is>
      </c>
      <c r="O118" s="86" t="inlineStr">
        <is>
          <t>—</t>
        </is>
      </c>
      <c r="P118" s="86" t="inlineStr">
        <is>
          <t>—</t>
        </is>
      </c>
      <c r="Q118" s="86" t="inlineStr">
        <is>
          <t>RH-33.03</t>
        </is>
      </c>
      <c r="R118" s="91" t="n"/>
    </row>
    <row r="119" ht="46.25" customHeight="1" s="53">
      <c r="A119" s="85" t="inlineStr">
        <is>
          <t>RH-31.01</t>
        </is>
      </c>
      <c r="B119" s="89" t="inlineStr">
        <is>
          <t>RH-31</t>
        </is>
      </c>
      <c r="C119" s="97">
        <f>IFERROR(INDEX(Thèmes!$D$2:$D$190,MATCH(B119,Thèmes!$A$2:$A$190,0)),"")</f>
        <v/>
      </c>
      <c r="D119" s="86" t="inlineStr">
        <is>
          <t>R15 · Intégration des recrues</t>
        </is>
      </c>
      <c r="E119" s="86" t="inlineStr">
        <is>
          <t>Semaines avant qu'une recrue soit autonome. Définition : elle fait ses missions principales sans supervision régulière</t>
        </is>
      </c>
      <c r="F119" s="86" t="inlineStr">
        <is>
          <t>Tranches : moins de 2 · 2-4 · 4-8 · 8-12 · plus de 12 · je ne sais pas</t>
        </is>
      </c>
      <c r="G119" s="89" t="inlineStr">
        <is>
          <t>Demandée</t>
        </is>
      </c>
      <c r="H119" s="89" t="inlineStr">
        <is>
          <t>Essentiel</t>
        </is>
      </c>
      <c r="I119" s="100" t="inlineStr">
        <is>
          <t>D13 · si recrutement fait ou prévu</t>
        </is>
      </c>
      <c r="J119" s="86" t="inlineStr">
        <is>
          <t>—</t>
        </is>
      </c>
      <c r="K119" s="89" t="inlineStr">
        <is>
          <t>●</t>
        </is>
      </c>
      <c r="L119" s="89" t="inlineStr">
        <is>
          <t>●</t>
        </is>
      </c>
      <c r="M119" s="89" t="inlineStr">
        <is>
          <t>●</t>
        </is>
      </c>
      <c r="N119" s="86" t="inlineStr">
        <is>
          <t>Capacité</t>
        </is>
      </c>
      <c r="O119" s="86" t="inlineStr">
        <is>
          <t>—</t>
        </is>
      </c>
      <c r="P119" s="86" t="inlineStr">
        <is>
          <t>—</t>
        </is>
      </c>
      <c r="Q119" s="86" t="inlineStr">
        <is>
          <t>RH-31.04, RH-31.05</t>
        </is>
      </c>
      <c r="R119" s="91" t="n"/>
    </row>
    <row r="120" ht="23.85" customHeight="1" s="53">
      <c r="A120" s="81" t="inlineStr">
        <is>
          <t>RH-31.02</t>
        </is>
      </c>
      <c r="B120" s="67" t="inlineStr">
        <is>
          <t>RH-31</t>
        </is>
      </c>
      <c r="C120" s="95">
        <f>IFERROR(INDEX(Thèmes!$D$2:$D$190,MATCH(B120,Thèmes!$A$2:$A$190,0)),"")</f>
        <v/>
      </c>
      <c r="D120" s="68" t="inlineStr">
        <is>
          <t>R15 · Intégration des recrues</t>
        </is>
      </c>
      <c r="E120" s="68" t="inlineStr">
        <is>
          <t>Heures par semaine que vous ou un responsable consacrez à une recrue pendant cette période</t>
        </is>
      </c>
      <c r="F120" s="68" t="inlineStr">
        <is>
          <t>Heures</t>
        </is>
      </c>
      <c r="G120" s="67" t="inlineStr">
        <is>
          <t>Demandée</t>
        </is>
      </c>
      <c r="H120" s="67" t="inlineStr">
        <is>
          <t>Essentiel</t>
        </is>
      </c>
      <c r="I120" s="99" t="inlineStr">
        <is>
          <t>D13 · si recrutement fait ou prévu</t>
        </is>
      </c>
      <c r="J120" s="68" t="inlineStr">
        <is>
          <t>—</t>
        </is>
      </c>
      <c r="K120" s="67" t="inlineStr">
        <is>
          <t>●</t>
        </is>
      </c>
      <c r="L120" s="67" t="inlineStr">
        <is>
          <t>●</t>
        </is>
      </c>
      <c r="M120" s="67" t="inlineStr">
        <is>
          <t>●</t>
        </is>
      </c>
      <c r="N120" s="68" t="inlineStr">
        <is>
          <t>Capacité</t>
        </is>
      </c>
      <c r="O120" s="68" t="inlineStr">
        <is>
          <t>—</t>
        </is>
      </c>
      <c r="P120" s="68" t="inlineStr">
        <is>
          <t>—</t>
        </is>
      </c>
      <c r="Q120" s="68" t="inlineStr">
        <is>
          <t>RH-31.05</t>
        </is>
      </c>
      <c r="R120" s="83" t="n"/>
    </row>
    <row r="121" ht="23.85" customHeight="1" s="53">
      <c r="A121" s="81" t="inlineStr">
        <is>
          <t>RH-31.03</t>
        </is>
      </c>
      <c r="B121" s="67" t="inlineStr">
        <is>
          <t>RH-31</t>
        </is>
      </c>
      <c r="C121" s="95">
        <f>IFERROR(INDEX(Thèmes!$D$2:$D$190,MATCH(B121,Thèmes!$A$2:$A$190,0)),"")</f>
        <v/>
      </c>
      <c r="D121" s="68" t="inlineStr">
        <is>
          <t>R15 · Intégration des recrues</t>
        </is>
      </c>
      <c r="E121" s="68" t="inlineStr">
        <is>
          <t>Poste le plus long à maîtriser, et nombre de semaines</t>
        </is>
      </c>
      <c r="F121" s="68" t="inlineStr">
        <is>
          <t>Texte + semaines</t>
        </is>
      </c>
      <c r="G121" s="67" t="inlineStr">
        <is>
          <t>Demandée</t>
        </is>
      </c>
      <c r="H121" s="67" t="inlineStr">
        <is>
          <t>Approfondi</t>
        </is>
      </c>
      <c r="I121" s="99" t="inlineStr">
        <is>
          <t>D13 · si recrutement fait ou prévu</t>
        </is>
      </c>
      <c r="J121" s="68" t="inlineStr">
        <is>
          <t>—</t>
        </is>
      </c>
      <c r="K121" s="67" t="inlineStr">
        <is>
          <t>●</t>
        </is>
      </c>
      <c r="L121" s="67" t="inlineStr">
        <is>
          <t>●</t>
        </is>
      </c>
      <c r="M121" s="67" t="inlineStr">
        <is>
          <t>●</t>
        </is>
      </c>
      <c r="N121" s="68" t="inlineStr">
        <is>
          <t>Risque</t>
        </is>
      </c>
      <c r="O121" s="68" t="inlineStr">
        <is>
          <t>—</t>
        </is>
      </c>
      <c r="P121" s="68" t="inlineStr">
        <is>
          <t>—</t>
        </is>
      </c>
      <c r="Q121" s="68" t="inlineStr">
        <is>
          <t>XR19</t>
        </is>
      </c>
      <c r="R121" s="83" t="n"/>
    </row>
    <row r="122" ht="23.85" customHeight="1" s="53">
      <c r="A122" s="81" t="inlineStr">
        <is>
          <t>RH-31.04</t>
        </is>
      </c>
      <c r="B122" s="67" t="inlineStr">
        <is>
          <t>RH-31</t>
        </is>
      </c>
      <c r="C122" s="95">
        <f>IFERROR(INDEX(Thèmes!$D$2:$D$190,MATCH(B122,Thèmes!$A$2:$A$190,0)),"")</f>
        <v/>
      </c>
      <c r="D122" s="68" t="inlineStr">
        <is>
          <t>—</t>
        </is>
      </c>
      <c r="E122" s="68" t="inlineStr">
        <is>
          <t>Délai total entre l'annonce et une recrue productive</t>
        </is>
      </c>
      <c r="F122" s="68" t="inlineStr">
        <is>
          <t>Semaines</t>
        </is>
      </c>
      <c r="G122" s="96" t="inlineStr">
        <is>
          <t>Calculée</t>
        </is>
      </c>
      <c r="H122" s="67" t="inlineStr">
        <is>
          <t>—</t>
        </is>
      </c>
      <c r="I122" s="68" t="inlineStr">
        <is>
          <t>—</t>
        </is>
      </c>
      <c r="J122" s="68" t="inlineStr">
        <is>
          <t>—</t>
        </is>
      </c>
      <c r="K122" s="67" t="inlineStr">
        <is>
          <t>●</t>
        </is>
      </c>
      <c r="L122" s="67" t="inlineStr">
        <is>
          <t>●</t>
        </is>
      </c>
      <c r="M122" s="67" t="inlineStr">
        <is>
          <t>●</t>
        </is>
      </c>
      <c r="N122" s="68" t="inlineStr">
        <is>
          <t>Capacité</t>
        </is>
      </c>
      <c r="O122" s="68" t="inlineStr">
        <is>
          <t>Délai de recrutement + semaines avant autonomie</t>
        </is>
      </c>
      <c r="P122" s="68" t="inlineStr">
        <is>
          <t>RH-28.03, RH-31.01</t>
        </is>
      </c>
      <c r="Q122" s="68" t="inlineStr">
        <is>
          <t>XR19</t>
        </is>
      </c>
      <c r="R122" s="83" t="n"/>
    </row>
    <row r="123" ht="35.05" customHeight="1" s="53">
      <c r="A123" s="81" t="inlineStr">
        <is>
          <t>RH-31.05</t>
        </is>
      </c>
      <c r="B123" s="67" t="inlineStr">
        <is>
          <t>RH-31</t>
        </is>
      </c>
      <c r="C123" s="95">
        <f>IFERROR(INDEX(Thèmes!$D$2:$D$190,MATCH(B123,Thèmes!$A$2:$A$190,0)),"")</f>
        <v/>
      </c>
      <c r="D123" s="68" t="inlineStr">
        <is>
          <t>—</t>
        </is>
      </c>
      <c r="E123" s="68" t="inlineStr">
        <is>
          <t>Coût de montée en compétence d'une recrue</t>
        </is>
      </c>
      <c r="F123" s="68" t="inlineStr">
        <is>
          <t>€</t>
        </is>
      </c>
      <c r="G123" s="96" t="inlineStr">
        <is>
          <t>Calculée</t>
        </is>
      </c>
      <c r="H123" s="67" t="inlineStr">
        <is>
          <t>—</t>
        </is>
      </c>
      <c r="I123" s="68" t="inlineStr">
        <is>
          <t>—</t>
        </is>
      </c>
      <c r="J123" s="68" t="inlineStr">
        <is>
          <t>—</t>
        </is>
      </c>
      <c r="K123" s="67" t="inlineStr">
        <is>
          <t>●</t>
        </is>
      </c>
      <c r="L123" s="67" t="inlineStr">
        <is>
          <t>●</t>
        </is>
      </c>
      <c r="M123" s="67" t="inlineStr">
        <is>
          <t>●</t>
        </is>
      </c>
      <c r="N123" s="68" t="inlineStr">
        <is>
          <t>Perte</t>
        </is>
      </c>
      <c r="O123" s="68" t="inlineStr">
        <is>
          <t>Heures du responsable × semaines × coût d'une heure + salaire de la recrue × semaines × part non productive prudente</t>
        </is>
      </c>
      <c r="P123" s="68" t="inlineStr">
        <is>
          <t>RH-31.02, RH-31.01, FIN-07.12, FIN-07.09</t>
        </is>
      </c>
      <c r="Q123" s="68" t="inlineStr">
        <is>
          <t>XR20</t>
        </is>
      </c>
      <c r="R123" s="83" t="n"/>
    </row>
    <row r="124" ht="35.05" customHeight="1" s="53">
      <c r="A124" s="98" t="inlineStr">
        <is>
          <t>RH-32.01</t>
        </is>
      </c>
      <c r="B124" s="89" t="inlineStr">
        <is>
          <t>RH-32</t>
        </is>
      </c>
      <c r="C124" s="97">
        <f>IFERROR(INDEX(Thèmes!$D$2:$D$190,MATCH(B124,Thèmes!$A$2:$A$190,0)),"")</f>
        <v/>
      </c>
      <c r="D124" s="86" t="inlineStr">
        <is>
          <t>R16 · Départs et absences</t>
        </is>
      </c>
      <c r="E124" s="86" t="inlineStr">
        <is>
          <t>Départs sur les 12 derniers mois, par type : démission, fin de période d'essai, rupture conventionnelle, licenciement, fin de contrat — déclencheur D54</t>
        </is>
      </c>
      <c r="F124" s="86" t="inlineStr">
        <is>
          <t>Tableau (nombres)</t>
        </is>
      </c>
      <c r="G124" s="89" t="inlineStr">
        <is>
          <t>Demandée</t>
        </is>
      </c>
      <c r="H124" s="89" t="inlineStr">
        <is>
          <t>Essentiel</t>
        </is>
      </c>
      <c r="I124" s="86" t="inlineStr">
        <is>
          <t>—</t>
        </is>
      </c>
      <c r="J124" s="86" t="inlineStr">
        <is>
          <t>Période adaptée : depuis la création si moins de 12 mois</t>
        </is>
      </c>
      <c r="K124" s="89" t="n"/>
      <c r="L124" s="89" t="n"/>
      <c r="M124" s="89" t="inlineStr">
        <is>
          <t>●</t>
        </is>
      </c>
      <c r="N124" s="86" t="inlineStr">
        <is>
          <t>Risque</t>
        </is>
      </c>
      <c r="O124" s="86" t="inlineStr">
        <is>
          <t>—</t>
        </is>
      </c>
      <c r="P124" s="86" t="inlineStr">
        <is>
          <t>—</t>
        </is>
      </c>
      <c r="Q124" s="86" t="inlineStr">
        <is>
          <t>RH-32.05</t>
        </is>
      </c>
      <c r="R124" s="91" t="inlineStr">
        <is>
          <t>Libellé (« Donnée »)</t>
        </is>
      </c>
    </row>
    <row r="125" ht="35.05" customHeight="1" s="53">
      <c r="A125" s="81" t="inlineStr">
        <is>
          <t>RH-32.02</t>
        </is>
      </c>
      <c r="B125" s="67" t="inlineStr">
        <is>
          <t>RH-32</t>
        </is>
      </c>
      <c r="C125" s="95">
        <f>IFERROR(INDEX(Thèmes!$D$2:$D$190,MATCH(B125,Thèmes!$A$2:$A$190,0)),"")</f>
        <v/>
      </c>
      <c r="D125" s="68" t="inlineStr">
        <is>
          <t>R16 · Départs et absences</t>
        </is>
      </c>
      <c r="E125" s="68" t="inlineStr">
        <is>
          <t>Départs sur un poste clé, et remplacement : fait, en cours, non</t>
        </is>
      </c>
      <c r="F125" s="68" t="inlineStr">
        <is>
          <t>Nombre + choix</t>
        </is>
      </c>
      <c r="G125" s="67" t="inlineStr">
        <is>
          <t>Demandée</t>
        </is>
      </c>
      <c r="H125" s="67" t="inlineStr">
        <is>
          <t>Essentiel</t>
        </is>
      </c>
      <c r="I125" s="68" t="inlineStr">
        <is>
          <t>—</t>
        </is>
      </c>
      <c r="J125" s="68" t="inlineStr">
        <is>
          <t>Période adaptée : depuis la création si moins de 12 mois</t>
        </is>
      </c>
      <c r="K125" s="67" t="n"/>
      <c r="L125" s="67" t="inlineStr">
        <is>
          <t>●</t>
        </is>
      </c>
      <c r="M125" s="67" t="inlineStr">
        <is>
          <t>●</t>
        </is>
      </c>
      <c r="N125" s="68" t="inlineStr">
        <is>
          <t>Risque</t>
        </is>
      </c>
      <c r="O125" s="68" t="inlineStr">
        <is>
          <t>—</t>
        </is>
      </c>
      <c r="P125" s="68" t="inlineStr">
        <is>
          <t>—</t>
        </is>
      </c>
      <c r="Q125" s="68" t="inlineStr">
        <is>
          <t>XR17</t>
        </is>
      </c>
      <c r="R125" s="83" t="n"/>
    </row>
    <row r="126" ht="23.85" customHeight="1" s="53">
      <c r="A126" s="94" t="inlineStr">
        <is>
          <t>RH-32.03</t>
        </is>
      </c>
      <c r="B126" s="67" t="inlineStr">
        <is>
          <t>RH-32</t>
        </is>
      </c>
      <c r="C126" s="95">
        <f>IFERROR(INDEX(Thèmes!$D$2:$D$190,MATCH(B126,Thèmes!$A$2:$A$190,0)),"")</f>
        <v/>
      </c>
      <c r="D126" s="68" t="inlineStr">
        <is>
          <t>R16 · Départs et absences</t>
        </is>
      </c>
      <c r="E126" s="68" t="inlineStr">
        <is>
          <t>Cause principale connue : rémunération, charge de travail, management, évolution, distance, inconnue</t>
        </is>
      </c>
      <c r="F126" s="68" t="inlineStr">
        <is>
          <t>Choix</t>
        </is>
      </c>
      <c r="G126" s="67" t="inlineStr">
        <is>
          <t>Demandée</t>
        </is>
      </c>
      <c r="H126" s="67" t="inlineStr">
        <is>
          <t>Approfondi</t>
        </is>
      </c>
      <c r="I126" s="99" t="inlineStr">
        <is>
          <t>D54 · s'il y a eu des départs</t>
        </is>
      </c>
      <c r="J126" s="68" t="inlineStr">
        <is>
          <t>—</t>
        </is>
      </c>
      <c r="K126" s="67" t="n"/>
      <c r="L126" s="67" t="n"/>
      <c r="M126" s="67" t="inlineStr">
        <is>
          <t>●</t>
        </is>
      </c>
      <c r="N126" s="68" t="inlineStr">
        <is>
          <t>Levier</t>
        </is>
      </c>
      <c r="O126" s="68" t="inlineStr">
        <is>
          <t>—</t>
        </is>
      </c>
      <c r="P126" s="68" t="inlineStr">
        <is>
          <t>—</t>
        </is>
      </c>
      <c r="Q126" s="68" t="inlineStr">
        <is>
          <t>Lue par l'IA pour adapter le conseil</t>
        </is>
      </c>
      <c r="R126" s="83" t="inlineStr">
        <is>
          <t>Condition d'affichage</t>
        </is>
      </c>
    </row>
    <row r="127" ht="23.85" customHeight="1" s="53">
      <c r="A127" s="94" t="inlineStr">
        <is>
          <t>RH-32.04</t>
        </is>
      </c>
      <c r="B127" s="67" t="inlineStr">
        <is>
          <t>RH-32</t>
        </is>
      </c>
      <c r="C127" s="95">
        <f>IFERROR(INDEX(Thèmes!$D$2:$D$190,MATCH(B127,Thèmes!$A$2:$A$190,0)),"")</f>
        <v/>
      </c>
      <c r="D127" s="68" t="inlineStr">
        <is>
          <t>R16 · Départs et absences</t>
        </is>
      </c>
      <c r="E127" s="68" t="inlineStr">
        <is>
          <t>Fonctions concernées et ancienneté moyenne au départ</t>
        </is>
      </c>
      <c r="F127" s="68" t="inlineStr">
        <is>
          <t>Choix + mois</t>
        </is>
      </c>
      <c r="G127" s="67" t="inlineStr">
        <is>
          <t>Demandée</t>
        </is>
      </c>
      <c r="H127" s="67" t="inlineStr">
        <is>
          <t>Approfondi</t>
        </is>
      </c>
      <c r="I127" s="99" t="inlineStr">
        <is>
          <t>D54 · s'il y a eu des départs</t>
        </is>
      </c>
      <c r="J127" s="68" t="inlineStr">
        <is>
          <t>—</t>
        </is>
      </c>
      <c r="K127" s="67" t="n"/>
      <c r="L127" s="67" t="n"/>
      <c r="M127" s="67" t="inlineStr">
        <is>
          <t>●</t>
        </is>
      </c>
      <c r="N127" s="68" t="inlineStr">
        <is>
          <t>Levier</t>
        </is>
      </c>
      <c r="O127" s="68" t="inlineStr">
        <is>
          <t>—</t>
        </is>
      </c>
      <c r="P127" s="68" t="inlineStr">
        <is>
          <t>—</t>
        </is>
      </c>
      <c r="Q127" s="68" t="inlineStr">
        <is>
          <t>Lue par l'IA pour adapter le conseil</t>
        </is>
      </c>
      <c r="R127" s="83" t="inlineStr">
        <is>
          <t>Condition d'affichage</t>
        </is>
      </c>
    </row>
    <row r="128" ht="35.05" customHeight="1" s="53">
      <c r="A128" s="81" t="inlineStr">
        <is>
          <t>RH-32.05</t>
        </is>
      </c>
      <c r="B128" s="67" t="inlineStr">
        <is>
          <t>RH-32</t>
        </is>
      </c>
      <c r="C128" s="95">
        <f>IFERROR(INDEX(Thèmes!$D$2:$D$190,MATCH(B128,Thèmes!$A$2:$A$190,0)),"")</f>
        <v/>
      </c>
      <c r="D128" s="68" t="inlineStr">
        <is>
          <t>—</t>
        </is>
      </c>
      <c r="E128" s="68" t="inlineStr">
        <is>
          <t>Taux de départ annuel</t>
        </is>
      </c>
      <c r="F128" s="68" t="inlineStr">
        <is>
          <t>%</t>
        </is>
      </c>
      <c r="G128" s="96" t="inlineStr">
        <is>
          <t>Calculée</t>
        </is>
      </c>
      <c r="H128" s="67" t="inlineStr">
        <is>
          <t>—</t>
        </is>
      </c>
      <c r="I128" s="68" t="inlineStr">
        <is>
          <t>—</t>
        </is>
      </c>
      <c r="J128" s="68" t="inlineStr">
        <is>
          <t>—</t>
        </is>
      </c>
      <c r="K128" s="67" t="n"/>
      <c r="L128" s="67" t="n"/>
      <c r="M128" s="67" t="inlineStr">
        <is>
          <t>●</t>
        </is>
      </c>
      <c r="N128" s="68" t="inlineStr">
        <is>
          <t>Cible</t>
        </is>
      </c>
      <c r="O128" s="68" t="inlineStr">
        <is>
          <t>Départs ÷ effectif, ramené à 12 mois si la période est plus courte ; comparé au secteur seulement à partir de 10 personnes</t>
        </is>
      </c>
      <c r="P128" s="68" t="inlineStr">
        <is>
          <t>RH-32.01, Inscription · effectif</t>
        </is>
      </c>
      <c r="Q128" s="68" t="inlineStr">
        <is>
          <t>XR17</t>
        </is>
      </c>
      <c r="R128" s="83" t="n"/>
    </row>
    <row r="129" ht="23.85" customHeight="1" s="53">
      <c r="A129" s="92" t="inlineStr">
        <is>
          <t>RH-32.06</t>
        </is>
      </c>
      <c r="B129" s="67" t="inlineStr">
        <is>
          <t>RH-32</t>
        </is>
      </c>
      <c r="C129" s="95">
        <f>IFERROR(INDEX(Thèmes!$D$2:$D$190,MATCH(B129,Thèmes!$A$2:$A$190,0)),"")</f>
        <v/>
      </c>
      <c r="D129" s="68" t="inlineStr">
        <is>
          <t>—</t>
        </is>
      </c>
      <c r="E129" s="68" t="inlineStr">
        <is>
          <t>Transmission du savoir-faire avant un départ</t>
        </is>
      </c>
      <c r="F129" s="68" t="inlineStr">
        <is>
          <t>Choix</t>
        </is>
      </c>
      <c r="G129" s="67" t="inlineStr">
        <is>
          <t>Demandée</t>
        </is>
      </c>
      <c r="H129" s="67" t="inlineStr">
        <is>
          <t>Approfondi</t>
        </is>
      </c>
      <c r="I129" s="68" t="inlineStr">
        <is>
          <t>—</t>
        </is>
      </c>
      <c r="J129" s="68" t="inlineStr">
        <is>
          <t>—</t>
        </is>
      </c>
      <c r="K129" s="67" t="n"/>
      <c r="L129" s="67" t="inlineStr">
        <is>
          <t>●</t>
        </is>
      </c>
      <c r="M129" s="67" t="inlineStr">
        <is>
          <t>●</t>
        </is>
      </c>
      <c r="N129" s="68" t="inlineStr">
        <is>
          <t>—</t>
        </is>
      </c>
      <c r="O129" s="68" t="inlineStr">
        <is>
          <t>—</t>
        </is>
      </c>
      <c r="P129" s="68" t="inlineStr">
        <is>
          <t>—</t>
        </is>
      </c>
      <c r="Q129" s="68" t="inlineStr">
        <is>
          <t>—</t>
        </is>
      </c>
      <c r="R129" s="83" t="inlineStr">
        <is>
          <t>Nouveau</t>
        </is>
      </c>
    </row>
    <row r="130" ht="35.05" customHeight="1" s="53">
      <c r="A130" s="85" t="inlineStr">
        <is>
          <t>RH-33.01</t>
        </is>
      </c>
      <c r="B130" s="89" t="inlineStr">
        <is>
          <t>RH-33</t>
        </is>
      </c>
      <c r="C130" s="97">
        <f>IFERROR(INDEX(Thèmes!$D$2:$D$190,MATCH(B130,Thèmes!$A$2:$A$190,0)),"")</f>
        <v/>
      </c>
      <c r="D130" s="86" t="inlineStr">
        <is>
          <t>R16 · Départs et absences</t>
        </is>
      </c>
      <c r="E130" s="86" t="inlineStr">
        <is>
          <t>Parmi les recrues de la période : départs avant 3 mois, entre 3 et 6 mois, entre 6 et 12 mois, et à l'initiative de qui</t>
        </is>
      </c>
      <c r="F130" s="86" t="inlineStr">
        <is>
          <t>Tableau 3 × 2</t>
        </is>
      </c>
      <c r="G130" s="89" t="inlineStr">
        <is>
          <t>Demandée</t>
        </is>
      </c>
      <c r="H130" s="89" t="inlineStr">
        <is>
          <t>Essentiel</t>
        </is>
      </c>
      <c r="I130" s="100" t="inlineStr">
        <is>
          <t>D13 · si recrutement sur la période</t>
        </is>
      </c>
      <c r="J130" s="86" t="inlineStr">
        <is>
          <t>Période adaptée : depuis la création si moins de 12 mois</t>
        </is>
      </c>
      <c r="K130" s="89" t="n"/>
      <c r="L130" s="89" t="n"/>
      <c r="M130" s="89" t="inlineStr">
        <is>
          <t>●</t>
        </is>
      </c>
      <c r="N130" s="86" t="inlineStr">
        <is>
          <t>Problème</t>
        </is>
      </c>
      <c r="O130" s="86" t="inlineStr">
        <is>
          <t>—</t>
        </is>
      </c>
      <c r="P130" s="86" t="inlineStr">
        <is>
          <t>—</t>
        </is>
      </c>
      <c r="Q130" s="86" t="inlineStr">
        <is>
          <t>RH-33.02, RH-33.03</t>
        </is>
      </c>
      <c r="R130" s="91" t="n"/>
    </row>
    <row r="131" ht="23.85" customHeight="1" s="53">
      <c r="A131" s="81" t="inlineStr">
        <is>
          <t>RH-33.02</t>
        </is>
      </c>
      <c r="B131" s="67" t="inlineStr">
        <is>
          <t>RH-33</t>
        </is>
      </c>
      <c r="C131" s="95">
        <f>IFERROR(INDEX(Thèmes!$D$2:$D$190,MATCH(B131,Thèmes!$A$2:$A$190,0)),"")</f>
        <v/>
      </c>
      <c r="D131" s="68" t="inlineStr">
        <is>
          <t>—</t>
        </is>
      </c>
      <c r="E131" s="68" t="inlineStr">
        <is>
          <t>Taux d'échec d'intégration</t>
        </is>
      </c>
      <c r="F131" s="68" t="inlineStr">
        <is>
          <t>%</t>
        </is>
      </c>
      <c r="G131" s="96" t="inlineStr">
        <is>
          <t>Calculée</t>
        </is>
      </c>
      <c r="H131" s="67" t="inlineStr">
        <is>
          <t>—</t>
        </is>
      </c>
      <c r="I131" s="68" t="inlineStr">
        <is>
          <t>—</t>
        </is>
      </c>
      <c r="J131" s="68" t="inlineStr">
        <is>
          <t>—</t>
        </is>
      </c>
      <c r="K131" s="67" t="n"/>
      <c r="L131" s="67" t="n"/>
      <c r="M131" s="67" t="inlineStr">
        <is>
          <t>●</t>
        </is>
      </c>
      <c r="N131" s="68" t="inlineStr">
        <is>
          <t>Cible</t>
        </is>
      </c>
      <c r="O131" s="68" t="inlineStr">
        <is>
          <t>Départs dans la première année ÷ recrutements de la période</t>
        </is>
      </c>
      <c r="P131" s="68" t="inlineStr">
        <is>
          <t>RH-33.01, RH-28.02</t>
        </is>
      </c>
      <c r="Q131" s="68" t="inlineStr">
        <is>
          <t>XR18</t>
        </is>
      </c>
      <c r="R131" s="83" t="n"/>
    </row>
    <row r="132" ht="35.05" customHeight="1" s="53">
      <c r="A132" s="81" t="inlineStr">
        <is>
          <t>RH-33.03</t>
        </is>
      </c>
      <c r="B132" s="67" t="inlineStr">
        <is>
          <t>RH-33</t>
        </is>
      </c>
      <c r="C132" s="95">
        <f>IFERROR(INDEX(Thèmes!$D$2:$D$190,MATCH(B132,Thèmes!$A$2:$A$190,0)),"")</f>
        <v/>
      </c>
      <c r="D132" s="68" t="inlineStr">
        <is>
          <t>—</t>
        </is>
      </c>
      <c r="E132" s="68" t="inlineStr">
        <is>
          <t>Origine probable des départs précoces</t>
        </is>
      </c>
      <c r="F132" s="68" t="inlineStr">
        <is>
          <t>Choix</t>
        </is>
      </c>
      <c r="G132" s="96" t="inlineStr">
        <is>
          <t>Calculée</t>
        </is>
      </c>
      <c r="H132" s="67" t="inlineStr">
        <is>
          <t>—</t>
        </is>
      </c>
      <c r="I132" s="68" t="inlineStr">
        <is>
          <t>—</t>
        </is>
      </c>
      <c r="J132" s="68" t="inlineStr">
        <is>
          <t>—</t>
        </is>
      </c>
      <c r="K132" s="67" t="n"/>
      <c r="L132" s="67" t="n"/>
      <c r="M132" s="67" t="inlineStr">
        <is>
          <t>●</t>
        </is>
      </c>
      <c r="N132" s="68" t="inlineStr">
        <is>
          <t>Levier</t>
        </is>
      </c>
      <c r="O132" s="68" t="inlineStr">
        <is>
          <t>Avant 3 mois : recrutement ou promesse employeur ; 3 à 12 mois : intégration ou management</t>
        </is>
      </c>
      <c r="P132" s="68" t="inlineStr">
        <is>
          <t>RH-33.01, RH-29.01, RH-30.01</t>
        </is>
      </c>
      <c r="Q132" s="68" t="inlineStr">
        <is>
          <t>XR18</t>
        </is>
      </c>
      <c r="R132" s="83" t="n"/>
    </row>
    <row r="133" ht="35.05" customHeight="1" s="53">
      <c r="A133" s="98" t="inlineStr">
        <is>
          <t>RH-34.01</t>
        </is>
      </c>
      <c r="B133" s="89" t="inlineStr">
        <is>
          <t>RH-34</t>
        </is>
      </c>
      <c r="C133" s="97">
        <f>IFERROR(INDEX(Thèmes!$D$2:$D$190,MATCH(B133,Thèmes!$A$2:$A$190,0)),"")</f>
        <v/>
      </c>
      <c r="D133" s="86" t="inlineStr">
        <is>
          <t>R16 · Départs et absences</t>
        </is>
      </c>
      <c r="E133" s="86" t="inlineStr">
        <is>
          <t>Jours d'absence sur les 12 derniers mois, toute l'équipe, hors congés (aucune information médicale : seul l'effet sur l'organisation compte) — déclencheur D55</t>
        </is>
      </c>
      <c r="F133" s="86" t="inlineStr">
        <is>
          <t>Nombre</t>
        </is>
      </c>
      <c r="G133" s="89" t="inlineStr">
        <is>
          <t>Demandée</t>
        </is>
      </c>
      <c r="H133" s="89" t="inlineStr">
        <is>
          <t>Essentiel</t>
        </is>
      </c>
      <c r="I133" s="86" t="inlineStr">
        <is>
          <t>—</t>
        </is>
      </c>
      <c r="J133" s="86" t="inlineStr">
        <is>
          <t>Période adaptée : depuis la création si moins de 12 mois</t>
        </is>
      </c>
      <c r="K133" s="89" t="n"/>
      <c r="L133" s="89" t="n"/>
      <c r="M133" s="89" t="inlineStr">
        <is>
          <t>●</t>
        </is>
      </c>
      <c r="N133" s="86" t="inlineStr">
        <is>
          <t>Problème</t>
        </is>
      </c>
      <c r="O133" s="86" t="inlineStr">
        <is>
          <t>—</t>
        </is>
      </c>
      <c r="P133" s="86" t="inlineStr">
        <is>
          <t>—</t>
        </is>
      </c>
      <c r="Q133" s="86" t="inlineStr">
        <is>
          <t>RH-34.04</t>
        </is>
      </c>
      <c r="R133" s="91" t="inlineStr">
        <is>
          <t>Libellé (« Donnée »)</t>
        </is>
      </c>
    </row>
    <row r="134" ht="35.05" customHeight="1" s="53">
      <c r="A134" s="81" t="inlineStr">
        <is>
          <t>RH-34.02</t>
        </is>
      </c>
      <c r="B134" s="67" t="inlineStr">
        <is>
          <t>RH-34</t>
        </is>
      </c>
      <c r="C134" s="95">
        <f>IFERROR(INDEX(Thèmes!$D$2:$D$190,MATCH(B134,Thèmes!$A$2:$A$190,0)),"")</f>
        <v/>
      </c>
      <c r="D134" s="68" t="inlineStr">
        <is>
          <t>R16 · Départs et absences</t>
        </is>
      </c>
      <c r="E134" s="68" t="inlineStr">
        <is>
          <t>Absences qui ont obligé à remplacer, à faire des heures supplémentaires ou à décaler des clients : jamais, parfois, souvent</t>
        </is>
      </c>
      <c r="F134" s="68" t="inlineStr">
        <is>
          <t>Choix</t>
        </is>
      </c>
      <c r="G134" s="67" t="inlineStr">
        <is>
          <t>Demandée</t>
        </is>
      </c>
      <c r="H134" s="67" t="inlineStr">
        <is>
          <t>Essentiel</t>
        </is>
      </c>
      <c r="I134" s="68" t="inlineStr">
        <is>
          <t>—</t>
        </is>
      </c>
      <c r="J134" s="68" t="inlineStr">
        <is>
          <t>—</t>
        </is>
      </c>
      <c r="K134" s="67" t="n"/>
      <c r="L134" s="67" t="inlineStr">
        <is>
          <t>●</t>
        </is>
      </c>
      <c r="M134" s="67" t="inlineStr">
        <is>
          <t>●</t>
        </is>
      </c>
      <c r="N134" s="68" t="inlineStr">
        <is>
          <t>Risque</t>
        </is>
      </c>
      <c r="O134" s="68" t="inlineStr">
        <is>
          <t>—</t>
        </is>
      </c>
      <c r="P134" s="68" t="inlineStr">
        <is>
          <t>—</t>
        </is>
      </c>
      <c r="Q134" s="68" t="inlineStr">
        <is>
          <t>XR26</t>
        </is>
      </c>
      <c r="R134" s="83" t="n"/>
    </row>
    <row r="135" ht="23.85" customHeight="1" s="53">
      <c r="A135" s="94" t="inlineStr">
        <is>
          <t>RH-34.03</t>
        </is>
      </c>
      <c r="B135" s="67" t="inlineStr">
        <is>
          <t>RH-34</t>
        </is>
      </c>
      <c r="C135" s="95">
        <f>IFERROR(INDEX(Thèmes!$D$2:$D$190,MATCH(B135,Thèmes!$A$2:$A$190,0)),"")</f>
        <v/>
      </c>
      <c r="D135" s="68" t="inlineStr">
        <is>
          <t>R16 · Départs et absences</t>
        </is>
      </c>
      <c r="E135" s="68" t="inlineStr">
        <is>
          <t>Dont absences de plus d'une semaine</t>
        </is>
      </c>
      <c r="F135" s="68" t="inlineStr">
        <is>
          <t>Nombre</t>
        </is>
      </c>
      <c r="G135" s="67" t="inlineStr">
        <is>
          <t>Demandée</t>
        </is>
      </c>
      <c r="H135" s="67" t="inlineStr">
        <is>
          <t>Approfondi</t>
        </is>
      </c>
      <c r="I135" s="99" t="inlineStr">
        <is>
          <t>D55 · s'il y a eu des absences</t>
        </is>
      </c>
      <c r="J135" s="68" t="inlineStr">
        <is>
          <t>—</t>
        </is>
      </c>
      <c r="K135" s="67" t="n"/>
      <c r="L135" s="67" t="n"/>
      <c r="M135" s="67" t="inlineStr">
        <is>
          <t>●</t>
        </is>
      </c>
      <c r="N135" s="68" t="inlineStr">
        <is>
          <t>Problème</t>
        </is>
      </c>
      <c r="O135" s="68" t="inlineStr">
        <is>
          <t>—</t>
        </is>
      </c>
      <c r="P135" s="68" t="inlineStr">
        <is>
          <t>—</t>
        </is>
      </c>
      <c r="Q135" s="68" t="inlineStr">
        <is>
          <t>Lue par l'IA pour adapter le conseil</t>
        </is>
      </c>
      <c r="R135" s="83" t="inlineStr">
        <is>
          <t>Condition d'affichage</t>
        </is>
      </c>
    </row>
    <row r="136" ht="23.85" customHeight="1" s="53">
      <c r="A136" s="81" t="inlineStr">
        <is>
          <t>RH-34.04</t>
        </is>
      </c>
      <c r="B136" s="67" t="inlineStr">
        <is>
          <t>RH-34</t>
        </is>
      </c>
      <c r="C136" s="95">
        <f>IFERROR(INDEX(Thèmes!$D$2:$D$190,MATCH(B136,Thèmes!$A$2:$A$190,0)),"")</f>
        <v/>
      </c>
      <c r="D136" s="68" t="inlineStr">
        <is>
          <t>—</t>
        </is>
      </c>
      <c r="E136" s="68" t="inlineStr">
        <is>
          <t>Jours d'absence par personne et taux d'absence</t>
        </is>
      </c>
      <c r="F136" s="68" t="inlineStr">
        <is>
          <t>Jours et %</t>
        </is>
      </c>
      <c r="G136" s="96" t="inlineStr">
        <is>
          <t>Calculée</t>
        </is>
      </c>
      <c r="H136" s="67" t="inlineStr">
        <is>
          <t>—</t>
        </is>
      </c>
      <c r="I136" s="68" t="inlineStr">
        <is>
          <t>—</t>
        </is>
      </c>
      <c r="J136" s="68" t="inlineStr">
        <is>
          <t>—</t>
        </is>
      </c>
      <c r="K136" s="67" t="n"/>
      <c r="L136" s="67" t="n"/>
      <c r="M136" s="67" t="inlineStr">
        <is>
          <t>●</t>
        </is>
      </c>
      <c r="N136" s="68" t="inlineStr">
        <is>
          <t>Cible</t>
        </is>
      </c>
      <c r="O136" s="68" t="inlineStr">
        <is>
          <t>Jours d'absence ÷ effectif, puis ÷ jours travaillés</t>
        </is>
      </c>
      <c r="P136" s="68" t="inlineStr">
        <is>
          <t>RH-34.01, Inscription · effectif</t>
        </is>
      </c>
      <c r="Q136" s="68" t="inlineStr">
        <is>
          <t>XR26</t>
        </is>
      </c>
      <c r="R136" s="83" t="n"/>
    </row>
    <row r="137" ht="23.85" customHeight="1" s="53">
      <c r="A137" s="85" t="inlineStr">
        <is>
          <t>RH-35.01</t>
        </is>
      </c>
      <c r="B137" s="89" t="inlineStr">
        <is>
          <t>RH-35</t>
        </is>
      </c>
      <c r="C137" s="97">
        <f>IFERROR(INDEX(Thèmes!$D$2:$D$190,MATCH(B137,Thèmes!$A$2:$A$190,0)),"")</f>
        <v/>
      </c>
      <c r="D137" s="86" t="inlineStr">
        <is>
          <t>R16 · Départs et absences</t>
        </is>
      </c>
      <c r="E137" s="86" t="inlineStr">
        <is>
          <t>Vous recueillez l'avis de l'équipe sur ses conditions de travail : questionnaire, entretien, jamais</t>
        </is>
      </c>
      <c r="F137" s="86" t="inlineStr">
        <is>
          <t>Choix</t>
        </is>
      </c>
      <c r="G137" s="89" t="inlineStr">
        <is>
          <t>Demandée</t>
        </is>
      </c>
      <c r="H137" s="89" t="inlineStr">
        <is>
          <t>Essentiel</t>
        </is>
      </c>
      <c r="I137" s="86" t="inlineStr">
        <is>
          <t>—</t>
        </is>
      </c>
      <c r="J137" s="86" t="inlineStr">
        <is>
          <t>—</t>
        </is>
      </c>
      <c r="K137" s="89" t="n"/>
      <c r="L137" s="89" t="n"/>
      <c r="M137" s="89" t="inlineStr">
        <is>
          <t>●</t>
        </is>
      </c>
      <c r="N137" s="86" t="inlineStr">
        <is>
          <t>Levier</t>
        </is>
      </c>
      <c r="O137" s="86" t="inlineStr">
        <is>
          <t>—</t>
        </is>
      </c>
      <c r="P137" s="86" t="inlineStr">
        <is>
          <t>—</t>
        </is>
      </c>
      <c r="Q137" s="86" t="inlineStr">
        <is>
          <t>Notée directement (couleur du thème)</t>
        </is>
      </c>
      <c r="R137" s="91" t="n"/>
    </row>
    <row r="138" ht="23.85" customHeight="1" s="53">
      <c r="A138" s="81" t="inlineStr">
        <is>
          <t>RH-35.02</t>
        </is>
      </c>
      <c r="B138" s="67" t="inlineStr">
        <is>
          <t>RH-35</t>
        </is>
      </c>
      <c r="C138" s="95">
        <f>IFERROR(INDEX(Thèmes!$D$2:$D$190,MATCH(B138,Thèmes!$A$2:$A$190,0)),"")</f>
        <v/>
      </c>
      <c r="D138" s="68" t="inlineStr">
        <is>
          <t>R16 · Départs et absences</t>
        </is>
      </c>
      <c r="E138" s="68" t="inlineStr">
        <is>
          <t>Résultats du mini-questionnaire anonyme envoyé à l'équipe (5 questions), si vous l'activez</t>
        </is>
      </c>
      <c r="F138" s="68" t="inlineStr">
        <is>
          <t>Scores</t>
        </is>
      </c>
      <c r="G138" s="101" t="inlineStr">
        <is>
          <t>Importée</t>
        </is>
      </c>
      <c r="H138" s="67" t="inlineStr">
        <is>
          <t>Approfondi</t>
        </is>
      </c>
      <c r="I138" s="68" t="inlineStr">
        <is>
          <t>—</t>
        </is>
      </c>
      <c r="J138" s="68" t="inlineStr">
        <is>
          <t>—</t>
        </is>
      </c>
      <c r="K138" s="67" t="n"/>
      <c r="L138" s="67" t="n"/>
      <c r="M138" s="67" t="inlineStr">
        <is>
          <t>●</t>
        </is>
      </c>
      <c r="N138" s="68" t="inlineStr">
        <is>
          <t>Cible</t>
        </is>
      </c>
      <c r="O138" s="68" t="inlineStr">
        <is>
          <t>Rempli par les salariés eux-mêmes : seule référence extérieure au regard du dirigeant</t>
        </is>
      </c>
      <c r="P138" s="68" t="inlineStr">
        <is>
          <t>—</t>
        </is>
      </c>
      <c r="Q138" s="68" t="inlineStr">
        <is>
          <t>Notée directement (couleur du thème)</t>
        </is>
      </c>
      <c r="R138" s="83" t="n"/>
    </row>
    <row r="139" ht="23.85" customHeight="1" s="53">
      <c r="A139" s="85" t="inlineStr">
        <is>
          <t>RH-36.01</t>
        </is>
      </c>
      <c r="B139" s="89" t="inlineStr">
        <is>
          <t>RH-36</t>
        </is>
      </c>
      <c r="C139" s="97">
        <f>IFERROR(INDEX(Thèmes!$D$2:$D$190,MATCH(B139,Thèmes!$A$2:$A$190,0)),"")</f>
        <v/>
      </c>
      <c r="D139" s="86" t="inlineStr">
        <is>
          <t>R16 · Départs et absences</t>
        </is>
      </c>
      <c r="E139" s="86" t="inlineStr">
        <is>
          <t>Façons de reconnaître le travail bien fait : remerciement, prime, évolution, responsabilité, aucune en particulier</t>
        </is>
      </c>
      <c r="F139" s="86" t="inlineStr">
        <is>
          <t>Cases à cocher</t>
        </is>
      </c>
      <c r="G139" s="89" t="inlineStr">
        <is>
          <t>Demandée</t>
        </is>
      </c>
      <c r="H139" s="89" t="inlineStr">
        <is>
          <t>Approfondi</t>
        </is>
      </c>
      <c r="I139" s="86" t="inlineStr">
        <is>
          <t>—</t>
        </is>
      </c>
      <c r="J139" s="86" t="inlineStr">
        <is>
          <t>—</t>
        </is>
      </c>
      <c r="K139" s="89" t="n"/>
      <c r="L139" s="89" t="n"/>
      <c r="M139" s="89" t="inlineStr">
        <is>
          <t>●</t>
        </is>
      </c>
      <c r="N139" s="86" t="inlineStr">
        <is>
          <t>Levier</t>
        </is>
      </c>
      <c r="O139" s="86" t="inlineStr">
        <is>
          <t>—</t>
        </is>
      </c>
      <c r="P139" s="86" t="inlineStr">
        <is>
          <t>—</t>
        </is>
      </c>
      <c r="Q139" s="86" t="inlineStr">
        <is>
          <t>Lue par l'IA pour adapter le conseil</t>
        </is>
      </c>
      <c r="R139" s="91" t="n"/>
    </row>
    <row r="140" ht="68.65000000000001" customHeight="1" s="53">
      <c r="A140" s="98" t="inlineStr">
        <is>
          <t>RH-37.01</t>
        </is>
      </c>
      <c r="B140" s="89" t="inlineStr">
        <is>
          <t>RH-37</t>
        </is>
      </c>
      <c r="C140" s="97">
        <f>IFERROR(INDEX(Thèmes!$D$2:$D$190,MATCH(B140,Thèmes!$A$2:$A$190,0)),"")</f>
        <v/>
      </c>
      <c r="D140" s="86" t="inlineStr">
        <is>
          <t>R17 · Personnes et fonctions critiques (tableau)</t>
        </is>
      </c>
      <c r="E140" s="86" t="inlineStr">
        <is>
          <t>Personnes, en dehors du dirigeant, dont l'absence bloque l'activité (3 au plus) : fonction, ce qu'elle seule sait faire, accès ou informations qu'elle seule détient, clients qui ne passent que par elle, remplaçant possible, procédure écrite (le dirigeant est dans RH-05.10) — déclencheur D57</t>
        </is>
      </c>
      <c r="F140" s="86" t="inlineStr">
        <is>
          <t>Tableau 3 × 6</t>
        </is>
      </c>
      <c r="G140" s="89" t="inlineStr">
        <is>
          <t>Demandée</t>
        </is>
      </c>
      <c r="H140" s="89" t="inlineStr">
        <is>
          <t>Essentiel</t>
        </is>
      </c>
      <c r="I140" s="86" t="inlineStr">
        <is>
          <t>—</t>
        </is>
      </c>
      <c r="J140" s="86" t="inlineStr">
        <is>
          <t>—</t>
        </is>
      </c>
      <c r="K140" s="89" t="n"/>
      <c r="L140" s="89" t="inlineStr">
        <is>
          <t>●</t>
        </is>
      </c>
      <c r="M140" s="89" t="inlineStr">
        <is>
          <t>●</t>
        </is>
      </c>
      <c r="N140" s="86" t="inlineStr">
        <is>
          <t>Risque</t>
        </is>
      </c>
      <c r="O140" s="86" t="inlineStr">
        <is>
          <t>—</t>
        </is>
      </c>
      <c r="P140" s="86" t="inlineStr">
        <is>
          <t>—</t>
        </is>
      </c>
      <c r="Q140" s="86" t="inlineStr">
        <is>
          <t>RH-37.03, RH-37.04, RH-38.03, XR24</t>
        </is>
      </c>
      <c r="R140" s="91" t="inlineStr">
        <is>
          <t>Libellé (« Donnée ») · Profils ou tailles concernés</t>
        </is>
      </c>
    </row>
    <row r="141" ht="35.05" customHeight="1" s="53">
      <c r="A141" s="94" t="inlineStr">
        <is>
          <t>RH-37.02</t>
        </is>
      </c>
      <c r="B141" s="67" t="inlineStr">
        <is>
          <t>RH-37</t>
        </is>
      </c>
      <c r="C141" s="95">
        <f>IFERROR(INDEX(Thèmes!$D$2:$D$190,MATCH(B141,Thèmes!$A$2:$A$190,0)),"")</f>
        <v/>
      </c>
      <c r="D141" s="68" t="inlineStr">
        <is>
          <t>R17 · Personnes et fonctions critiques (tableau)</t>
        </is>
      </c>
      <c r="E141" s="68" t="inlineStr">
        <is>
          <t>Temps nécessaire pour former un remplaçant à chacune</t>
        </is>
      </c>
      <c r="F141" s="68" t="inlineStr">
        <is>
          <t>Semaines par ligne</t>
        </is>
      </c>
      <c r="G141" s="67" t="inlineStr">
        <is>
          <t>Demandée</t>
        </is>
      </c>
      <c r="H141" s="67" t="inlineStr">
        <is>
          <t>Approfondi</t>
        </is>
      </c>
      <c r="I141" s="99" t="inlineStr">
        <is>
          <t>D57 · s'il y a une personne clé</t>
        </is>
      </c>
      <c r="J141" s="68" t="inlineStr">
        <is>
          <t>—</t>
        </is>
      </c>
      <c r="K141" s="67" t="n"/>
      <c r="L141" s="67" t="inlineStr">
        <is>
          <t>●</t>
        </is>
      </c>
      <c r="M141" s="67" t="inlineStr">
        <is>
          <t>●</t>
        </is>
      </c>
      <c r="N141" s="68" t="inlineStr">
        <is>
          <t>Capacité</t>
        </is>
      </c>
      <c r="O141" s="68" t="inlineStr">
        <is>
          <t>—</t>
        </is>
      </c>
      <c r="P141" s="68" t="inlineStr">
        <is>
          <t>—</t>
        </is>
      </c>
      <c r="Q141" s="68" t="inlineStr">
        <is>
          <t>Lue par l'IA pour adapter le conseil</t>
        </is>
      </c>
      <c r="R141" s="83" t="inlineStr">
        <is>
          <t>Condition d'affichage · Profils ou tailles concernés</t>
        </is>
      </c>
    </row>
    <row r="142" ht="23.85" customHeight="1" s="53">
      <c r="A142" s="81" t="inlineStr">
        <is>
          <t>RH-37.03</t>
        </is>
      </c>
      <c r="B142" s="67" t="inlineStr">
        <is>
          <t>RH-37</t>
        </is>
      </c>
      <c r="C142" s="95">
        <f>IFERROR(INDEX(Thèmes!$D$2:$D$190,MATCH(B142,Thèmes!$A$2:$A$190,0)),"")</f>
        <v/>
      </c>
      <c r="D142" s="68" t="inlineStr">
        <is>
          <t>—</t>
        </is>
      </c>
      <c r="E142" s="68" t="inlineStr">
        <is>
          <t>Personnes critiques sans remplaçant ni procédure</t>
        </is>
      </c>
      <c r="F142" s="68" t="inlineStr">
        <is>
          <t>Nombre</t>
        </is>
      </c>
      <c r="G142" s="96" t="inlineStr">
        <is>
          <t>Calculée</t>
        </is>
      </c>
      <c r="H142" s="67" t="inlineStr">
        <is>
          <t>—</t>
        </is>
      </c>
      <c r="I142" s="68" t="inlineStr">
        <is>
          <t>—</t>
        </is>
      </c>
      <c r="J142" s="68" t="inlineStr">
        <is>
          <t>—</t>
        </is>
      </c>
      <c r="K142" s="67" t="inlineStr">
        <is>
          <t>●</t>
        </is>
      </c>
      <c r="L142" s="67" t="inlineStr">
        <is>
          <t>●</t>
        </is>
      </c>
      <c r="M142" s="67" t="inlineStr">
        <is>
          <t>●</t>
        </is>
      </c>
      <c r="N142" s="68" t="inlineStr">
        <is>
          <t>Risque</t>
        </is>
      </c>
      <c r="O142" s="68" t="inlineStr">
        <is>
          <t>Lignes sans remplaçant et sans procédure</t>
        </is>
      </c>
      <c r="P142" s="68" t="inlineStr">
        <is>
          <t>RH-37.01</t>
        </is>
      </c>
      <c r="Q142" s="68" t="inlineStr">
        <is>
          <t>XR21</t>
        </is>
      </c>
      <c r="R142" s="83" t="n"/>
    </row>
    <row r="143" ht="35.05" customHeight="1" s="53">
      <c r="A143" s="81" t="inlineStr">
        <is>
          <t>RH-37.04</t>
        </is>
      </c>
      <c r="B143" s="67" t="inlineStr">
        <is>
          <t>RH-37</t>
        </is>
      </c>
      <c r="C143" s="95">
        <f>IFERROR(INDEX(Thèmes!$D$2:$D$190,MATCH(B143,Thèmes!$A$2:$A$190,0)),"")</f>
        <v/>
      </c>
      <c r="D143" s="68" t="inlineStr">
        <is>
          <t>—</t>
        </is>
      </c>
      <c r="E143" s="68" t="inlineStr">
        <is>
          <t>Risque concentré malgré un savoir-faire partagé</t>
        </is>
      </c>
      <c r="F143" s="68" t="inlineStr">
        <is>
          <t>Liste</t>
        </is>
      </c>
      <c r="G143" s="96" t="inlineStr">
        <is>
          <t>Calculée</t>
        </is>
      </c>
      <c r="H143" s="67" t="inlineStr">
        <is>
          <t>—</t>
        </is>
      </c>
      <c r="I143" s="68" t="inlineStr">
        <is>
          <t>—</t>
        </is>
      </c>
      <c r="J143" s="68" t="inlineStr">
        <is>
          <t>—</t>
        </is>
      </c>
      <c r="K143" s="67" t="inlineStr">
        <is>
          <t>●</t>
        </is>
      </c>
      <c r="L143" s="67" t="inlineStr">
        <is>
          <t>●</t>
        </is>
      </c>
      <c r="M143" s="67" t="inlineStr">
        <is>
          <t>●</t>
        </is>
      </c>
      <c r="N143" s="68" t="inlineStr">
        <is>
          <t>Risque</t>
        </is>
      </c>
      <c r="O143" s="68" t="inlineStr">
        <is>
          <t>Tâches maîtrisées par plusieurs personnes mais dont les accès ou les clients ne dépendent que d'une seule</t>
        </is>
      </c>
      <c r="P143" s="68" t="inlineStr">
        <is>
          <t>RH-37.01, RH-27.01</t>
        </is>
      </c>
      <c r="Q143" s="68" t="inlineStr">
        <is>
          <t>XR21</t>
        </is>
      </c>
      <c r="R143" s="83" t="n"/>
    </row>
    <row r="144" ht="35.05" customHeight="1" s="53">
      <c r="A144" s="98" t="inlineStr">
        <is>
          <t>RH-38.01</t>
        </is>
      </c>
      <c r="B144" s="89" t="inlineStr">
        <is>
          <t>RH-38</t>
        </is>
      </c>
      <c r="C144" s="97">
        <f>IFERROR(INDEX(Thèmes!$D$2:$D$190,MATCH(B144,Thèmes!$A$2:$A$190,0)),"")</f>
        <v/>
      </c>
      <c r="D144" s="86" t="inlineStr">
        <is>
          <t>R17 · Personnes et fonctions critiques (tableau)</t>
        </is>
      </c>
      <c r="E144" s="86" t="inlineStr">
        <is>
          <t>Pour chaque personne de RH-37.01 : absence possible sans retard pour les clients (la ligne du dirigeant est RH-05.10)</t>
        </is>
      </c>
      <c r="F144" s="86" t="inlineStr">
        <is>
          <t>Choix par ligne</t>
        </is>
      </c>
      <c r="G144" s="89" t="inlineStr">
        <is>
          <t>Demandée</t>
        </is>
      </c>
      <c r="H144" s="89" t="inlineStr">
        <is>
          <t>Essentiel</t>
        </is>
      </c>
      <c r="I144" s="100" t="inlineStr">
        <is>
          <t>D57 · s'il y a une personne clé</t>
        </is>
      </c>
      <c r="J144" s="86" t="inlineStr">
        <is>
          <t>—</t>
        </is>
      </c>
      <c r="K144" s="89" t="n"/>
      <c r="L144" s="89" t="inlineStr">
        <is>
          <t>●</t>
        </is>
      </c>
      <c r="M144" s="89" t="inlineStr">
        <is>
          <t>●</t>
        </is>
      </c>
      <c r="N144" s="86" t="inlineStr">
        <is>
          <t>Risque</t>
        </is>
      </c>
      <c r="O144" s="86" t="inlineStr">
        <is>
          <t>—</t>
        </is>
      </c>
      <c r="P144" s="86" t="inlineStr">
        <is>
          <t>—</t>
        </is>
      </c>
      <c r="Q144" s="86" t="inlineStr">
        <is>
          <t>RH-38.03, RH-38.04, XR23</t>
        </is>
      </c>
      <c r="R144" s="91" t="inlineStr">
        <is>
          <t>Libellé (« Donnée ») · Condition d'affichage · Profils ou tailles concernés</t>
        </is>
      </c>
    </row>
    <row r="145" ht="35.05" customHeight="1" s="53">
      <c r="A145" s="94" t="inlineStr">
        <is>
          <t>RH-38.02</t>
        </is>
      </c>
      <c r="B145" s="67" t="inlineStr">
        <is>
          <t>RH-38</t>
        </is>
      </c>
      <c r="C145" s="95">
        <f>IFERROR(INDEX(Thèmes!$D$2:$D$190,MATCH(B145,Thèmes!$A$2:$A$190,0)),"")</f>
        <v/>
      </c>
      <c r="D145" s="68" t="inlineStr">
        <is>
          <t>R17 · Personnes et fonctions critiques (tableau)</t>
        </is>
      </c>
      <c r="E145" s="68" t="inlineStr">
        <is>
          <t>Au-delà, ce qui arrive en premier : retard interne, retard client, perte de CA</t>
        </is>
      </c>
      <c r="F145" s="68" t="inlineStr">
        <is>
          <t>Choix par ligne</t>
        </is>
      </c>
      <c r="G145" s="67" t="inlineStr">
        <is>
          <t>Demandée</t>
        </is>
      </c>
      <c r="H145" s="67" t="inlineStr">
        <is>
          <t>Approfondi</t>
        </is>
      </c>
      <c r="I145" s="99" t="inlineStr">
        <is>
          <t>D57 · s'il y a une personne clé</t>
        </is>
      </c>
      <c r="J145" s="68" t="inlineStr">
        <is>
          <t>—</t>
        </is>
      </c>
      <c r="K145" s="67" t="n"/>
      <c r="L145" s="67" t="inlineStr">
        <is>
          <t>●</t>
        </is>
      </c>
      <c r="M145" s="67" t="inlineStr">
        <is>
          <t>●</t>
        </is>
      </c>
      <c r="N145" s="68" t="inlineStr">
        <is>
          <t>Risque</t>
        </is>
      </c>
      <c r="O145" s="68" t="inlineStr">
        <is>
          <t>—</t>
        </is>
      </c>
      <c r="P145" s="68" t="inlineStr">
        <is>
          <t>—</t>
        </is>
      </c>
      <c r="Q145" s="68" t="inlineStr">
        <is>
          <t>XR22</t>
        </is>
      </c>
      <c r="R145" s="83" t="inlineStr">
        <is>
          <t>Condition d'affichage · Profils ou tailles concernés</t>
        </is>
      </c>
    </row>
    <row r="146" ht="15" customHeight="1" s="53">
      <c r="A146" s="81" t="inlineStr">
        <is>
          <t>RH-38.03</t>
        </is>
      </c>
      <c r="B146" s="67" t="inlineStr">
        <is>
          <t>RH-38</t>
        </is>
      </c>
      <c r="C146" s="95">
        <f>IFERROR(INDEX(Thèmes!$D$2:$D$190,MATCH(B146,Thèmes!$A$2:$A$190,0)),"")</f>
        <v/>
      </c>
      <c r="D146" s="68" t="inlineStr">
        <is>
          <t>—</t>
        </is>
      </c>
      <c r="E146" s="68" t="inlineStr">
        <is>
          <t>Fonction la plus fragile et délai avant impact client</t>
        </is>
      </c>
      <c r="F146" s="68" t="inlineStr">
        <is>
          <t>Fonction et jours</t>
        </is>
      </c>
      <c r="G146" s="96" t="inlineStr">
        <is>
          <t>Calculée</t>
        </is>
      </c>
      <c r="H146" s="67" t="inlineStr">
        <is>
          <t>—</t>
        </is>
      </c>
      <c r="I146" s="68" t="inlineStr">
        <is>
          <t>—</t>
        </is>
      </c>
      <c r="J146" s="68" t="inlineStr">
        <is>
          <t>—</t>
        </is>
      </c>
      <c r="K146" s="67" t="inlineStr">
        <is>
          <t>●</t>
        </is>
      </c>
      <c r="L146" s="67" t="inlineStr">
        <is>
          <t>●</t>
        </is>
      </c>
      <c r="M146" s="67" t="inlineStr">
        <is>
          <t>●</t>
        </is>
      </c>
      <c r="N146" s="68" t="inlineStr">
        <is>
          <t>Risque</t>
        </is>
      </c>
      <c r="O146" s="68" t="inlineStr">
        <is>
          <t>Fonction dont l'absence tolérée est la plus courte</t>
        </is>
      </c>
      <c r="P146" s="68" t="inlineStr">
        <is>
          <t>RH-38.01, RH-37.01</t>
        </is>
      </c>
      <c r="Q146" s="68" t="inlineStr">
        <is>
          <t>XR22</t>
        </is>
      </c>
      <c r="R146" s="83" t="n"/>
    </row>
    <row r="147" ht="23.85" customHeight="1" s="53">
      <c r="A147" s="81" t="inlineStr">
        <is>
          <t>RH-38.04</t>
        </is>
      </c>
      <c r="B147" s="67" t="inlineStr">
        <is>
          <t>RH-38</t>
        </is>
      </c>
      <c r="C147" s="95">
        <f>IFERROR(INDEX(Thèmes!$D$2:$D$190,MATCH(B147,Thèmes!$A$2:$A$190,0)),"")</f>
        <v/>
      </c>
      <c r="D147" s="68" t="inlineStr">
        <is>
          <t>—</t>
        </is>
      </c>
      <c r="E147" s="68" t="inlineStr">
        <is>
          <t>CA exposé par jour d'absence de la fonction la plus fragile</t>
        </is>
      </c>
      <c r="F147" s="68" t="inlineStr">
        <is>
          <t>€ par jour</t>
        </is>
      </c>
      <c r="G147" s="96" t="inlineStr">
        <is>
          <t>Calculée</t>
        </is>
      </c>
      <c r="H147" s="67" t="inlineStr">
        <is>
          <t>—</t>
        </is>
      </c>
      <c r="I147" s="68" t="inlineStr">
        <is>
          <t>—</t>
        </is>
      </c>
      <c r="J147" s="68" t="inlineStr">
        <is>
          <t>—</t>
        </is>
      </c>
      <c r="K147" s="67" t="inlineStr">
        <is>
          <t>●</t>
        </is>
      </c>
      <c r="L147" s="67" t="inlineStr">
        <is>
          <t>●</t>
        </is>
      </c>
      <c r="M147" s="67" t="inlineStr">
        <is>
          <t>●</t>
        </is>
      </c>
      <c r="N147" s="68" t="inlineStr">
        <is>
          <t>Perte</t>
        </is>
      </c>
      <c r="O147" s="68" t="inlineStr">
        <is>
          <t>CA mensuel ÷ jours ouverts par mois, au-delà du délai toléré</t>
        </is>
      </c>
      <c r="P147" s="68" t="inlineStr">
        <is>
          <t>Inscription · CA mensuel, ACQ-22.01, RH-38.01</t>
        </is>
      </c>
      <c r="Q147" s="68" t="inlineStr">
        <is>
          <t>XR22, XR23</t>
        </is>
      </c>
      <c r="R147" s="83" t="n"/>
    </row>
    <row r="148" ht="23.85" customHeight="1" s="53">
      <c r="A148" s="85" t="inlineStr">
        <is>
          <t>RH-39.01</t>
        </is>
      </c>
      <c r="B148" s="89" t="inlineStr">
        <is>
          <t>RH-39</t>
        </is>
      </c>
      <c r="C148" s="97">
        <f>IFERROR(INDEX(Thèmes!$D$2:$D$190,MATCH(B148,Thèmes!$A$2:$A$190,0)),"")</f>
        <v/>
      </c>
      <c r="D148" s="86" t="inlineStr">
        <is>
          <t>R09 · Méthodes, informations et outils</t>
        </is>
      </c>
      <c r="E148" s="86" t="inlineStr">
        <is>
          <t>Derniers changements d'organisation (outil, rôles, horaires) : préparés avec l'équipe, annoncés, imposés</t>
        </is>
      </c>
      <c r="F148" s="86" t="inlineStr">
        <is>
          <t>Choix</t>
        </is>
      </c>
      <c r="G148" s="89" t="inlineStr">
        <is>
          <t>Demandée</t>
        </is>
      </c>
      <c r="H148" s="89" t="inlineStr">
        <is>
          <t>Essentiel</t>
        </is>
      </c>
      <c r="I148" s="86" t="inlineStr">
        <is>
          <t>—</t>
        </is>
      </c>
      <c r="J148" s="86" t="inlineStr">
        <is>
          <t>—</t>
        </is>
      </c>
      <c r="K148" s="89" t="n"/>
      <c r="L148" s="89" t="n"/>
      <c r="M148" s="89" t="inlineStr">
        <is>
          <t>●</t>
        </is>
      </c>
      <c r="N148" s="86" t="inlineStr">
        <is>
          <t>Levier</t>
        </is>
      </c>
      <c r="O148" s="86" t="inlineStr">
        <is>
          <t>—</t>
        </is>
      </c>
      <c r="P148" s="86" t="inlineStr">
        <is>
          <t>—</t>
        </is>
      </c>
      <c r="Q148" s="86" t="inlineStr">
        <is>
          <t>Notée directement (couleur du thème)</t>
        </is>
      </c>
      <c r="R148" s="91" t="n"/>
    </row>
    <row r="149" ht="23.85" customHeight="1" s="53">
      <c r="A149" s="85" t="inlineStr">
        <is>
          <t>RH-40.01</t>
        </is>
      </c>
      <c r="B149" s="89" t="inlineStr">
        <is>
          <t>RH-40</t>
        </is>
      </c>
      <c r="C149" s="97">
        <f>IFERROR(INDEX(Thèmes!$D$2:$D$190,MATCH(B149,Thèmes!$A$2:$A$190,0)),"")</f>
        <v/>
      </c>
      <c r="D149" s="86" t="inlineStr">
        <is>
          <t>R09 · Méthodes, informations et outils</t>
        </is>
      </c>
      <c r="E149" s="86" t="inlineStr">
        <is>
          <t>Indicateurs d'organisation que vous suivez : heures, retards, reprises, absences, charge par personne, aucun</t>
        </is>
      </c>
      <c r="F149" s="86" t="inlineStr">
        <is>
          <t>Cases à cocher</t>
        </is>
      </c>
      <c r="G149" s="89" t="inlineStr">
        <is>
          <t>Demandée</t>
        </is>
      </c>
      <c r="H149" s="89" t="inlineStr">
        <is>
          <t>Essentiel</t>
        </is>
      </c>
      <c r="I149" s="86" t="inlineStr">
        <is>
          <t>—</t>
        </is>
      </c>
      <c r="J149" s="86" t="inlineStr">
        <is>
          <t>—</t>
        </is>
      </c>
      <c r="K149" s="89" t="inlineStr">
        <is>
          <t>●</t>
        </is>
      </c>
      <c r="L149" s="89" t="inlineStr">
        <is>
          <t>●</t>
        </is>
      </c>
      <c r="M149" s="89" t="inlineStr">
        <is>
          <t>●</t>
        </is>
      </c>
      <c r="N149" s="86" t="inlineStr">
        <is>
          <t>Levier</t>
        </is>
      </c>
      <c r="O149" s="86" t="inlineStr">
        <is>
          <t>—</t>
        </is>
      </c>
      <c r="P149" s="86" t="inlineStr">
        <is>
          <t>—</t>
        </is>
      </c>
      <c r="Q149" s="86" t="inlineStr">
        <is>
          <t>XR31</t>
        </is>
      </c>
      <c r="R149" s="91" t="n"/>
    </row>
    <row r="150" ht="46.25" customHeight="1" s="53">
      <c r="A150" s="81" t="inlineStr">
        <is>
          <t>RH-40.02</t>
        </is>
      </c>
      <c r="B150" s="67" t="inlineStr">
        <is>
          <t>RH-40</t>
        </is>
      </c>
      <c r="C150" s="95">
        <f>IFERROR(INDEX(Thèmes!$D$2:$D$190,MATCH(B150,Thèmes!$A$2:$A$190,0)),"")</f>
        <v/>
      </c>
      <c r="D150" s="68" t="inlineStr">
        <is>
          <t>—</t>
        </is>
      </c>
      <c r="E150" s="68" t="inlineStr">
        <is>
          <t>Maîtrise des données d'organisation</t>
        </is>
      </c>
      <c r="F150" s="68" t="inlineStr">
        <is>
          <t>% et nombres</t>
        </is>
      </c>
      <c r="G150" s="96" t="inlineStr">
        <is>
          <t>Calculée</t>
        </is>
      </c>
      <c r="H150" s="67" t="inlineStr">
        <is>
          <t>—</t>
        </is>
      </c>
      <c r="I150" s="68" t="inlineStr">
        <is>
          <t>—</t>
        </is>
      </c>
      <c r="J150" s="68" t="inlineStr">
        <is>
          <t>—</t>
        </is>
      </c>
      <c r="K150" s="67" t="inlineStr">
        <is>
          <t>●</t>
        </is>
      </c>
      <c r="L150" s="67" t="inlineStr">
        <is>
          <t>●</t>
        </is>
      </c>
      <c r="M150" s="67" t="inlineStr">
        <is>
          <t>●</t>
        </is>
      </c>
      <c r="N150" s="68" t="inlineStr">
        <is>
          <t>Problème</t>
        </is>
      </c>
      <c r="O150" s="68" t="inlineStr">
        <is>
          <t>Réponses précises, estimées, « je ne sais pas » et « je ne suis pas cette donnée » sur les questions RH ; % de maîtrise = précises ou estimées ÷ posées</t>
        </is>
      </c>
      <c r="P150" s="68" t="inlineStr">
        <is>
          <t>—</t>
        </is>
      </c>
      <c r="Q150" s="68" t="inlineStr">
        <is>
          <t>XR31</t>
        </is>
      </c>
      <c r="R150" s="83" t="n"/>
    </row>
    <row r="151" ht="23.85" customHeight="1" s="53">
      <c r="A151" s="104" t="inlineStr">
        <is>
          <t>RH-41.01</t>
        </is>
      </c>
      <c r="B151" s="89" t="inlineStr">
        <is>
          <t>RH-41</t>
        </is>
      </c>
      <c r="C151" s="97">
        <f>IFERROR(INDEX(Thèmes!$D$2:$D$190,MATCH(B151,Thèmes!$A$2:$A$190,0)),"")</f>
        <v/>
      </c>
      <c r="D151" s="86" t="inlineStr">
        <is>
          <t>—</t>
        </is>
      </c>
      <c r="E151" s="86" t="inlineStr">
        <is>
          <t>Projet de se faire aider et horizon — déclencheur D28 : une réponse « Oui » ouvre la partie « S'entourer »</t>
        </is>
      </c>
      <c r="F151" s="86" t="inlineStr">
        <is>
          <t>Choix</t>
        </is>
      </c>
      <c r="G151" s="89" t="inlineStr">
        <is>
          <t>Demandée</t>
        </is>
      </c>
      <c r="H151" s="89" t="inlineStr">
        <is>
          <t>Essentiel</t>
        </is>
      </c>
      <c r="I151" s="86" t="inlineStr">
        <is>
          <t>—</t>
        </is>
      </c>
      <c r="J151" s="86" t="inlineStr">
        <is>
          <t>—</t>
        </is>
      </c>
      <c r="K151" s="89" t="inlineStr">
        <is>
          <t>●</t>
        </is>
      </c>
      <c r="L151" s="89" t="n"/>
      <c r="M151" s="89" t="n"/>
      <c r="N151" s="86" t="inlineStr">
        <is>
          <t>—</t>
        </is>
      </c>
      <c r="O151" s="86" t="inlineStr">
        <is>
          <t>—</t>
        </is>
      </c>
      <c r="P151" s="86" t="inlineStr">
        <is>
          <t>—</t>
        </is>
      </c>
      <c r="Q151" s="86" t="inlineStr">
        <is>
          <t>—</t>
        </is>
      </c>
      <c r="R151" s="91" t="inlineStr">
        <is>
          <t>Nouveau</t>
        </is>
      </c>
    </row>
    <row r="152" ht="23.85" customHeight="1" s="53">
      <c r="A152" s="92" t="inlineStr">
        <is>
          <t>RH-41.02</t>
        </is>
      </c>
      <c r="B152" s="67" t="inlineStr">
        <is>
          <t>RH-41</t>
        </is>
      </c>
      <c r="C152" s="95">
        <f>IFERROR(INDEX(Thèmes!$D$2:$D$190,MATCH(B152,Thèmes!$A$2:$A$190,0)),"")</f>
        <v/>
      </c>
      <c r="D152" s="68" t="inlineStr">
        <is>
          <t>—</t>
        </is>
      </c>
      <c r="E152" s="68" t="inlineStr">
        <is>
          <t>Formes d'aide envisagées</t>
        </is>
      </c>
      <c r="F152" s="68" t="inlineStr">
        <is>
          <t>Cases à cocher</t>
        </is>
      </c>
      <c r="G152" s="67" t="inlineStr">
        <is>
          <t>Demandée</t>
        </is>
      </c>
      <c r="H152" s="67" t="inlineStr">
        <is>
          <t>Essentiel</t>
        </is>
      </c>
      <c r="I152" s="99" t="inlineStr">
        <is>
          <t>D28 · si vous voulez être aidé</t>
        </is>
      </c>
      <c r="J152" s="68" t="inlineStr">
        <is>
          <t>—</t>
        </is>
      </c>
      <c r="K152" s="67" t="inlineStr">
        <is>
          <t>●</t>
        </is>
      </c>
      <c r="L152" s="67" t="n"/>
      <c r="M152" s="67" t="n"/>
      <c r="N152" s="68" t="inlineStr">
        <is>
          <t>—</t>
        </is>
      </c>
      <c r="O152" s="68" t="inlineStr">
        <is>
          <t>—</t>
        </is>
      </c>
      <c r="P152" s="68" t="inlineStr">
        <is>
          <t>—</t>
        </is>
      </c>
      <c r="Q152" s="68" t="inlineStr">
        <is>
          <t>—</t>
        </is>
      </c>
      <c r="R152" s="83" t="inlineStr">
        <is>
          <t>Nouveau</t>
        </is>
      </c>
    </row>
    <row r="153" ht="23.85" customHeight="1" s="53">
      <c r="A153" s="92" t="inlineStr">
        <is>
          <t>RH-41.03</t>
        </is>
      </c>
      <c r="B153" s="67" t="inlineStr">
        <is>
          <t>RH-41</t>
        </is>
      </c>
      <c r="C153" s="95">
        <f>IFERROR(INDEX(Thèmes!$D$2:$D$190,MATCH(B153,Thèmes!$A$2:$A$190,0)),"")</f>
        <v/>
      </c>
      <c r="D153" s="68" t="inlineStr">
        <is>
          <t>—</t>
        </is>
      </c>
      <c r="E153" s="68" t="inlineStr">
        <is>
          <t>Raison principale de se faire aider</t>
        </is>
      </c>
      <c r="F153" s="68" t="inlineStr">
        <is>
          <t>Choix</t>
        </is>
      </c>
      <c r="G153" s="67" t="inlineStr">
        <is>
          <t>Demandée</t>
        </is>
      </c>
      <c r="H153" s="67" t="inlineStr">
        <is>
          <t>Essentiel</t>
        </is>
      </c>
      <c r="I153" s="99" t="inlineStr">
        <is>
          <t>D28 · si vous voulez être aidé</t>
        </is>
      </c>
      <c r="J153" s="68" t="inlineStr">
        <is>
          <t>—</t>
        </is>
      </c>
      <c r="K153" s="67" t="inlineStr">
        <is>
          <t>●</t>
        </is>
      </c>
      <c r="L153" s="67" t="n"/>
      <c r="M153" s="67" t="n"/>
      <c r="N153" s="68" t="inlineStr">
        <is>
          <t>—</t>
        </is>
      </c>
      <c r="O153" s="68" t="inlineStr">
        <is>
          <t>—</t>
        </is>
      </c>
      <c r="P153" s="68" t="inlineStr">
        <is>
          <t>—</t>
        </is>
      </c>
      <c r="Q153" s="68" t="inlineStr">
        <is>
          <t>—</t>
        </is>
      </c>
      <c r="R153" s="83" t="inlineStr">
        <is>
          <t>Nouveau</t>
        </is>
      </c>
    </row>
    <row r="154" ht="23.85" customHeight="1" s="53">
      <c r="A154" s="104" t="inlineStr">
        <is>
          <t>RH-42.01</t>
        </is>
      </c>
      <c r="B154" s="89" t="inlineStr">
        <is>
          <t>RH-42</t>
        </is>
      </c>
      <c r="C154" s="97">
        <f>IFERROR(INDEX(Thèmes!$D$2:$D$190,MATCH(B154,Thèmes!$A$2:$A$190,0)),"")</f>
        <v/>
      </c>
      <c r="D154" s="86" t="inlineStr">
        <is>
          <t>—</t>
        </is>
      </c>
      <c r="E154" s="86" t="inlineStr">
        <is>
          <t>Tâches à confier en premier : heures par semaine, apprentissage en moins d'un mois, méthode écrite</t>
        </is>
      </c>
      <c r="F154" s="86" t="inlineStr">
        <is>
          <t>Tableau : Heures par semaine · S'apprend en moins d'un mois · Méthode écrite (lignes libre: 5)</t>
        </is>
      </c>
      <c r="G154" s="89" t="inlineStr">
        <is>
          <t>Demandée</t>
        </is>
      </c>
      <c r="H154" s="89" t="inlineStr">
        <is>
          <t>Essentiel</t>
        </is>
      </c>
      <c r="I154" s="100" t="inlineStr">
        <is>
          <t>D28 · si vous voulez être aidé</t>
        </is>
      </c>
      <c r="J154" s="86" t="inlineStr">
        <is>
          <t>—</t>
        </is>
      </c>
      <c r="K154" s="89" t="inlineStr">
        <is>
          <t>●</t>
        </is>
      </c>
      <c r="L154" s="89" t="n"/>
      <c r="M154" s="89" t="n"/>
      <c r="N154" s="86" t="inlineStr">
        <is>
          <t>—</t>
        </is>
      </c>
      <c r="O154" s="86" t="inlineStr">
        <is>
          <t>—</t>
        </is>
      </c>
      <c r="P154" s="86" t="inlineStr">
        <is>
          <t>—</t>
        </is>
      </c>
      <c r="Q154" s="86" t="inlineStr">
        <is>
          <t>—</t>
        </is>
      </c>
      <c r="R154" s="91" t="inlineStr">
        <is>
          <t>Nouveau</t>
        </is>
      </c>
    </row>
    <row r="155" ht="23.85" customHeight="1" s="53">
      <c r="A155" s="92" t="inlineStr">
        <is>
          <t>RH-42.02</t>
        </is>
      </c>
      <c r="B155" s="67" t="inlineStr">
        <is>
          <t>RH-42</t>
        </is>
      </c>
      <c r="C155" s="95">
        <f>IFERROR(INDEX(Thèmes!$D$2:$D$190,MATCH(B155,Thèmes!$A$2:$A$190,0)),"")</f>
        <v/>
      </c>
      <c r="D155" s="68" t="inlineStr">
        <is>
          <t>—</t>
        </is>
      </c>
      <c r="E155" s="68" t="inlineStr">
        <is>
          <t>Tâches que le dirigeant ne peut confier à personne, et pourquoi</t>
        </is>
      </c>
      <c r="F155" s="68" t="inlineStr">
        <is>
          <t>Texte</t>
        </is>
      </c>
      <c r="G155" s="67" t="inlineStr">
        <is>
          <t>Demandée</t>
        </is>
      </c>
      <c r="H155" s="67" t="inlineStr">
        <is>
          <t>Approfondi</t>
        </is>
      </c>
      <c r="I155" s="99" t="inlineStr">
        <is>
          <t>D28 · si vous voulez être aidé</t>
        </is>
      </c>
      <c r="J155" s="68" t="inlineStr">
        <is>
          <t>—</t>
        </is>
      </c>
      <c r="K155" s="67" t="inlineStr">
        <is>
          <t>●</t>
        </is>
      </c>
      <c r="L155" s="67" t="n"/>
      <c r="M155" s="67" t="n"/>
      <c r="N155" s="68" t="inlineStr">
        <is>
          <t>—</t>
        </is>
      </c>
      <c r="O155" s="68" t="inlineStr">
        <is>
          <t>—</t>
        </is>
      </c>
      <c r="P155" s="68" t="inlineStr">
        <is>
          <t>—</t>
        </is>
      </c>
      <c r="Q155" s="68" t="inlineStr">
        <is>
          <t>—</t>
        </is>
      </c>
      <c r="R155" s="83" t="inlineStr">
        <is>
          <t>Nouveau</t>
        </is>
      </c>
    </row>
    <row r="156" ht="57.45" customHeight="1" s="53">
      <c r="A156" s="104" t="inlineStr">
        <is>
          <t>RH-43.01</t>
        </is>
      </c>
      <c r="B156" s="89" t="inlineStr">
        <is>
          <t>RH-43</t>
        </is>
      </c>
      <c r="C156" s="97">
        <f>IFERROR(INDEX(Thèmes!$D$2:$D$190,MATCH(B156,Thèmes!$A$2:$A$190,0)),"")</f>
        <v/>
      </c>
      <c r="D156" s="86" t="inlineStr">
        <is>
          <t>—</t>
        </is>
      </c>
      <c r="E156" s="86" t="inlineStr">
        <is>
          <t>Budget mensuel envisagé pour l'aide, tout compris</t>
        </is>
      </c>
      <c r="F156" s="86" t="inlineStr">
        <is>
          <t>€</t>
        </is>
      </c>
      <c r="G156" s="89" t="inlineStr">
        <is>
          <t>Demandée</t>
        </is>
      </c>
      <c r="H156" s="89" t="inlineStr">
        <is>
          <t>Essentiel</t>
        </is>
      </c>
      <c r="I156" s="100" t="inlineStr">
        <is>
          <t>D28 · si vous voulez être aidé</t>
        </is>
      </c>
      <c r="J156" s="86" t="inlineStr">
        <is>
          <t>—</t>
        </is>
      </c>
      <c r="K156" s="89" t="inlineStr">
        <is>
          <t>●</t>
        </is>
      </c>
      <c r="L156" s="89" t="n"/>
      <c r="M156" s="89" t="n"/>
      <c r="N156" s="86" t="inlineStr">
        <is>
          <t>—</t>
        </is>
      </c>
      <c r="O156" s="86" t="inlineStr">
        <is>
          <t>—</t>
        </is>
      </c>
      <c r="P156" s="86" t="inlineStr">
        <is>
          <t>—</t>
        </is>
      </c>
      <c r="Q156" s="86" t="inlineStr">
        <is>
          <t>—</t>
        </is>
      </c>
      <c r="R156" s="91" t="inlineStr">
        <is>
          <t>Nouveau</t>
        </is>
      </c>
    </row>
    <row r="157" ht="23.85" customHeight="1" s="53">
      <c r="A157" s="92" t="inlineStr">
        <is>
          <t>RH-43.02</t>
        </is>
      </c>
      <c r="B157" s="67" t="inlineStr">
        <is>
          <t>RH-43</t>
        </is>
      </c>
      <c r="C157" s="95">
        <f>IFERROR(INDEX(Thèmes!$D$2:$D$190,MATCH(B157,Thèmes!$A$2:$A$190,0)),"")</f>
        <v/>
      </c>
      <c r="D157" s="68" t="inlineStr">
        <is>
          <t>—</t>
        </is>
      </c>
      <c r="E157" s="68" t="inlineStr">
        <is>
          <t>Demandes perdues par mois faute de disponibilité, par motif — partagée avec ACQ-22.10 : posée une seule fois</t>
        </is>
      </c>
      <c r="F157" s="68" t="inlineStr">
        <is>
          <t>Tableau : Clients perdus par mois (lignes fixe: Pas de créneau assez tôt / Pas le temps de répondre ou de chiffrer / Absence : vous ou un salarié / Produit en rupture de stock)</t>
        </is>
      </c>
      <c r="G157" s="66" t="inlineStr">
        <is>
          <t>Partagée</t>
        </is>
      </c>
      <c r="H157" s="67" t="inlineStr">
        <is>
          <t>Essentiel</t>
        </is>
      </c>
      <c r="I157" s="99" t="inlineStr">
        <is>
          <t>D28 · si vous voulez être aidé</t>
        </is>
      </c>
      <c r="J157" s="68" t="inlineStr">
        <is>
          <t>Période adaptée : depuis la création si moins de 3 mois</t>
        </is>
      </c>
      <c r="K157" s="67" t="inlineStr">
        <is>
          <t>●</t>
        </is>
      </c>
      <c r="L157" s="67" t="n"/>
      <c r="M157" s="67" t="n"/>
      <c r="N157" s="68" t="inlineStr">
        <is>
          <t>—</t>
        </is>
      </c>
      <c r="O157" s="68" t="inlineStr">
        <is>
          <t>Posée une seule fois, par le premier agent souscrit qui en a besoin (ACQ-22.10), sinon ici</t>
        </is>
      </c>
      <c r="P157" s="68" t="inlineStr">
        <is>
          <t>ACQ-22.10</t>
        </is>
      </c>
      <c r="Q157" s="68" t="inlineStr">
        <is>
          <t>—</t>
        </is>
      </c>
      <c r="R157" s="83" t="inlineStr">
        <is>
          <t>Nouveau</t>
        </is>
      </c>
    </row>
    <row r="158" ht="23.85" customHeight="1" s="53">
      <c r="A158" s="92" t="inlineStr">
        <is>
          <t>RH-43.03</t>
        </is>
      </c>
      <c r="B158" s="67" t="inlineStr">
        <is>
          <t>RH-43</t>
        </is>
      </c>
      <c r="C158" s="95">
        <f>IFERROR(INDEX(Thèmes!$D$2:$D$190,MATCH(B158,Thèmes!$A$2:$A$190,0)),"")</f>
        <v/>
      </c>
      <c r="D158" s="68" t="inlineStr">
        <is>
          <t>—</t>
        </is>
      </c>
      <c r="E158" s="68" t="inlineStr">
        <is>
          <t>Équipement à prévoir pour accueillir la personne</t>
        </is>
      </c>
      <c r="F158" s="68" t="inlineStr">
        <is>
          <t>Cases à cocher</t>
        </is>
      </c>
      <c r="G158" s="67" t="inlineStr">
        <is>
          <t>Demandée</t>
        </is>
      </c>
      <c r="H158" s="67" t="inlineStr">
        <is>
          <t>Approfondi</t>
        </is>
      </c>
      <c r="I158" s="99" t="inlineStr">
        <is>
          <t>D28 · si vous voulez être aidé</t>
        </is>
      </c>
      <c r="J158" s="68" t="inlineStr">
        <is>
          <t>—</t>
        </is>
      </c>
      <c r="K158" s="67" t="inlineStr">
        <is>
          <t>●</t>
        </is>
      </c>
      <c r="L158" s="67" t="n"/>
      <c r="M158" s="67" t="n"/>
      <c r="N158" s="68" t="inlineStr">
        <is>
          <t>—</t>
        </is>
      </c>
      <c r="O158" s="68" t="inlineStr">
        <is>
          <t>—</t>
        </is>
      </c>
      <c r="P158" s="68" t="inlineStr">
        <is>
          <t>—</t>
        </is>
      </c>
      <c r="Q158" s="68" t="inlineStr">
        <is>
          <t>—</t>
        </is>
      </c>
      <c r="R158" s="83" t="inlineStr">
        <is>
          <t>Nouveau</t>
        </is>
      </c>
    </row>
    <row r="159" ht="113.4" customHeight="1" s="53">
      <c r="A159" s="104" t="inlineStr">
        <is>
          <t>RH-44.01</t>
        </is>
      </c>
      <c r="B159" s="89" t="inlineStr">
        <is>
          <t>RH-44</t>
        </is>
      </c>
      <c r="C159" s="97">
        <f>IFERROR(INDEX(Thèmes!$D$2:$D$190,MATCH(B159,Thèmes!$A$2:$A$190,0)),"")</f>
        <v/>
      </c>
      <c r="D159" s="86" t="inlineStr">
        <is>
          <t>—</t>
        </is>
      </c>
      <c r="E159" s="86" t="inlineStr">
        <is>
          <t>Ce qui retient le dirigeant de se faire aider</t>
        </is>
      </c>
      <c r="F159" s="86" t="inlineStr">
        <is>
          <t>Cases à cocher</t>
        </is>
      </c>
      <c r="G159" s="89" t="inlineStr">
        <is>
          <t>Demandée</t>
        </is>
      </c>
      <c r="H159" s="89" t="inlineStr">
        <is>
          <t>Essentiel</t>
        </is>
      </c>
      <c r="I159" s="100" t="inlineStr">
        <is>
          <t>D28 · si vous voulez être aidé</t>
        </is>
      </c>
      <c r="J159" s="86" t="inlineStr">
        <is>
          <t>—</t>
        </is>
      </c>
      <c r="K159" s="89" t="inlineStr">
        <is>
          <t>●</t>
        </is>
      </c>
      <c r="L159" s="89" t="n"/>
      <c r="M159" s="89" t="n"/>
      <c r="N159" s="86" t="inlineStr">
        <is>
          <t>—</t>
        </is>
      </c>
      <c r="O159" s="86" t="inlineStr">
        <is>
          <t>—</t>
        </is>
      </c>
      <c r="P159" s="86" t="inlineStr">
        <is>
          <t>—</t>
        </is>
      </c>
      <c r="Q159" s="86" t="inlineStr">
        <is>
          <t>—</t>
        </is>
      </c>
      <c r="R159" s="91" t="inlineStr">
        <is>
          <t>Nouveau</t>
        </is>
      </c>
    </row>
    <row r="160" ht="23.85" customHeight="1" s="53">
      <c r="A160" s="92" t="inlineStr">
        <is>
          <t>RH-44.02</t>
        </is>
      </c>
      <c r="B160" s="67" t="inlineStr">
        <is>
          <t>RH-44</t>
        </is>
      </c>
      <c r="C160" s="95">
        <f>IFERROR(INDEX(Thèmes!$D$2:$D$190,MATCH(B160,Thèmes!$A$2:$A$190,0)),"")</f>
        <v/>
      </c>
      <c r="D160" s="68" t="inlineStr">
        <is>
          <t>—</t>
        </is>
      </c>
      <c r="E160" s="68" t="inlineStr">
        <is>
          <t>Expérience passée avec un salarié ou un freelance régulier — déclencheur D29 : « mal passé » ouvre RH-44.03</t>
        </is>
      </c>
      <c r="F160" s="68" t="inlineStr">
        <is>
          <t>Choix</t>
        </is>
      </c>
      <c r="G160" s="67" t="inlineStr">
        <is>
          <t>Demandée</t>
        </is>
      </c>
      <c r="H160" s="67" t="inlineStr">
        <is>
          <t>Essentiel</t>
        </is>
      </c>
      <c r="I160" s="99" t="inlineStr">
        <is>
          <t>D28 · si vous voulez être aidé</t>
        </is>
      </c>
      <c r="J160" s="68" t="inlineStr">
        <is>
          <t>—</t>
        </is>
      </c>
      <c r="K160" s="67" t="inlineStr">
        <is>
          <t>●</t>
        </is>
      </c>
      <c r="L160" s="67" t="n"/>
      <c r="M160" s="67" t="n"/>
      <c r="N160" s="68" t="inlineStr">
        <is>
          <t>—</t>
        </is>
      </c>
      <c r="O160" s="68" t="inlineStr">
        <is>
          <t>—</t>
        </is>
      </c>
      <c r="P160" s="68" t="inlineStr">
        <is>
          <t>—</t>
        </is>
      </c>
      <c r="Q160" s="68" t="inlineStr">
        <is>
          <t>—</t>
        </is>
      </c>
      <c r="R160" s="83" t="inlineStr">
        <is>
          <t>Nouveau</t>
        </is>
      </c>
    </row>
    <row r="161" ht="23.85" customHeight="1" s="53">
      <c r="A161" s="92" t="inlineStr">
        <is>
          <t>RH-44.03</t>
        </is>
      </c>
      <c r="B161" s="67" t="inlineStr">
        <is>
          <t>RH-44</t>
        </is>
      </c>
      <c r="C161" s="95">
        <f>IFERROR(INDEX(Thèmes!$D$2:$D$190,MATCH(B161,Thèmes!$A$2:$A$190,0)),"")</f>
        <v/>
      </c>
      <c r="D161" s="68" t="inlineStr">
        <is>
          <t>—</t>
        </is>
      </c>
      <c r="E161" s="68" t="inlineStr">
        <is>
          <t>Ce qui n'a pas fonctionné la dernière fois</t>
        </is>
      </c>
      <c r="F161" s="68" t="inlineStr">
        <is>
          <t>Choix</t>
        </is>
      </c>
      <c r="G161" s="67" t="inlineStr">
        <is>
          <t>Demandée</t>
        </is>
      </c>
      <c r="H161" s="67" t="inlineStr">
        <is>
          <t>Essentiel</t>
        </is>
      </c>
      <c r="I161" s="99" t="inlineStr">
        <is>
          <t>D29 · si l'expérience s'est mal passée</t>
        </is>
      </c>
      <c r="J161" s="68" t="inlineStr">
        <is>
          <t>—</t>
        </is>
      </c>
      <c r="K161" s="67" t="inlineStr">
        <is>
          <t>●</t>
        </is>
      </c>
      <c r="L161" s="67" t="n"/>
      <c r="M161" s="67" t="n"/>
      <c r="N161" s="68" t="inlineStr">
        <is>
          <t>—</t>
        </is>
      </c>
      <c r="O161" s="68" t="inlineStr">
        <is>
          <t>—</t>
        </is>
      </c>
      <c r="P161" s="68" t="inlineStr">
        <is>
          <t>—</t>
        </is>
      </c>
      <c r="Q161" s="68" t="inlineStr">
        <is>
          <t>—</t>
        </is>
      </c>
      <c r="R161" s="83" t="inlineStr">
        <is>
          <t>Nouveau</t>
        </is>
      </c>
    </row>
    <row r="162" ht="35.05" customHeight="1" s="53">
      <c r="A162" s="104" t="inlineStr">
        <is>
          <t>RH-45.01</t>
        </is>
      </c>
      <c r="B162" s="89" t="inlineStr">
        <is>
          <t>RH-45</t>
        </is>
      </c>
      <c r="C162" s="97">
        <f>IFERROR(INDEX(Thèmes!$D$2:$D$190,MATCH(B162,Thèmes!$A$2:$A$190,0)),"")</f>
        <v/>
      </c>
      <c r="D162" s="86" t="inlineStr">
        <is>
          <t>—</t>
        </is>
      </c>
      <c r="E162" s="86" t="inlineStr">
        <is>
          <t>Relais possible auprès des clients si le dirigeant s'arrête 2 semaines</t>
        </is>
      </c>
      <c r="F162" s="86" t="inlineStr">
        <is>
          <t>Choix</t>
        </is>
      </c>
      <c r="G162" s="89" t="inlineStr">
        <is>
          <t>Demandée</t>
        </is>
      </c>
      <c r="H162" s="89" t="inlineStr">
        <is>
          <t>Essentiel</t>
        </is>
      </c>
      <c r="I162" s="86" t="inlineStr">
        <is>
          <t>—</t>
        </is>
      </c>
      <c r="J162" s="86" t="inlineStr">
        <is>
          <t>—</t>
        </is>
      </c>
      <c r="K162" s="89" t="inlineStr">
        <is>
          <t>●</t>
        </is>
      </c>
      <c r="L162" s="89" t="n"/>
      <c r="M162" s="89" t="n"/>
      <c r="N162" s="86" t="inlineStr">
        <is>
          <t>—</t>
        </is>
      </c>
      <c r="O162" s="86" t="inlineStr">
        <is>
          <t>—</t>
        </is>
      </c>
      <c r="P162" s="86" t="inlineStr">
        <is>
          <t>—</t>
        </is>
      </c>
      <c r="Q162" s="86" t="inlineStr">
        <is>
          <t>—</t>
        </is>
      </c>
      <c r="R162" s="91" t="inlineStr">
        <is>
          <t>Nouveau</t>
        </is>
      </c>
    </row>
    <row r="163" ht="23.85" customHeight="1" s="53">
      <c r="A163" s="92" t="inlineStr">
        <is>
          <t>RH-45.02</t>
        </is>
      </c>
      <c r="B163" s="67" t="inlineStr">
        <is>
          <t>RH-45</t>
        </is>
      </c>
      <c r="C163" s="95">
        <f>IFERROR(INDEX(Thèmes!$D$2:$D$190,MATCH(B163,Thèmes!$A$2:$A$190,0)),"")</f>
        <v/>
      </c>
      <c r="D163" s="68" t="inlineStr">
        <is>
          <t>—</t>
        </is>
      </c>
      <c r="E163" s="68" t="inlineStr">
        <is>
          <t>Informations clés notées et utilisables par une autre personne</t>
        </is>
      </c>
      <c r="F163" s="68" t="inlineStr">
        <is>
          <t>Choix</t>
        </is>
      </c>
      <c r="G163" s="67" t="inlineStr">
        <is>
          <t>Demandée</t>
        </is>
      </c>
      <c r="H163" s="67" t="inlineStr">
        <is>
          <t>Essentiel</t>
        </is>
      </c>
      <c r="I163" s="68" t="inlineStr">
        <is>
          <t>—</t>
        </is>
      </c>
      <c r="J163" s="68" t="inlineStr">
        <is>
          <t>—</t>
        </is>
      </c>
      <c r="K163" s="67" t="inlineStr">
        <is>
          <t>●</t>
        </is>
      </c>
      <c r="L163" s="67" t="n"/>
      <c r="M163" s="67" t="n"/>
      <c r="N163" s="68" t="inlineStr">
        <is>
          <t>—</t>
        </is>
      </c>
      <c r="O163" s="68" t="inlineStr">
        <is>
          <t>—</t>
        </is>
      </c>
      <c r="P163" s="68" t="inlineStr">
        <is>
          <t>—</t>
        </is>
      </c>
      <c r="Q163" s="68" t="inlineStr">
        <is>
          <t>—</t>
        </is>
      </c>
      <c r="R163" s="83" t="inlineStr">
        <is>
          <t>Nouveau</t>
        </is>
      </c>
    </row>
    <row r="164" ht="23.85" customHeight="1" s="53">
      <c r="A164" s="92" t="inlineStr">
        <is>
          <t>RH-45.03</t>
        </is>
      </c>
      <c r="B164" s="67" t="inlineStr">
        <is>
          <t>RH-45</t>
        </is>
      </c>
      <c r="C164" s="95">
        <f>IFERROR(INDEX(Thèmes!$D$2:$D$190,MATCH(B164,Thèmes!$A$2:$A$190,0)),"")</f>
        <v/>
      </c>
      <c r="D164" s="68" t="inlineStr">
        <is>
          <t>—</t>
        </is>
      </c>
      <c r="E164" s="68" t="inlineStr">
        <is>
          <t>Appartenance à un réseau de professionnels</t>
        </is>
      </c>
      <c r="F164" s="68" t="inlineStr">
        <is>
          <t>Choix</t>
        </is>
      </c>
      <c r="G164" s="67" t="inlineStr">
        <is>
          <t>Demandée</t>
        </is>
      </c>
      <c r="H164" s="67" t="inlineStr">
        <is>
          <t>Approfondi</t>
        </is>
      </c>
      <c r="I164" s="68" t="inlineStr">
        <is>
          <t>—</t>
        </is>
      </c>
      <c r="J164" s="68" t="inlineStr">
        <is>
          <t>—</t>
        </is>
      </c>
      <c r="K164" s="67" t="inlineStr">
        <is>
          <t>●</t>
        </is>
      </c>
      <c r="L164" s="67" t="n"/>
      <c r="M164" s="67" t="n"/>
      <c r="N164" s="68" t="inlineStr">
        <is>
          <t>—</t>
        </is>
      </c>
      <c r="O164" s="68" t="inlineStr">
        <is>
          <t>—</t>
        </is>
      </c>
      <c r="P164" s="68" t="inlineStr">
        <is>
          <t>—</t>
        </is>
      </c>
      <c r="Q164" s="68" t="inlineStr">
        <is>
          <t>—</t>
        </is>
      </c>
      <c r="R164" s="83" t="inlineStr">
        <is>
          <t>Nouveau</t>
        </is>
      </c>
    </row>
    <row r="165" ht="23.85" customHeight="1" s="53">
      <c r="A165" s="104" t="inlineStr">
        <is>
          <t>RH-46.01</t>
        </is>
      </c>
      <c r="B165" s="89" t="inlineStr">
        <is>
          <t>RH-46</t>
        </is>
      </c>
      <c r="C165" s="97">
        <f>IFERROR(INDEX(Thèmes!$D$2:$D$190,MATCH(B165,Thèmes!$A$2:$A$190,0)),"")</f>
        <v/>
      </c>
      <c r="D165" s="86" t="inlineStr">
        <is>
          <t>—</t>
        </is>
      </c>
      <c r="E165" s="86" t="inlineStr">
        <is>
          <t>Personnes par domaine de travail, dont à temps partiel (le travail pour les clients, trouver et suivre les clients, administratif, encadrement) — partagée entre ACQ-21.01 et RH-46.01 : posée une seule fois ; l'équivalent temps plein au contact des clients se calcule avec les deux premières lignes</t>
        </is>
      </c>
      <c r="F165" s="86" t="inlineStr">
        <is>
          <t>Tableau : Personnes · Dont à temps partiel (lignes fixe: Le travail pour les clients / Trouver et suivre les clients / Administratif et gestion / Encadrement de l'équipe)</t>
        </is>
      </c>
      <c r="G165" s="88" t="inlineStr">
        <is>
          <t>Partagée</t>
        </is>
      </c>
      <c r="H165" s="89" t="inlineStr">
        <is>
          <t>Essentiel</t>
        </is>
      </c>
      <c r="I165" s="86" t="inlineStr">
        <is>
          <t>—</t>
        </is>
      </c>
      <c r="J165" s="86" t="inlineStr">
        <is>
          <t>—</t>
        </is>
      </c>
      <c r="K165" s="89" t="n"/>
      <c r="L165" s="89" t="inlineStr">
        <is>
          <t>●</t>
        </is>
      </c>
      <c r="M165" s="89" t="inlineStr">
        <is>
          <t>●</t>
        </is>
      </c>
      <c r="N165" s="86" t="inlineStr">
        <is>
          <t>—</t>
        </is>
      </c>
      <c r="O165" s="86" t="inlineStr">
        <is>
          <t>Posée une seule fois, par le premier agent souscrit qui en a besoin (ACQ-21.01), sinon ici</t>
        </is>
      </c>
      <c r="P165" s="86" t="inlineStr">
        <is>
          <t>ACQ-21.01</t>
        </is>
      </c>
      <c r="Q165" s="86" t="inlineStr">
        <is>
          <t>—</t>
        </is>
      </c>
      <c r="R165" s="91" t="inlineStr">
        <is>
          <t>Nouveau</t>
        </is>
      </c>
    </row>
    <row r="166" ht="23.85" customHeight="1" s="53">
      <c r="A166" s="92" t="inlineStr">
        <is>
          <t>RH-46.02</t>
        </is>
      </c>
      <c r="B166" s="67" t="inlineStr">
        <is>
          <t>RH-46</t>
        </is>
      </c>
      <c r="C166" s="95">
        <f>IFERROR(INDEX(Thèmes!$D$2:$D$190,MATCH(B166,Thèmes!$A$2:$A$190,0)),"")</f>
        <v/>
      </c>
      <c r="D166" s="68" t="inlineStr">
        <is>
          <t>—</t>
        </is>
      </c>
      <c r="E166" s="68" t="inlineStr">
        <is>
          <t>Personnes par type de contrat</t>
        </is>
      </c>
      <c r="F166" s="68" t="inlineStr">
        <is>
          <t>Tableau : Personnes (lignes fixe: CDI / CDD / Apprentis et alternants / Stagiaires / Intérimaires / Freelances réguliers)</t>
        </is>
      </c>
      <c r="G166" s="67" t="inlineStr">
        <is>
          <t>Demandée</t>
        </is>
      </c>
      <c r="H166" s="67" t="inlineStr">
        <is>
          <t>Approfondi</t>
        </is>
      </c>
      <c r="I166" s="68" t="inlineStr">
        <is>
          <t>—</t>
        </is>
      </c>
      <c r="J166" s="68" t="inlineStr">
        <is>
          <t>—</t>
        </is>
      </c>
      <c r="K166" s="67" t="n"/>
      <c r="L166" s="67" t="inlineStr">
        <is>
          <t>●</t>
        </is>
      </c>
      <c r="M166" s="67" t="inlineStr">
        <is>
          <t>●</t>
        </is>
      </c>
      <c r="N166" s="68" t="inlineStr">
        <is>
          <t>—</t>
        </is>
      </c>
      <c r="O166" s="68" t="inlineStr">
        <is>
          <t>—</t>
        </is>
      </c>
      <c r="P166" s="68" t="inlineStr">
        <is>
          <t>—</t>
        </is>
      </c>
      <c r="Q166" s="68" t="inlineStr">
        <is>
          <t>—</t>
        </is>
      </c>
      <c r="R166" s="83" t="inlineStr">
        <is>
          <t>Nouveau</t>
        </is>
      </c>
    </row>
    <row r="167" ht="102.2" customHeight="1" s="53">
      <c r="A167" s="104" t="inlineStr">
        <is>
          <t>RH-47.01</t>
        </is>
      </c>
      <c r="B167" s="89" t="inlineStr">
        <is>
          <t>RH-47</t>
        </is>
      </c>
      <c r="C167" s="97">
        <f>IFERROR(INDEX(Thèmes!$D$2:$D$190,MATCH(B167,Thèmes!$A$2:$A$190,0)),"")</f>
        <v/>
      </c>
      <c r="D167" s="86" t="inlineStr">
        <is>
          <t>—</t>
        </is>
      </c>
      <c r="E167" s="86" t="inlineStr">
        <is>
          <t>Qui fait le planning et temps passé par semaine</t>
        </is>
      </c>
      <c r="F167" s="86" t="inlineStr">
        <is>
          <t>Plusieurs champs : Qui le fait · Heures par semaine</t>
        </is>
      </c>
      <c r="G167" s="89" t="inlineStr">
        <is>
          <t>Demandée</t>
        </is>
      </c>
      <c r="H167" s="89" t="inlineStr">
        <is>
          <t>Essentiel</t>
        </is>
      </c>
      <c r="I167" s="86" t="inlineStr">
        <is>
          <t>—</t>
        </is>
      </c>
      <c r="J167" s="86" t="inlineStr">
        <is>
          <t>—</t>
        </is>
      </c>
      <c r="K167" s="89" t="n"/>
      <c r="L167" s="89" t="inlineStr">
        <is>
          <t>●</t>
        </is>
      </c>
      <c r="M167" s="89" t="inlineStr">
        <is>
          <t>●</t>
        </is>
      </c>
      <c r="N167" s="86" t="inlineStr">
        <is>
          <t>—</t>
        </is>
      </c>
      <c r="O167" s="86" t="inlineStr">
        <is>
          <t>—</t>
        </is>
      </c>
      <c r="P167" s="86" t="inlineStr">
        <is>
          <t>—</t>
        </is>
      </c>
      <c r="Q167" s="86" t="inlineStr">
        <is>
          <t>—</t>
        </is>
      </c>
      <c r="R167" s="91" t="inlineStr">
        <is>
          <t>Nouveau</t>
        </is>
      </c>
    </row>
    <row r="168" ht="68.65000000000001" customHeight="1" s="53">
      <c r="A168" s="92" t="inlineStr">
        <is>
          <t>RH-47.02</t>
        </is>
      </c>
      <c r="B168" s="67" t="inlineStr">
        <is>
          <t>RH-47</t>
        </is>
      </c>
      <c r="C168" s="95">
        <f>IFERROR(INDEX(Thèmes!$D$2:$D$190,MATCH(B168,Thèmes!$A$2:$A$190,0)),"")</f>
        <v/>
      </c>
      <c r="D168" s="68" t="inlineStr">
        <is>
          <t>—</t>
        </is>
      </c>
      <c r="E168" s="68" t="inlineStr">
        <is>
          <t>Délai de prévenance du planning</t>
        </is>
      </c>
      <c r="F168" s="68" t="inlineStr">
        <is>
          <t>Choix</t>
        </is>
      </c>
      <c r="G168" s="67" t="inlineStr">
        <is>
          <t>Demandée</t>
        </is>
      </c>
      <c r="H168" s="67" t="inlineStr">
        <is>
          <t>Approfondi</t>
        </is>
      </c>
      <c r="I168" s="68" t="inlineStr">
        <is>
          <t>—</t>
        </is>
      </c>
      <c r="J168" s="68" t="inlineStr">
        <is>
          <t>—</t>
        </is>
      </c>
      <c r="K168" s="67" t="n"/>
      <c r="L168" s="67" t="inlineStr">
        <is>
          <t>●</t>
        </is>
      </c>
      <c r="M168" s="67" t="inlineStr">
        <is>
          <t>●</t>
        </is>
      </c>
      <c r="N168" s="68" t="inlineStr">
        <is>
          <t>—</t>
        </is>
      </c>
      <c r="O168" s="68" t="inlineStr">
        <is>
          <t>—</t>
        </is>
      </c>
      <c r="P168" s="68" t="inlineStr">
        <is>
          <t>—</t>
        </is>
      </c>
      <c r="Q168" s="68" t="inlineStr">
        <is>
          <t>—</t>
        </is>
      </c>
      <c r="R168" s="83" t="inlineStr">
        <is>
          <t>Nouveau</t>
        </is>
      </c>
    </row>
    <row r="169" ht="35.05" customHeight="1" s="53">
      <c r="A169" s="92" t="inlineStr">
        <is>
          <t>RH-47.03</t>
        </is>
      </c>
      <c r="B169" s="67" t="inlineStr">
        <is>
          <t>RH-47</t>
        </is>
      </c>
      <c r="C169" s="95">
        <f>IFERROR(INDEX(Thèmes!$D$2:$D$190,MATCH(B169,Thèmes!$A$2:$A$190,0)),"")</f>
        <v/>
      </c>
      <c r="D169" s="68" t="inlineStr">
        <is>
          <t>—</t>
        </is>
      </c>
      <c r="E169" s="68" t="inlineStr">
        <is>
          <t>Changements de planning de dernière minute par semaine</t>
        </is>
      </c>
      <c r="F169" s="68" t="inlineStr">
        <is>
          <t>Choix</t>
        </is>
      </c>
      <c r="G169" s="67" t="inlineStr">
        <is>
          <t>Demandée</t>
        </is>
      </c>
      <c r="H169" s="67" t="inlineStr">
        <is>
          <t>Approfondi</t>
        </is>
      </c>
      <c r="I169" s="68" t="inlineStr">
        <is>
          <t>—</t>
        </is>
      </c>
      <c r="J169" s="68" t="inlineStr">
        <is>
          <t>—</t>
        </is>
      </c>
      <c r="K169" s="67" t="n"/>
      <c r="L169" s="67" t="inlineStr">
        <is>
          <t>●</t>
        </is>
      </c>
      <c r="M169" s="67" t="inlineStr">
        <is>
          <t>●</t>
        </is>
      </c>
      <c r="N169" s="68" t="inlineStr">
        <is>
          <t>—</t>
        </is>
      </c>
      <c r="O169" s="68" t="inlineStr">
        <is>
          <t>—</t>
        </is>
      </c>
      <c r="P169" s="68" t="inlineStr">
        <is>
          <t>—</t>
        </is>
      </c>
      <c r="Q169" s="68" t="inlineStr">
        <is>
          <t>—</t>
        </is>
      </c>
      <c r="R169" s="83" t="inlineStr">
        <is>
          <t>Nouveau</t>
        </is>
      </c>
    </row>
    <row r="170" ht="15" customHeight="1" s="53">
      <c r="A170" s="104" t="inlineStr">
        <is>
          <t>RH-48.01</t>
        </is>
      </c>
      <c r="B170" s="89" t="inlineStr">
        <is>
          <t>RH-48</t>
        </is>
      </c>
      <c r="C170" s="97">
        <f>IFERROR(INDEX(Thèmes!$D$2:$D$190,MATCH(B170,Thèmes!$A$2:$A$190,0)),"")</f>
        <v/>
      </c>
      <c r="D170" s="86" t="inlineStr">
        <is>
          <t>—</t>
        </is>
      </c>
      <c r="E170" s="86" t="inlineStr">
        <is>
          <t>Objectifs individuels écrits et revus — déclencheur D51</t>
        </is>
      </c>
      <c r="F170" s="86" t="inlineStr">
        <is>
          <t>Choix</t>
        </is>
      </c>
      <c r="G170" s="89" t="inlineStr">
        <is>
          <t>Demandée</t>
        </is>
      </c>
      <c r="H170" s="89" t="inlineStr">
        <is>
          <t>Essentiel</t>
        </is>
      </c>
      <c r="I170" s="86" t="inlineStr">
        <is>
          <t>—</t>
        </is>
      </c>
      <c r="J170" s="86" t="inlineStr">
        <is>
          <t>—</t>
        </is>
      </c>
      <c r="K170" s="89" t="n"/>
      <c r="L170" s="89" t="inlineStr">
        <is>
          <t>●</t>
        </is>
      </c>
      <c r="M170" s="89" t="inlineStr">
        <is>
          <t>●</t>
        </is>
      </c>
      <c r="N170" s="86" t="inlineStr">
        <is>
          <t>—</t>
        </is>
      </c>
      <c r="O170" s="86" t="inlineStr">
        <is>
          <t>—</t>
        </is>
      </c>
      <c r="P170" s="86" t="inlineStr">
        <is>
          <t>—</t>
        </is>
      </c>
      <c r="Q170" s="86" t="inlineStr">
        <is>
          <t>—</t>
        </is>
      </c>
      <c r="R170" s="91" t="inlineStr">
        <is>
          <t>Nouveau</t>
        </is>
      </c>
    </row>
    <row r="171" ht="23.85" customHeight="1" s="53">
      <c r="A171" s="92" t="inlineStr">
        <is>
          <t>RH-48.02</t>
        </is>
      </c>
      <c r="B171" s="67" t="inlineStr">
        <is>
          <t>RH-48</t>
        </is>
      </c>
      <c r="C171" s="95">
        <f>IFERROR(INDEX(Thèmes!$D$2:$D$190,MATCH(B171,Thèmes!$A$2:$A$190,0)),"")</f>
        <v/>
      </c>
      <c r="D171" s="68" t="inlineStr">
        <is>
          <t>—</t>
        </is>
      </c>
      <c r="E171" s="68" t="inlineStr">
        <is>
          <t>Part variable liée aux objectifs</t>
        </is>
      </c>
      <c r="F171" s="68" t="inlineStr">
        <is>
          <t>Choix</t>
        </is>
      </c>
      <c r="G171" s="67" t="inlineStr">
        <is>
          <t>Demandée</t>
        </is>
      </c>
      <c r="H171" s="67" t="inlineStr">
        <is>
          <t>Approfondi</t>
        </is>
      </c>
      <c r="I171" s="99" t="inlineStr">
        <is>
          <t>D51 · si des objectifs existent</t>
        </is>
      </c>
      <c r="J171" s="68" t="inlineStr">
        <is>
          <t>—</t>
        </is>
      </c>
      <c r="K171" s="67" t="n"/>
      <c r="L171" s="67" t="inlineStr">
        <is>
          <t>●</t>
        </is>
      </c>
      <c r="M171" s="67" t="inlineStr">
        <is>
          <t>●</t>
        </is>
      </c>
      <c r="N171" s="68" t="inlineStr">
        <is>
          <t>—</t>
        </is>
      </c>
      <c r="O171" s="68" t="inlineStr">
        <is>
          <t>—</t>
        </is>
      </c>
      <c r="P171" s="68" t="inlineStr">
        <is>
          <t>—</t>
        </is>
      </c>
      <c r="Q171" s="68" t="inlineStr">
        <is>
          <t>—</t>
        </is>
      </c>
      <c r="R171" s="83" t="inlineStr">
        <is>
          <t>Nouveau</t>
        </is>
      </c>
    </row>
    <row r="172" ht="15" customHeight="1" s="53">
      <c r="A172" s="104" t="inlineStr">
        <is>
          <t>RH-49.01</t>
        </is>
      </c>
      <c r="B172" s="89" t="inlineStr">
        <is>
          <t>RH-49</t>
        </is>
      </c>
      <c r="C172" s="97">
        <f>IFERROR(INDEX(Thèmes!$D$2:$D$190,MATCH(B172,Thèmes!$A$2:$A$190,0)),"")</f>
        <v/>
      </c>
      <c r="D172" s="86" t="inlineStr">
        <is>
          <t>—</t>
        </is>
      </c>
      <c r="E172" s="86" t="inlineStr">
        <is>
          <t>Responsables intermédiaires et nombre de personnes suivies par responsable — déclencheur D52</t>
        </is>
      </c>
      <c r="F172" s="86" t="inlineStr">
        <is>
          <t>Plusieurs champs : Responsables, vous non compris · Personnes suivies par un responsable, au plus</t>
        </is>
      </c>
      <c r="G172" s="89" t="inlineStr">
        <is>
          <t>Demandée</t>
        </is>
      </c>
      <c r="H172" s="89" t="inlineStr">
        <is>
          <t>Essentiel</t>
        </is>
      </c>
      <c r="I172" s="86" t="inlineStr">
        <is>
          <t>—</t>
        </is>
      </c>
      <c r="J172" s="86" t="inlineStr">
        <is>
          <t>—</t>
        </is>
      </c>
      <c r="K172" s="89" t="n"/>
      <c r="L172" s="89" t="n"/>
      <c r="M172" s="89" t="inlineStr">
        <is>
          <t>●</t>
        </is>
      </c>
      <c r="N172" s="86" t="inlineStr">
        <is>
          <t>—</t>
        </is>
      </c>
      <c r="O172" s="86" t="inlineStr">
        <is>
          <t>—</t>
        </is>
      </c>
      <c r="P172" s="86" t="inlineStr">
        <is>
          <t>—</t>
        </is>
      </c>
      <c r="Q172" s="86" t="inlineStr">
        <is>
          <t>—</t>
        </is>
      </c>
      <c r="R172" s="91" t="inlineStr">
        <is>
          <t>Nouveau</t>
        </is>
      </c>
    </row>
    <row r="173" ht="23.85" customHeight="1" s="53">
      <c r="A173" s="92" t="inlineStr">
        <is>
          <t>RH-49.02</t>
        </is>
      </c>
      <c r="B173" s="67" t="inlineStr">
        <is>
          <t>RH-49</t>
        </is>
      </c>
      <c r="C173" s="95">
        <f>IFERROR(INDEX(Thèmes!$D$2:$D$190,MATCH(B173,Thèmes!$A$2:$A$190,0)),"")</f>
        <v/>
      </c>
      <c r="D173" s="68" t="inlineStr">
        <is>
          <t>—</t>
        </is>
      </c>
      <c r="E173" s="68" t="inlineStr">
        <is>
          <t>Responsables formés à l'encadrement</t>
        </is>
      </c>
      <c r="F173" s="68" t="inlineStr">
        <is>
          <t>Choix</t>
        </is>
      </c>
      <c r="G173" s="67" t="inlineStr">
        <is>
          <t>Demandée</t>
        </is>
      </c>
      <c r="H173" s="67" t="inlineStr">
        <is>
          <t>Approfondi</t>
        </is>
      </c>
      <c r="I173" s="99" t="inlineStr">
        <is>
          <t>D52 · s'il y a des responsables</t>
        </is>
      </c>
      <c r="J173" s="68" t="inlineStr">
        <is>
          <t>—</t>
        </is>
      </c>
      <c r="K173" s="67" t="n"/>
      <c r="L173" s="67" t="n"/>
      <c r="M173" s="67" t="inlineStr">
        <is>
          <t>●</t>
        </is>
      </c>
      <c r="N173" s="68" t="inlineStr">
        <is>
          <t>—</t>
        </is>
      </c>
      <c r="O173" s="68" t="inlineStr">
        <is>
          <t>—</t>
        </is>
      </c>
      <c r="P173" s="68" t="inlineStr">
        <is>
          <t>—</t>
        </is>
      </c>
      <c r="Q173" s="68" t="inlineStr">
        <is>
          <t>—</t>
        </is>
      </c>
      <c r="R173" s="83" t="inlineStr">
        <is>
          <t>Nouveau</t>
        </is>
      </c>
    </row>
    <row r="174" ht="68.65000000000001" customHeight="1" s="53"/>
    <row r="175" ht="23.85" customHeight="1" s="53"/>
  </sheetData>
  <autoFilter ref="A1:R173"/>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W204"/>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10" customWidth="1" style="52" min="1" max="1"/>
    <col width="8" customWidth="1" style="52" min="2" max="2"/>
    <col width="18" customWidth="1" style="52" min="3" max="3"/>
    <col width="22" customWidth="1" style="52" min="4" max="4"/>
    <col width="46" customWidth="1" style="52" min="5" max="5"/>
    <col width="18" customWidth="1" style="52" min="6" max="6"/>
    <col width="11" customWidth="1" style="52" min="7" max="8"/>
    <col width="20" customWidth="1" style="52" min="9" max="10"/>
    <col width="6.51" customWidth="1" style="52" min="11" max="18"/>
    <col width="16" customWidth="1" style="52" min="19" max="19"/>
    <col width="42" customWidth="1" style="52" min="20" max="20"/>
    <col width="22" customWidth="1" style="52" min="21" max="21"/>
    <col width="26" customWidth="1" style="52" min="22" max="22"/>
    <col width="30" customWidth="1" style="52" min="23" max="23"/>
  </cols>
  <sheetData>
    <row r="1" ht="31.5" customHeight="1" s="53">
      <c r="A1" s="75" t="inlineStr">
        <is>
          <t>Code</t>
        </is>
      </c>
      <c r="B1" s="75" t="inlineStr">
        <is>
          <t>Thème</t>
        </is>
      </c>
      <c r="C1" s="75" t="inlineStr">
        <is>
          <t>Nom du thème</t>
        </is>
      </c>
      <c r="D1" s="75" t="inlineStr">
        <is>
          <t>Écran</t>
        </is>
      </c>
      <c r="E1" s="75" t="inlineStr">
        <is>
          <t>Donnée</t>
        </is>
      </c>
      <c r="F1" s="75" t="inlineStr">
        <is>
          <t>Format de réponse</t>
        </is>
      </c>
      <c r="G1" s="75" t="inlineStr">
        <is>
          <t>Mode</t>
        </is>
      </c>
      <c r="H1" s="75" t="inlineStr">
        <is>
          <t>Niveau</t>
        </is>
      </c>
      <c r="I1" s="75" t="inlineStr">
        <is>
          <t>Condition d'affichage</t>
        </is>
      </c>
      <c r="J1" s="75" t="inlineStr">
        <is>
          <t>Période (selon l'ancienneté)</t>
        </is>
      </c>
      <c r="K1" s="75" t="inlineStr">
        <is>
          <t>RDV</t>
        </is>
      </c>
      <c r="L1" s="75" t="inlineStr">
        <is>
          <t>Commerce</t>
        </is>
      </c>
      <c r="M1" s="75" t="inlineStr">
        <is>
          <t>E-commerce</t>
        </is>
      </c>
      <c r="N1" s="75" t="inlineStr">
        <is>
          <t>Restaurant</t>
        </is>
      </c>
      <c r="O1" s="75" t="inlineStr">
        <is>
          <t>Chantier</t>
        </is>
      </c>
      <c r="P1" s="75" t="inlineStr">
        <is>
          <t>B2B</t>
        </is>
      </c>
      <c r="Q1" s="75" t="inlineStr">
        <is>
          <t>Abonnement</t>
        </is>
      </c>
      <c r="R1" s="75" t="inlineStr">
        <is>
          <t>Location</t>
        </is>
      </c>
      <c r="S1" s="75" t="inlineStr">
        <is>
          <t>Sert à</t>
        </is>
      </c>
      <c r="T1" s="75" t="inlineStr">
        <is>
          <t>Calcul ou source</t>
        </is>
      </c>
      <c r="U1" s="75" t="inlineStr">
        <is>
          <t>Données utilisées</t>
        </is>
      </c>
      <c r="V1" s="75" t="inlineStr">
        <is>
          <t>Utilisée dans</t>
        </is>
      </c>
      <c r="W1" s="75" t="inlineStr">
        <is>
          <t>Changement du 20 oct.</t>
        </is>
      </c>
    </row>
    <row r="2" ht="35.05" customHeight="1" s="53">
      <c r="A2" s="81" t="inlineStr">
        <is>
          <t>COM-01.01</t>
        </is>
      </c>
      <c r="B2" s="67" t="inlineStr">
        <is>
          <t>COM-01</t>
        </is>
      </c>
      <c r="C2" s="95">
        <f>IFERROR(INDEX(Thèmes!$D$2:$D$190,MATCH(B2,Thèmes!$A$2:$A$190,0)),"")</f>
        <v/>
      </c>
      <c r="D2" s="68" t="inlineStr">
        <is>
          <t>C01 · Votre positionnement et votre offre</t>
        </is>
      </c>
      <c r="E2" s="68" t="inlineStr">
        <is>
          <t>Votre entreprise en une phrase : ce que vous faites, pour qui, et en quoi vous êtes différent</t>
        </is>
      </c>
      <c r="F2" s="68" t="inlineStr">
        <is>
          <t>Texte court</t>
        </is>
      </c>
      <c r="G2" s="67" t="inlineStr">
        <is>
          <t>Demandée</t>
        </is>
      </c>
      <c r="H2" s="67" t="inlineStr">
        <is>
          <t>Essentiel</t>
        </is>
      </c>
      <c r="I2" s="68" t="inlineStr">
        <is>
          <t>—</t>
        </is>
      </c>
      <c r="J2" s="68" t="inlineStr">
        <is>
          <t>—</t>
        </is>
      </c>
      <c r="K2" s="67" t="inlineStr">
        <is>
          <t>●</t>
        </is>
      </c>
      <c r="L2" s="67" t="inlineStr">
        <is>
          <t>●</t>
        </is>
      </c>
      <c r="M2" s="67" t="inlineStr">
        <is>
          <t>●</t>
        </is>
      </c>
      <c r="N2" s="67" t="inlineStr">
        <is>
          <t>●</t>
        </is>
      </c>
      <c r="O2" s="67" t="inlineStr">
        <is>
          <t>●</t>
        </is>
      </c>
      <c r="P2" s="67" t="inlineStr">
        <is>
          <t>●</t>
        </is>
      </c>
      <c r="Q2" s="67" t="inlineStr">
        <is>
          <t>●</t>
        </is>
      </c>
      <c r="R2" s="67" t="inlineStr">
        <is>
          <t>●</t>
        </is>
      </c>
      <c r="S2" s="68" t="inlineStr">
        <is>
          <t>Problème</t>
        </is>
      </c>
      <c r="T2" s="68" t="inlineStr">
        <is>
          <t>—</t>
        </is>
      </c>
      <c r="U2" s="68" t="inlineStr">
        <is>
          <t>—</t>
        </is>
      </c>
      <c r="V2" s="68" t="inlineStr">
        <is>
          <t>COM-01.02</t>
        </is>
      </c>
      <c r="W2" s="83" t="n"/>
    </row>
    <row r="3" ht="23.85" customHeight="1" s="53">
      <c r="A3" s="81" t="inlineStr">
        <is>
          <t>COM-01.02</t>
        </is>
      </c>
      <c r="B3" s="67" t="inlineStr">
        <is>
          <t>COM-01</t>
        </is>
      </c>
      <c r="C3" s="95">
        <f>IFERROR(INDEX(Thèmes!$D$2:$D$190,MATCH(B3,Thèmes!$A$2:$A$190,0)),"")</f>
        <v/>
      </c>
      <c r="D3" s="68" t="inlineStr">
        <is>
          <t>—</t>
        </is>
      </c>
      <c r="E3" s="68" t="inlineStr">
        <is>
          <t>Positionnement clair : cible, résultat et différence présents dans la phrase</t>
        </is>
      </c>
      <c r="F3" s="68" t="inlineStr">
        <is>
          <t>Oui / partiel / non</t>
        </is>
      </c>
      <c r="G3" s="96" t="inlineStr">
        <is>
          <t>Calculée</t>
        </is>
      </c>
      <c r="H3" s="67" t="inlineStr">
        <is>
          <t>—</t>
        </is>
      </c>
      <c r="I3" s="68" t="inlineStr">
        <is>
          <t>—</t>
        </is>
      </c>
      <c r="J3" s="68" t="inlineStr">
        <is>
          <t>—</t>
        </is>
      </c>
      <c r="K3" s="67" t="inlineStr">
        <is>
          <t>●</t>
        </is>
      </c>
      <c r="L3" s="67" t="inlineStr">
        <is>
          <t>●</t>
        </is>
      </c>
      <c r="M3" s="67" t="inlineStr">
        <is>
          <t>●</t>
        </is>
      </c>
      <c r="N3" s="67" t="inlineStr">
        <is>
          <t>●</t>
        </is>
      </c>
      <c r="O3" s="67" t="inlineStr">
        <is>
          <t>●</t>
        </is>
      </c>
      <c r="P3" s="67" t="inlineStr">
        <is>
          <t>●</t>
        </is>
      </c>
      <c r="Q3" s="67" t="inlineStr">
        <is>
          <t>●</t>
        </is>
      </c>
      <c r="R3" s="67" t="inlineStr">
        <is>
          <t>●</t>
        </is>
      </c>
      <c r="S3" s="68" t="inlineStr">
        <is>
          <t>Problème</t>
        </is>
      </c>
      <c r="T3" s="68" t="inlineStr">
        <is>
          <t>Grille fixe de 3 critères appliquée par l'IA</t>
        </is>
      </c>
      <c r="U3" s="68" t="inlineStr">
        <is>
          <t>COM-01.01</t>
        </is>
      </c>
      <c r="V3" s="68" t="inlineStr">
        <is>
          <t>Affichée dans le rapport</t>
        </is>
      </c>
      <c r="W3" s="83" t="n"/>
    </row>
    <row r="4" ht="35.05" customHeight="1" s="53">
      <c r="A4" s="85" t="inlineStr">
        <is>
          <t>COM-02.01</t>
        </is>
      </c>
      <c r="B4" s="89" t="inlineStr">
        <is>
          <t>COM-02</t>
        </is>
      </c>
      <c r="C4" s="97">
        <f>IFERROR(INDEX(Thèmes!$D$2:$D$190,MATCH(B4,Thèmes!$A$2:$A$190,0)),"")</f>
        <v/>
      </c>
      <c r="D4" s="86" t="inlineStr">
        <is>
          <t>C01 · Votre positionnement et votre offre</t>
        </is>
      </c>
      <c r="E4" s="86" t="inlineStr">
        <is>
          <t>Client que votre communication cherche à attirer en priorité (choisi parmi vos types de clients)</t>
        </is>
      </c>
      <c r="F4" s="86" t="inlineStr">
        <is>
          <t>Choix dans la liste</t>
        </is>
      </c>
      <c r="G4" s="89" t="inlineStr">
        <is>
          <t>Demandée</t>
        </is>
      </c>
      <c r="H4" s="89" t="inlineStr">
        <is>
          <t>Essentiel</t>
        </is>
      </c>
      <c r="I4" s="86" t="inlineStr">
        <is>
          <t>—</t>
        </is>
      </c>
      <c r="J4" s="86" t="inlineStr">
        <is>
          <t>—</t>
        </is>
      </c>
      <c r="K4" s="89" t="inlineStr">
        <is>
          <t>●</t>
        </is>
      </c>
      <c r="L4" s="89" t="inlineStr">
        <is>
          <t>●</t>
        </is>
      </c>
      <c r="M4" s="89" t="inlineStr">
        <is>
          <t>●</t>
        </is>
      </c>
      <c r="N4" s="89" t="inlineStr">
        <is>
          <t>●</t>
        </is>
      </c>
      <c r="O4" s="89" t="inlineStr">
        <is>
          <t>●</t>
        </is>
      </c>
      <c r="P4" s="89" t="inlineStr">
        <is>
          <t>●</t>
        </is>
      </c>
      <c r="Q4" s="89" t="inlineStr">
        <is>
          <t>●</t>
        </is>
      </c>
      <c r="R4" s="89" t="inlineStr">
        <is>
          <t>●</t>
        </is>
      </c>
      <c r="S4" s="86" t="inlineStr">
        <is>
          <t>Cible</t>
        </is>
      </c>
      <c r="T4" s="86" t="inlineStr">
        <is>
          <t>—</t>
        </is>
      </c>
      <c r="U4" s="86" t="inlineStr">
        <is>
          <t>—</t>
        </is>
      </c>
      <c r="V4" s="86" t="inlineStr">
        <is>
          <t>COM-02.02, COM-06.01, COM-11.01, COM-54.01</t>
        </is>
      </c>
      <c r="W4" s="91" t="n"/>
    </row>
    <row r="5" ht="23.85" customHeight="1" s="53">
      <c r="A5" s="81" t="inlineStr">
        <is>
          <t>COM-02.02</t>
        </is>
      </c>
      <c r="B5" s="67" t="inlineStr">
        <is>
          <t>COM-02</t>
        </is>
      </c>
      <c r="C5" s="95">
        <f>IFERROR(INDEX(Thèmes!$D$2:$D$190,MATCH(B5,Thèmes!$A$2:$A$190,0)),"")</f>
        <v/>
      </c>
      <c r="D5" s="68" t="inlineStr">
        <is>
          <t>—</t>
        </is>
      </c>
      <c r="E5" s="68" t="inlineStr">
        <is>
          <t>Cible de la communication comparée aux clients qui rapportent le plus</t>
        </is>
      </c>
      <c r="F5" s="68" t="inlineStr">
        <is>
          <t>Oui / non</t>
        </is>
      </c>
      <c r="G5" s="96" t="inlineStr">
        <is>
          <t>Calculée</t>
        </is>
      </c>
      <c r="H5" s="67" t="inlineStr">
        <is>
          <t>—</t>
        </is>
      </c>
      <c r="I5" s="68" t="inlineStr">
        <is>
          <t>—</t>
        </is>
      </c>
      <c r="J5" s="68" t="inlineStr">
        <is>
          <t>—</t>
        </is>
      </c>
      <c r="K5" s="67" t="inlineStr">
        <is>
          <t>●</t>
        </is>
      </c>
      <c r="L5" s="67" t="inlineStr">
        <is>
          <t>●</t>
        </is>
      </c>
      <c r="M5" s="67" t="inlineStr">
        <is>
          <t>●</t>
        </is>
      </c>
      <c r="N5" s="67" t="inlineStr">
        <is>
          <t>●</t>
        </is>
      </c>
      <c r="O5" s="67" t="inlineStr">
        <is>
          <t>●</t>
        </is>
      </c>
      <c r="P5" s="67" t="inlineStr">
        <is>
          <t>●</t>
        </is>
      </c>
      <c r="Q5" s="67" t="inlineStr">
        <is>
          <t>●</t>
        </is>
      </c>
      <c r="R5" s="67" t="inlineStr">
        <is>
          <t>●</t>
        </is>
      </c>
      <c r="S5" s="68" t="inlineStr">
        <is>
          <t>Cible</t>
        </is>
      </c>
      <c r="T5" s="68" t="inlineStr">
        <is>
          <t>Cible déclarée face au type de client à la plus forte valeur annuelle (ACQ-01)</t>
        </is>
      </c>
      <c r="U5" s="68" t="inlineStr">
        <is>
          <t>COM-02.01, ACQ-01.12</t>
        </is>
      </c>
      <c r="V5" s="68" t="inlineStr">
        <is>
          <t>XC27, DC04</t>
        </is>
      </c>
      <c r="W5" s="83" t="n"/>
    </row>
    <row r="6" ht="35.05" customHeight="1" s="53">
      <c r="A6" s="85" t="inlineStr">
        <is>
          <t>COM-03.01</t>
        </is>
      </c>
      <c r="B6" s="89" t="inlineStr">
        <is>
          <t>COM-03</t>
        </is>
      </c>
      <c r="C6" s="97">
        <f>IFERROR(INDEX(Thèmes!$D$2:$D$190,MATCH(B6,Thèmes!$A$2:$A$190,0)),"")</f>
        <v/>
      </c>
      <c r="D6" s="86" t="inlineStr">
        <is>
          <t>C01 · Votre positionnement et votre offre</t>
        </is>
      </c>
      <c r="E6" s="86" t="inlineStr">
        <is>
          <t>Résultat concret que vous promettez à vos clients</t>
        </is>
      </c>
      <c r="F6" s="86" t="inlineStr">
        <is>
          <t>Texte court</t>
        </is>
      </c>
      <c r="G6" s="89" t="inlineStr">
        <is>
          <t>Demandée</t>
        </is>
      </c>
      <c r="H6" s="89" t="inlineStr">
        <is>
          <t>Essentiel</t>
        </is>
      </c>
      <c r="I6" s="86" t="inlineStr">
        <is>
          <t>—</t>
        </is>
      </c>
      <c r="J6" s="86" t="inlineStr">
        <is>
          <t>—</t>
        </is>
      </c>
      <c r="K6" s="89" t="inlineStr">
        <is>
          <t>●</t>
        </is>
      </c>
      <c r="L6" s="89" t="inlineStr">
        <is>
          <t>●</t>
        </is>
      </c>
      <c r="M6" s="89" t="inlineStr">
        <is>
          <t>●</t>
        </is>
      </c>
      <c r="N6" s="89" t="inlineStr">
        <is>
          <t>●</t>
        </is>
      </c>
      <c r="O6" s="89" t="inlineStr">
        <is>
          <t>●</t>
        </is>
      </c>
      <c r="P6" s="89" t="inlineStr">
        <is>
          <t>●</t>
        </is>
      </c>
      <c r="Q6" s="89" t="inlineStr">
        <is>
          <t>●</t>
        </is>
      </c>
      <c r="R6" s="89" t="inlineStr">
        <is>
          <t>●</t>
        </is>
      </c>
      <c r="S6" s="86" t="inlineStr">
        <is>
          <t>Problème</t>
        </is>
      </c>
      <c r="T6" s="86" t="inlineStr">
        <is>
          <t>—</t>
        </is>
      </c>
      <c r="U6" s="86" t="inlineStr">
        <is>
          <t>—</t>
        </is>
      </c>
      <c r="V6" s="86" t="inlineStr">
        <is>
          <t>Notée directement (couleur du thème)</t>
        </is>
      </c>
      <c r="W6" s="91" t="n"/>
    </row>
    <row r="7" ht="35.05" customHeight="1" s="53">
      <c r="A7" s="85" t="inlineStr">
        <is>
          <t>COM-04.01</t>
        </is>
      </c>
      <c r="B7" s="89" t="inlineStr">
        <is>
          <t>COM-04</t>
        </is>
      </c>
      <c r="C7" s="97">
        <f>IFERROR(INDEX(Thèmes!$D$2:$D$190,MATCH(B7,Thèmes!$A$2:$A$190,0)),"")</f>
        <v/>
      </c>
      <c r="D7" s="86" t="inlineStr">
        <is>
          <t>C01 · Votre positionnement et votre offre</t>
        </is>
      </c>
      <c r="E7" s="86" t="inlineStr">
        <is>
          <t>Pour votre offre principale : preuve que le résultat est atteignable, délai pour l'obtenir, effort demandé au client</t>
        </is>
      </c>
      <c r="F7" s="86" t="inlineStr">
        <is>
          <t>3 champs courts</t>
        </is>
      </c>
      <c r="G7" s="89" t="inlineStr">
        <is>
          <t>Demandée</t>
        </is>
      </c>
      <c r="H7" s="89" t="inlineStr">
        <is>
          <t>Approfondi</t>
        </is>
      </c>
      <c r="I7" s="86" t="inlineStr">
        <is>
          <t>—</t>
        </is>
      </c>
      <c r="J7" s="86" t="inlineStr">
        <is>
          <t>—</t>
        </is>
      </c>
      <c r="K7" s="89" t="inlineStr">
        <is>
          <t>●</t>
        </is>
      </c>
      <c r="L7" s="89" t="inlineStr">
        <is>
          <t>●</t>
        </is>
      </c>
      <c r="M7" s="89" t="inlineStr">
        <is>
          <t>●</t>
        </is>
      </c>
      <c r="N7" s="89" t="inlineStr">
        <is>
          <t>●</t>
        </is>
      </c>
      <c r="O7" s="89" t="inlineStr">
        <is>
          <t>●</t>
        </is>
      </c>
      <c r="P7" s="89" t="inlineStr">
        <is>
          <t>●</t>
        </is>
      </c>
      <c r="Q7" s="89" t="inlineStr">
        <is>
          <t>●</t>
        </is>
      </c>
      <c r="R7" s="89" t="inlineStr">
        <is>
          <t>●</t>
        </is>
      </c>
      <c r="S7" s="86" t="inlineStr">
        <is>
          <t>Levier</t>
        </is>
      </c>
      <c r="T7" s="86" t="inlineStr">
        <is>
          <t>—</t>
        </is>
      </c>
      <c r="U7" s="86" t="inlineStr">
        <is>
          <t>—</t>
        </is>
      </c>
      <c r="V7" s="86" t="inlineStr">
        <is>
          <t>Lue par l'IA pour adapter le conseil</t>
        </is>
      </c>
      <c r="W7" s="91" t="n"/>
    </row>
    <row r="8" ht="35.05" customHeight="1" s="53">
      <c r="A8" s="98" t="inlineStr">
        <is>
          <t>COM-05.01</t>
        </is>
      </c>
      <c r="B8" s="89" t="inlineStr">
        <is>
          <t>COM-05</t>
        </is>
      </c>
      <c r="C8" s="97">
        <f>IFERROR(INDEX(Thèmes!$D$2:$D$190,MATCH(B8,Thèmes!$A$2:$A$190,0)),"")</f>
        <v/>
      </c>
      <c r="D8" s="86" t="inlineStr">
        <is>
          <t>C01 · Votre positionnement et votre offre</t>
        </is>
      </c>
      <c r="E8" s="86" t="inlineStr">
        <is>
          <t>Garantie proposée — déclencheur D56</t>
        </is>
      </c>
      <c r="F8" s="86" t="inlineStr">
        <is>
          <t>Choix + texte</t>
        </is>
      </c>
      <c r="G8" s="89" t="inlineStr">
        <is>
          <t>Demandée</t>
        </is>
      </c>
      <c r="H8" s="89" t="inlineStr">
        <is>
          <t>Essentiel</t>
        </is>
      </c>
      <c r="I8" s="86" t="inlineStr">
        <is>
          <t>—</t>
        </is>
      </c>
      <c r="J8" s="86" t="inlineStr">
        <is>
          <t>—</t>
        </is>
      </c>
      <c r="K8" s="89" t="inlineStr">
        <is>
          <t>●</t>
        </is>
      </c>
      <c r="L8" s="89" t="inlineStr">
        <is>
          <t>●</t>
        </is>
      </c>
      <c r="M8" s="89" t="inlineStr">
        <is>
          <t>●</t>
        </is>
      </c>
      <c r="N8" s="89" t="inlineStr">
        <is>
          <t>●</t>
        </is>
      </c>
      <c r="O8" s="89" t="inlineStr">
        <is>
          <t>●</t>
        </is>
      </c>
      <c r="P8" s="89" t="inlineStr">
        <is>
          <t>●</t>
        </is>
      </c>
      <c r="Q8" s="89" t="inlineStr">
        <is>
          <t>●</t>
        </is>
      </c>
      <c r="R8" s="89" t="inlineStr">
        <is>
          <t>●</t>
        </is>
      </c>
      <c r="S8" s="86" t="inlineStr">
        <is>
          <t>Levier</t>
        </is>
      </c>
      <c r="T8" s="86" t="inlineStr">
        <is>
          <t>—</t>
        </is>
      </c>
      <c r="U8" s="86" t="inlineStr">
        <is>
          <t>—</t>
        </is>
      </c>
      <c r="V8" s="86" t="inlineStr">
        <is>
          <t>Notée directement (couleur du thème)</t>
        </is>
      </c>
      <c r="W8" s="91" t="inlineStr">
        <is>
          <t>Libellé (« Donnée »)</t>
        </is>
      </c>
    </row>
    <row r="9" ht="23.85" customHeight="1" s="53">
      <c r="A9" s="92" t="inlineStr">
        <is>
          <t>COM-05.02</t>
        </is>
      </c>
      <c r="B9" s="67" t="inlineStr">
        <is>
          <t>COM-05</t>
        </is>
      </c>
      <c r="C9" s="95">
        <f>IFERROR(INDEX(Thèmes!$D$2:$D$190,MATCH(B9,Thèmes!$A$2:$A$190,0)),"")</f>
        <v/>
      </c>
      <c r="D9" s="68" t="inlineStr">
        <is>
          <t>—</t>
        </is>
      </c>
      <c r="E9" s="68" t="inlineStr">
        <is>
          <t>Ce que garantit exactement le dirigeant</t>
        </is>
      </c>
      <c r="F9" s="68" t="inlineStr">
        <is>
          <t>Texte court</t>
        </is>
      </c>
      <c r="G9" s="67" t="inlineStr">
        <is>
          <t>Demandée</t>
        </is>
      </c>
      <c r="H9" s="67" t="inlineStr">
        <is>
          <t>Essentiel</t>
        </is>
      </c>
      <c r="I9" s="99" t="inlineStr">
        <is>
          <t>D56 · si garantie proposée</t>
        </is>
      </c>
      <c r="J9" s="68" t="inlineStr">
        <is>
          <t>—</t>
        </is>
      </c>
      <c r="K9" s="67" t="inlineStr">
        <is>
          <t>●</t>
        </is>
      </c>
      <c r="L9" s="67" t="inlineStr">
        <is>
          <t>●</t>
        </is>
      </c>
      <c r="M9" s="67" t="inlineStr">
        <is>
          <t>●</t>
        </is>
      </c>
      <c r="N9" s="67" t="inlineStr">
        <is>
          <t>●</t>
        </is>
      </c>
      <c r="O9" s="67" t="inlineStr">
        <is>
          <t>●</t>
        </is>
      </c>
      <c r="P9" s="67" t="inlineStr">
        <is>
          <t>●</t>
        </is>
      </c>
      <c r="Q9" s="67" t="inlineStr">
        <is>
          <t>●</t>
        </is>
      </c>
      <c r="R9" s="67" t="inlineStr">
        <is>
          <t>●</t>
        </is>
      </c>
      <c r="S9" s="68" t="inlineStr">
        <is>
          <t>—</t>
        </is>
      </c>
      <c r="T9" s="68" t="inlineStr">
        <is>
          <t>—</t>
        </is>
      </c>
      <c r="U9" s="68" t="inlineStr">
        <is>
          <t>—</t>
        </is>
      </c>
      <c r="V9" s="68" t="inlineStr">
        <is>
          <t>—</t>
        </is>
      </c>
      <c r="W9" s="83" t="inlineStr">
        <is>
          <t>Nouveau</t>
        </is>
      </c>
    </row>
    <row r="10" ht="35.05" customHeight="1" s="53">
      <c r="A10" s="85" t="inlineStr">
        <is>
          <t>COM-06.01</t>
        </is>
      </c>
      <c r="B10" s="89" t="inlineStr">
        <is>
          <t>COM-06</t>
        </is>
      </c>
      <c r="C10" s="97">
        <f>IFERROR(INDEX(Thèmes!$D$2:$D$190,MATCH(B10,Thèmes!$A$2:$A$190,0)),"")</f>
        <v/>
      </c>
      <c r="D10" s="86" t="inlineStr">
        <is>
          <t>—</t>
        </is>
      </c>
      <c r="E10" s="86" t="inlineStr">
        <is>
          <t>Ton adapté à la cible : registre, vocabulaire, niveau technique</t>
        </is>
      </c>
      <c r="F10" s="86" t="inlineStr">
        <is>
          <t>Oui / partiel / non</t>
        </is>
      </c>
      <c r="G10" s="102" t="inlineStr">
        <is>
          <t>Calculée</t>
        </is>
      </c>
      <c r="H10" s="89" t="inlineStr">
        <is>
          <t>—</t>
        </is>
      </c>
      <c r="I10" s="86" t="inlineStr">
        <is>
          <t>—</t>
        </is>
      </c>
      <c r="J10" s="86" t="inlineStr">
        <is>
          <t>—</t>
        </is>
      </c>
      <c r="K10" s="89" t="inlineStr">
        <is>
          <t>●</t>
        </is>
      </c>
      <c r="L10" s="89" t="inlineStr">
        <is>
          <t>●</t>
        </is>
      </c>
      <c r="M10" s="89" t="inlineStr">
        <is>
          <t>●</t>
        </is>
      </c>
      <c r="N10" s="89" t="inlineStr">
        <is>
          <t>●</t>
        </is>
      </c>
      <c r="O10" s="89" t="inlineStr">
        <is>
          <t>●</t>
        </is>
      </c>
      <c r="P10" s="89" t="inlineStr">
        <is>
          <t>●</t>
        </is>
      </c>
      <c r="Q10" s="89" t="inlineStr">
        <is>
          <t>●</t>
        </is>
      </c>
      <c r="R10" s="89" t="inlineStr">
        <is>
          <t>●</t>
        </is>
      </c>
      <c r="S10" s="86" t="inlineStr">
        <is>
          <t>Problème</t>
        </is>
      </c>
      <c r="T10" s="86" t="inlineStr">
        <is>
          <t>Évalué par l'IA sur les publications importées. La forme seulement : le public visé est noté en COM-54</t>
        </is>
      </c>
      <c r="U10" s="86" t="inlineStr">
        <is>
          <t>COM-39.02, COM-02.01</t>
        </is>
      </c>
      <c r="V10" s="86" t="inlineStr">
        <is>
          <t>Affichée dans le rapport</t>
        </is>
      </c>
      <c r="W10" s="91" t="n"/>
    </row>
    <row r="11" ht="35.05" customHeight="1" s="53">
      <c r="A11" s="85" t="inlineStr">
        <is>
          <t>COM-07.01</t>
        </is>
      </c>
      <c r="B11" s="89" t="inlineStr">
        <is>
          <t>COM-07</t>
        </is>
      </c>
      <c r="C11" s="97">
        <f>IFERROR(INDEX(Thèmes!$D$2:$D$190,MATCH(B11,Thèmes!$A$2:$A$190,0)),"")</f>
        <v/>
      </c>
      <c r="D11" s="86" t="inlineStr">
        <is>
          <t>C01 · Votre positionnement et votre offre</t>
        </is>
      </c>
      <c r="E11" s="86" t="inlineStr">
        <is>
          <t>Logo, couleurs et ton identiques sur le site, les réseaux, les devis et la vitrine : oui, en partie, non</t>
        </is>
      </c>
      <c r="F11" s="86" t="inlineStr">
        <is>
          <t>Choix</t>
        </is>
      </c>
      <c r="G11" s="89" t="inlineStr">
        <is>
          <t>Demandée</t>
        </is>
      </c>
      <c r="H11" s="89" t="inlineStr">
        <is>
          <t>Essentiel</t>
        </is>
      </c>
      <c r="I11" s="86" t="inlineStr">
        <is>
          <t>—</t>
        </is>
      </c>
      <c r="J11" s="86" t="inlineStr">
        <is>
          <t>—</t>
        </is>
      </c>
      <c r="K11" s="89" t="inlineStr">
        <is>
          <t>●</t>
        </is>
      </c>
      <c r="L11" s="89" t="inlineStr">
        <is>
          <t>●</t>
        </is>
      </c>
      <c r="M11" s="89" t="inlineStr">
        <is>
          <t>●</t>
        </is>
      </c>
      <c r="N11" s="89" t="inlineStr">
        <is>
          <t>●</t>
        </is>
      </c>
      <c r="O11" s="89" t="inlineStr">
        <is>
          <t>●</t>
        </is>
      </c>
      <c r="P11" s="89" t="inlineStr">
        <is>
          <t>●</t>
        </is>
      </c>
      <c r="Q11" s="89" t="inlineStr">
        <is>
          <t>●</t>
        </is>
      </c>
      <c r="R11" s="89" t="inlineStr">
        <is>
          <t>●</t>
        </is>
      </c>
      <c r="S11" s="86" t="inlineStr">
        <is>
          <t>Problème</t>
        </is>
      </c>
      <c r="T11" s="86" t="inlineStr">
        <is>
          <t>—</t>
        </is>
      </c>
      <c r="U11" s="86" t="inlineStr">
        <is>
          <t>—</t>
        </is>
      </c>
      <c r="V11" s="86" t="inlineStr">
        <is>
          <t>Notée directement (couleur du thème)</t>
        </is>
      </c>
      <c r="W11" s="91" t="n"/>
    </row>
    <row r="12" ht="35.05" customHeight="1" s="53">
      <c r="A12" s="85" t="inlineStr">
        <is>
          <t>COM-08.01</t>
        </is>
      </c>
      <c r="B12" s="89" t="inlineStr">
        <is>
          <t>COM-08</t>
        </is>
      </c>
      <c r="C12" s="97">
        <f>IFERROR(INDEX(Thèmes!$D$2:$D$190,MATCH(B12,Thèmes!$A$2:$A$190,0)),"")</f>
        <v/>
      </c>
      <c r="D12" s="86" t="inlineStr">
        <is>
          <t>C01 · Votre positionnement et votre offre</t>
        </is>
      </c>
      <c r="E12" s="86" t="inlineStr">
        <is>
          <t>Certifications, labels ou garanties professionnelles affichés</t>
        </is>
      </c>
      <c r="F12" s="86" t="inlineStr">
        <is>
          <t>Cases à cocher</t>
        </is>
      </c>
      <c r="G12" s="89" t="inlineStr">
        <is>
          <t>Demandée</t>
        </is>
      </c>
      <c r="H12" s="89" t="inlineStr">
        <is>
          <t>Approfondi</t>
        </is>
      </c>
      <c r="I12" s="86" t="inlineStr">
        <is>
          <t>—</t>
        </is>
      </c>
      <c r="J12" s="86" t="inlineStr">
        <is>
          <t>—</t>
        </is>
      </c>
      <c r="K12" s="89" t="inlineStr">
        <is>
          <t>●</t>
        </is>
      </c>
      <c r="L12" s="89" t="inlineStr">
        <is>
          <t>●</t>
        </is>
      </c>
      <c r="M12" s="89" t="inlineStr">
        <is>
          <t>●</t>
        </is>
      </c>
      <c r="N12" s="89" t="inlineStr">
        <is>
          <t>●</t>
        </is>
      </c>
      <c r="O12" s="89" t="inlineStr">
        <is>
          <t>●</t>
        </is>
      </c>
      <c r="P12" s="89" t="inlineStr">
        <is>
          <t>●</t>
        </is>
      </c>
      <c r="Q12" s="89" t="inlineStr">
        <is>
          <t>●</t>
        </is>
      </c>
      <c r="R12" s="89" t="inlineStr">
        <is>
          <t>●</t>
        </is>
      </c>
      <c r="S12" s="86" t="inlineStr">
        <is>
          <t>Cible</t>
        </is>
      </c>
      <c r="T12" s="86" t="inlineStr">
        <is>
          <t>—</t>
        </is>
      </c>
      <c r="U12" s="86" t="inlineStr">
        <is>
          <t>—</t>
        </is>
      </c>
      <c r="V12" s="86" t="inlineStr">
        <is>
          <t>COM-08.02</t>
        </is>
      </c>
      <c r="W12" s="91" t="n"/>
    </row>
    <row r="13" ht="23.85" customHeight="1" s="53">
      <c r="A13" s="81" t="inlineStr">
        <is>
          <t>COM-08.02</t>
        </is>
      </c>
      <c r="B13" s="67" t="inlineStr">
        <is>
          <t>COM-08</t>
        </is>
      </c>
      <c r="C13" s="95">
        <f>IFERROR(INDEX(Thèmes!$D$2:$D$190,MATCH(B13,Thèmes!$A$2:$A$190,0)),"")</f>
        <v/>
      </c>
      <c r="D13" s="68" t="inlineStr">
        <is>
          <t>—</t>
        </is>
      </c>
      <c r="E13" s="68" t="inlineStr">
        <is>
          <t>Éléments de réassurance visibles</t>
        </is>
      </c>
      <c r="F13" s="68" t="inlineStr">
        <is>
          <t>Liste</t>
        </is>
      </c>
      <c r="G13" s="96" t="inlineStr">
        <is>
          <t>Calculée</t>
        </is>
      </c>
      <c r="H13" s="67" t="inlineStr">
        <is>
          <t>—</t>
        </is>
      </c>
      <c r="I13" s="68" t="inlineStr">
        <is>
          <t>—</t>
        </is>
      </c>
      <c r="J13" s="68" t="inlineStr">
        <is>
          <t>—</t>
        </is>
      </c>
      <c r="K13" s="67" t="inlineStr">
        <is>
          <t>●</t>
        </is>
      </c>
      <c r="L13" s="67" t="inlineStr">
        <is>
          <t>●</t>
        </is>
      </c>
      <c r="M13" s="67" t="inlineStr">
        <is>
          <t>●</t>
        </is>
      </c>
      <c r="N13" s="67" t="inlineStr">
        <is>
          <t>●</t>
        </is>
      </c>
      <c r="O13" s="67" t="inlineStr">
        <is>
          <t>●</t>
        </is>
      </c>
      <c r="P13" s="67" t="inlineStr">
        <is>
          <t>●</t>
        </is>
      </c>
      <c r="Q13" s="67" t="inlineStr">
        <is>
          <t>●</t>
        </is>
      </c>
      <c r="R13" s="67" t="inlineStr">
        <is>
          <t>●</t>
        </is>
      </c>
      <c r="S13" s="68" t="inlineStr">
        <is>
          <t>Levier</t>
        </is>
      </c>
      <c r="T13" s="68" t="inlineStr">
        <is>
          <t>Avis, ancienneté (inscription), certifications, preuves publiées</t>
        </is>
      </c>
      <c r="U13" s="68" t="inlineStr">
        <is>
          <t>ACQ-06.01, COM-08.01, COM-09.01</t>
        </is>
      </c>
      <c r="V13" s="68" t="inlineStr">
        <is>
          <t>Affichée dans le rapport</t>
        </is>
      </c>
      <c r="W13" s="83" t="n"/>
    </row>
    <row r="14" ht="57.45" customHeight="1" s="53">
      <c r="A14" s="85" t="inlineStr">
        <is>
          <t>COM-09.01</t>
        </is>
      </c>
      <c r="B14" s="89" t="inlineStr">
        <is>
          <t>COM-09</t>
        </is>
      </c>
      <c r="C14" s="97">
        <f>IFERROR(INDEX(Thèmes!$D$2:$D$190,MATCH(B14,Thèmes!$A$2:$A$190,0)),"")</f>
        <v/>
      </c>
      <c r="D14" s="86" t="inlineStr">
        <is>
          <t>C02 · Vos preuves (tableau par type)</t>
        </is>
      </c>
      <c r="E14" s="86" t="inlineStr">
        <is>
          <t>Vos preuves par type — témoignage écrit, témoignage vidéo, étude de cas avec résultat chiffré, avant / après, photos ou vidéos de réalisations, avis détaillé : nombre disponible, nombre publié sur le site, nombre publié sur les réseaux</t>
        </is>
      </c>
      <c r="F14" s="86" t="inlineStr">
        <is>
          <t>Tableau 6 × 3</t>
        </is>
      </c>
      <c r="G14" s="89" t="inlineStr">
        <is>
          <t>Demandée</t>
        </is>
      </c>
      <c r="H14" s="89" t="inlineStr">
        <is>
          <t>Essentiel</t>
        </is>
      </c>
      <c r="I14" s="86" t="inlineStr">
        <is>
          <t>—</t>
        </is>
      </c>
      <c r="J14" s="86" t="inlineStr">
        <is>
          <t>—</t>
        </is>
      </c>
      <c r="K14" s="89" t="inlineStr">
        <is>
          <t>●</t>
        </is>
      </c>
      <c r="L14" s="89" t="inlineStr">
        <is>
          <t>●</t>
        </is>
      </c>
      <c r="M14" s="89" t="inlineStr">
        <is>
          <t>●</t>
        </is>
      </c>
      <c r="N14" s="89" t="inlineStr">
        <is>
          <t>●</t>
        </is>
      </c>
      <c r="O14" s="89" t="inlineStr">
        <is>
          <t>●</t>
        </is>
      </c>
      <c r="P14" s="89" t="inlineStr">
        <is>
          <t>●</t>
        </is>
      </c>
      <c r="Q14" s="89" t="inlineStr">
        <is>
          <t>●</t>
        </is>
      </c>
      <c r="R14" s="89" t="inlineStr">
        <is>
          <t>●</t>
        </is>
      </c>
      <c r="S14" s="86" t="inlineStr">
        <is>
          <t>Opportunité</t>
        </is>
      </c>
      <c r="T14" s="86" t="inlineStr">
        <is>
          <t>—</t>
        </is>
      </c>
      <c r="U14" s="86" t="inlineStr">
        <is>
          <t>—</t>
        </is>
      </c>
      <c r="V14" s="86" t="inlineStr">
        <is>
          <t>COM-08.02, COM-09.04, COM-09.05, COM-09.06, COM-34.03, XC15</t>
        </is>
      </c>
      <c r="W14" s="91" t="n"/>
    </row>
    <row r="15" ht="23.85" customHeight="1" s="53">
      <c r="A15" s="81" t="inlineStr">
        <is>
          <t>COM-09.02</t>
        </is>
      </c>
      <c r="B15" s="67" t="inlineStr">
        <is>
          <t>COM-09</t>
        </is>
      </c>
      <c r="C15" s="95">
        <f>IFERROR(INDEX(Thèmes!$D$2:$D$190,MATCH(B15,Thèmes!$A$2:$A$190,0)),"")</f>
        <v/>
      </c>
      <c r="D15" s="68" t="inlineStr">
        <is>
          <t>C02 · Vos preuves (tableau par type)</t>
        </is>
      </c>
      <c r="E15" s="68" t="inlineStr">
        <is>
          <t>Date de votre preuve la plus récente</t>
        </is>
      </c>
      <c r="F15" s="68" t="inlineStr">
        <is>
          <t>Mois et année</t>
        </is>
      </c>
      <c r="G15" s="67" t="inlineStr">
        <is>
          <t>Demandée</t>
        </is>
      </c>
      <c r="H15" s="67" t="inlineStr">
        <is>
          <t>Essentiel</t>
        </is>
      </c>
      <c r="I15" s="68" t="inlineStr">
        <is>
          <t>—</t>
        </is>
      </c>
      <c r="J15" s="68" t="inlineStr">
        <is>
          <t>—</t>
        </is>
      </c>
      <c r="K15" s="67" t="inlineStr">
        <is>
          <t>●</t>
        </is>
      </c>
      <c r="L15" s="67" t="inlineStr">
        <is>
          <t>●</t>
        </is>
      </c>
      <c r="M15" s="67" t="inlineStr">
        <is>
          <t>●</t>
        </is>
      </c>
      <c r="N15" s="67" t="inlineStr">
        <is>
          <t>●</t>
        </is>
      </c>
      <c r="O15" s="67" t="inlineStr">
        <is>
          <t>●</t>
        </is>
      </c>
      <c r="P15" s="67" t="inlineStr">
        <is>
          <t>●</t>
        </is>
      </c>
      <c r="Q15" s="67" t="inlineStr">
        <is>
          <t>●</t>
        </is>
      </c>
      <c r="R15" s="67" t="inlineStr">
        <is>
          <t>●</t>
        </is>
      </c>
      <c r="S15" s="68" t="inlineStr">
        <is>
          <t>Problème</t>
        </is>
      </c>
      <c r="T15" s="68" t="inlineStr">
        <is>
          <t>—</t>
        </is>
      </c>
      <c r="U15" s="68" t="inlineStr">
        <is>
          <t>—</t>
        </is>
      </c>
      <c r="V15" s="68" t="inlineStr">
        <is>
          <t>Notée directement (couleur du thème)</t>
        </is>
      </c>
      <c r="W15" s="83" t="n"/>
    </row>
    <row r="16" ht="23.85" customHeight="1" s="53">
      <c r="A16" s="94" t="inlineStr">
        <is>
          <t>COM-09.03</t>
        </is>
      </c>
      <c r="B16" s="67" t="inlineStr">
        <is>
          <t>COM-09</t>
        </is>
      </c>
      <c r="C16" s="95">
        <f>IFERROR(INDEX(Thèmes!$D$2:$D$190,MATCH(B16,Thèmes!$A$2:$A$190,0)),"")</f>
        <v/>
      </c>
      <c r="D16" s="68" t="inlineStr">
        <is>
          <t>C02 · Vos preuves (tableau par type)</t>
        </is>
      </c>
      <c r="E16" s="68" t="inlineStr">
        <is>
          <t>Catégories de clients représentées par au moins une preuve (les offres sont en COM-09.08)</t>
        </is>
      </c>
      <c r="F16" s="68" t="inlineStr">
        <is>
          <t>Cases (reprend ACQ-01 et ACQ-13)</t>
        </is>
      </c>
      <c r="G16" s="67" t="inlineStr">
        <is>
          <t>Demandée</t>
        </is>
      </c>
      <c r="H16" s="67" t="inlineStr">
        <is>
          <t>Approfondi</t>
        </is>
      </c>
      <c r="I16" s="68" t="inlineStr">
        <is>
          <t>—</t>
        </is>
      </c>
      <c r="J16" s="68" t="inlineStr">
        <is>
          <t>—</t>
        </is>
      </c>
      <c r="K16" s="67" t="inlineStr">
        <is>
          <t>●</t>
        </is>
      </c>
      <c r="L16" s="67" t="inlineStr">
        <is>
          <t>●</t>
        </is>
      </c>
      <c r="M16" s="67" t="inlineStr">
        <is>
          <t>●</t>
        </is>
      </c>
      <c r="N16" s="67" t="inlineStr">
        <is>
          <t>●</t>
        </is>
      </c>
      <c r="O16" s="67" t="inlineStr">
        <is>
          <t>●</t>
        </is>
      </c>
      <c r="P16" s="67" t="inlineStr">
        <is>
          <t>●</t>
        </is>
      </c>
      <c r="Q16" s="67" t="inlineStr">
        <is>
          <t>●</t>
        </is>
      </c>
      <c r="R16" s="67" t="inlineStr">
        <is>
          <t>●</t>
        </is>
      </c>
      <c r="S16" s="68" t="inlineStr">
        <is>
          <t>Levier</t>
        </is>
      </c>
      <c r="T16" s="68" t="inlineStr">
        <is>
          <t>—</t>
        </is>
      </c>
      <c r="U16" s="68" t="inlineStr">
        <is>
          <t>—</t>
        </is>
      </c>
      <c r="V16" s="68" t="inlineStr">
        <is>
          <t>COM-09.07</t>
        </is>
      </c>
      <c r="W16" s="83" t="inlineStr">
        <is>
          <t>Libellé (« Donnée »)</t>
        </is>
      </c>
    </row>
    <row r="17" ht="23.85" customHeight="1" s="53">
      <c r="A17" s="81" t="inlineStr">
        <is>
          <t>COM-09.04</t>
        </is>
      </c>
      <c r="B17" s="67" t="inlineStr">
        <is>
          <t>COM-09</t>
        </is>
      </c>
      <c r="C17" s="95">
        <f>IFERROR(INDEX(Thèmes!$D$2:$D$190,MATCH(B17,Thèmes!$A$2:$A$190,0)),"")</f>
        <v/>
      </c>
      <c r="D17" s="68" t="inlineStr">
        <is>
          <t>—</t>
        </is>
      </c>
      <c r="E17" s="68" t="inlineStr">
        <is>
          <t>Preuves exploitables au total, dont avec résultat chiffré</t>
        </is>
      </c>
      <c r="F17" s="68" t="inlineStr">
        <is>
          <t>Nombre et %</t>
        </is>
      </c>
      <c r="G17" s="96" t="inlineStr">
        <is>
          <t>Calculée</t>
        </is>
      </c>
      <c r="H17" s="67" t="inlineStr">
        <is>
          <t>—</t>
        </is>
      </c>
      <c r="I17" s="68" t="inlineStr">
        <is>
          <t>—</t>
        </is>
      </c>
      <c r="J17" s="68" t="inlineStr">
        <is>
          <t>—</t>
        </is>
      </c>
      <c r="K17" s="67" t="inlineStr">
        <is>
          <t>●</t>
        </is>
      </c>
      <c r="L17" s="67" t="inlineStr">
        <is>
          <t>●</t>
        </is>
      </c>
      <c r="M17" s="67" t="inlineStr">
        <is>
          <t>●</t>
        </is>
      </c>
      <c r="N17" s="67" t="inlineStr">
        <is>
          <t>●</t>
        </is>
      </c>
      <c r="O17" s="67" t="inlineStr">
        <is>
          <t>●</t>
        </is>
      </c>
      <c r="P17" s="67" t="inlineStr">
        <is>
          <t>●</t>
        </is>
      </c>
      <c r="Q17" s="67" t="inlineStr">
        <is>
          <t>●</t>
        </is>
      </c>
      <c r="R17" s="67" t="inlineStr">
        <is>
          <t>●</t>
        </is>
      </c>
      <c r="S17" s="68" t="inlineStr">
        <is>
          <t>Mesure</t>
        </is>
      </c>
      <c r="T17" s="68" t="inlineStr">
        <is>
          <t>Somme du tableau ; part des études de cas chiffrées</t>
        </is>
      </c>
      <c r="U17" s="68" t="inlineStr">
        <is>
          <t>COM-09.01</t>
        </is>
      </c>
      <c r="V17" s="68" t="inlineStr">
        <is>
          <t>XC13</t>
        </is>
      </c>
      <c r="W17" s="83" t="n"/>
    </row>
    <row r="18" ht="23.85" customHeight="1" s="53">
      <c r="A18" s="81" t="inlineStr">
        <is>
          <t>COM-09.05</t>
        </is>
      </c>
      <c r="B18" s="67" t="inlineStr">
        <is>
          <t>COM-09</t>
        </is>
      </c>
      <c r="C18" s="95">
        <f>IFERROR(INDEX(Thèmes!$D$2:$D$190,MATCH(B18,Thèmes!$A$2:$A$190,0)),"")</f>
        <v/>
      </c>
      <c r="D18" s="68" t="inlineStr">
        <is>
          <t>—</t>
        </is>
      </c>
      <c r="E18" s="68" t="inlineStr">
        <is>
          <t>Part des preuves réellement publiées</t>
        </is>
      </c>
      <c r="F18" s="68" t="inlineStr">
        <is>
          <t>%</t>
        </is>
      </c>
      <c r="G18" s="96" t="inlineStr">
        <is>
          <t>Calculée</t>
        </is>
      </c>
      <c r="H18" s="67" t="inlineStr">
        <is>
          <t>—</t>
        </is>
      </c>
      <c r="I18" s="68" t="inlineStr">
        <is>
          <t>—</t>
        </is>
      </c>
      <c r="J18" s="68" t="inlineStr">
        <is>
          <t>—</t>
        </is>
      </c>
      <c r="K18" s="67" t="inlineStr">
        <is>
          <t>●</t>
        </is>
      </c>
      <c r="L18" s="67" t="inlineStr">
        <is>
          <t>●</t>
        </is>
      </c>
      <c r="M18" s="67" t="inlineStr">
        <is>
          <t>●</t>
        </is>
      </c>
      <c r="N18" s="67" t="inlineStr">
        <is>
          <t>●</t>
        </is>
      </c>
      <c r="O18" s="67" t="inlineStr">
        <is>
          <t>●</t>
        </is>
      </c>
      <c r="P18" s="67" t="inlineStr">
        <is>
          <t>●</t>
        </is>
      </c>
      <c r="Q18" s="67" t="inlineStr">
        <is>
          <t>●</t>
        </is>
      </c>
      <c r="R18" s="67" t="inlineStr">
        <is>
          <t>●</t>
        </is>
      </c>
      <c r="S18" s="68" t="inlineStr">
        <is>
          <t>Opportunité</t>
        </is>
      </c>
      <c r="T18" s="68" t="inlineStr">
        <is>
          <t>Preuves publiées (site ou réseaux) ÷ preuves disponibles</t>
        </is>
      </c>
      <c r="U18" s="68" t="inlineStr">
        <is>
          <t>COM-09.01</t>
        </is>
      </c>
      <c r="V18" s="68" t="inlineStr">
        <is>
          <t>XC13, XC14, DC09</t>
        </is>
      </c>
      <c r="W18" s="83" t="n"/>
    </row>
    <row r="19" ht="46.25" customHeight="1" s="53">
      <c r="A19" s="81" t="inlineStr">
        <is>
          <t>COM-09.06</t>
        </is>
      </c>
      <c r="B19" s="67" t="inlineStr">
        <is>
          <t>COM-09</t>
        </is>
      </c>
      <c r="C19" s="95">
        <f>IFERROR(INDEX(Thèmes!$D$2:$D$190,MATCH(B19,Thèmes!$A$2:$A$190,0)),"")</f>
        <v/>
      </c>
      <c r="D19" s="68" t="inlineStr">
        <is>
          <t>—</t>
        </is>
      </c>
      <c r="E19" s="68" t="inlineStr">
        <is>
          <t>Preuves possibles au regard de l'activité</t>
        </is>
      </c>
      <c r="F19" s="68" t="inlineStr">
        <is>
          <t>Nombre</t>
        </is>
      </c>
      <c r="G19" s="96" t="inlineStr">
        <is>
          <t>Calculée</t>
        </is>
      </c>
      <c r="H19" s="67" t="inlineStr">
        <is>
          <t>—</t>
        </is>
      </c>
      <c r="I19" s="68" t="inlineStr">
        <is>
          <t>—</t>
        </is>
      </c>
      <c r="J19" s="68" t="inlineStr">
        <is>
          <t>—</t>
        </is>
      </c>
      <c r="K19" s="67" t="inlineStr">
        <is>
          <t>●</t>
        </is>
      </c>
      <c r="L19" s="67" t="inlineStr">
        <is>
          <t>●</t>
        </is>
      </c>
      <c r="M19" s="67" t="inlineStr">
        <is>
          <t>●</t>
        </is>
      </c>
      <c r="N19" s="67" t="inlineStr">
        <is>
          <t>●</t>
        </is>
      </c>
      <c r="O19" s="67" t="inlineStr">
        <is>
          <t>●</t>
        </is>
      </c>
      <c r="P19" s="67" t="inlineStr">
        <is>
          <t>●</t>
        </is>
      </c>
      <c r="Q19" s="67" t="inlineStr">
        <is>
          <t>●</t>
        </is>
      </c>
      <c r="R19" s="67" t="n"/>
      <c r="S19" s="68" t="inlineStr">
        <is>
          <t>Opportunité</t>
        </is>
      </c>
      <c r="T19" s="68" t="inlineStr">
        <is>
          <t>Clients ou ventes de la période comparés aux preuves et aux avis disponibles</t>
        </is>
      </c>
      <c r="U19" s="68" t="inlineStr">
        <is>
          <t>ACQ-17.01, ACQ-11.01, ACQ-21.02, ACQ-11.06, ACQ-11.07, ACQ-11.14, COM-09.01, ACQ-06.01</t>
        </is>
      </c>
      <c r="V19" s="68" t="inlineStr">
        <is>
          <t>XC14</t>
        </is>
      </c>
      <c r="W19" s="83" t="n"/>
    </row>
    <row r="20" ht="23.85" customHeight="1" s="53">
      <c r="A20" s="81" t="inlineStr">
        <is>
          <t>COM-09.07</t>
        </is>
      </c>
      <c r="B20" s="67" t="inlineStr">
        <is>
          <t>COM-09</t>
        </is>
      </c>
      <c r="C20" s="95">
        <f>IFERROR(INDEX(Thèmes!$D$2:$D$190,MATCH(B20,Thèmes!$A$2:$A$190,0)),"")</f>
        <v/>
      </c>
      <c r="D20" s="68" t="inlineStr">
        <is>
          <t>—</t>
        </is>
      </c>
      <c r="E20" s="68" t="inlineStr">
        <is>
          <t>Offres et types de clients sans aucune preuve</t>
        </is>
      </c>
      <c r="F20" s="68" t="inlineStr">
        <is>
          <t>Liste</t>
        </is>
      </c>
      <c r="G20" s="96" t="inlineStr">
        <is>
          <t>Calculée</t>
        </is>
      </c>
      <c r="H20" s="67" t="inlineStr">
        <is>
          <t>—</t>
        </is>
      </c>
      <c r="I20" s="68" t="inlineStr">
        <is>
          <t>—</t>
        </is>
      </c>
      <c r="J20" s="68" t="inlineStr">
        <is>
          <t>—</t>
        </is>
      </c>
      <c r="K20" s="67" t="inlineStr">
        <is>
          <t>●</t>
        </is>
      </c>
      <c r="L20" s="67" t="inlineStr">
        <is>
          <t>●</t>
        </is>
      </c>
      <c r="M20" s="67" t="inlineStr">
        <is>
          <t>●</t>
        </is>
      </c>
      <c r="N20" s="67" t="inlineStr">
        <is>
          <t>●</t>
        </is>
      </c>
      <c r="O20" s="67" t="inlineStr">
        <is>
          <t>●</t>
        </is>
      </c>
      <c r="P20" s="67" t="inlineStr">
        <is>
          <t>●</t>
        </is>
      </c>
      <c r="Q20" s="67" t="inlineStr">
        <is>
          <t>●</t>
        </is>
      </c>
      <c r="R20" s="67" t="inlineStr">
        <is>
          <t>●</t>
        </is>
      </c>
      <c r="S20" s="68" t="inlineStr">
        <is>
          <t>Levier</t>
        </is>
      </c>
      <c r="T20" s="68" t="inlineStr">
        <is>
          <t>Offres et types non couverts par une preuve</t>
        </is>
      </c>
      <c r="U20" s="68" t="inlineStr">
        <is>
          <t>COM-09.03, ACQ-01.01, ACQ-13.01</t>
        </is>
      </c>
      <c r="V20" s="68" t="inlineStr">
        <is>
          <t>Affichée dans le rapport</t>
        </is>
      </c>
      <c r="W20" s="83" t="n"/>
    </row>
    <row r="21" ht="46.25" customHeight="1" s="53">
      <c r="A21" s="92" t="inlineStr">
        <is>
          <t>COM-09.08</t>
        </is>
      </c>
      <c r="B21" s="67" t="inlineStr">
        <is>
          <t>COM-09</t>
        </is>
      </c>
      <c r="C21" s="95">
        <f>IFERROR(INDEX(Thèmes!$D$2:$D$190,MATCH(B21,Thèmes!$A$2:$A$190,0)),"")</f>
        <v/>
      </c>
      <c r="D21" s="68" t="inlineStr">
        <is>
          <t>—</t>
        </is>
      </c>
      <c r="E21" s="68" t="inlineStr">
        <is>
          <t>Offres principales représentées par au moins une preuve</t>
        </is>
      </c>
      <c r="F21" s="68" t="inlineStr">
        <is>
          <t>Tableau : Au moins une preuve (lignes fixe: Offre 1 / Offre 2 / Offre 3)</t>
        </is>
      </c>
      <c r="G21" s="67" t="inlineStr">
        <is>
          <t>Demandée</t>
        </is>
      </c>
      <c r="H21" s="67" t="inlineStr">
        <is>
          <t>Approfondi</t>
        </is>
      </c>
      <c r="I21" s="68" t="inlineStr">
        <is>
          <t>—</t>
        </is>
      </c>
      <c r="J21" s="68" t="inlineStr">
        <is>
          <t>—</t>
        </is>
      </c>
      <c r="K21" s="67" t="inlineStr">
        <is>
          <t>●</t>
        </is>
      </c>
      <c r="L21" s="67" t="inlineStr">
        <is>
          <t>●</t>
        </is>
      </c>
      <c r="M21" s="67" t="inlineStr">
        <is>
          <t>●</t>
        </is>
      </c>
      <c r="N21" s="67" t="inlineStr">
        <is>
          <t>●</t>
        </is>
      </c>
      <c r="O21" s="67" t="inlineStr">
        <is>
          <t>●</t>
        </is>
      </c>
      <c r="P21" s="67" t="inlineStr">
        <is>
          <t>●</t>
        </is>
      </c>
      <c r="Q21" s="67" t="inlineStr">
        <is>
          <t>●</t>
        </is>
      </c>
      <c r="R21" s="67" t="inlineStr">
        <is>
          <t>●</t>
        </is>
      </c>
      <c r="S21" s="68" t="inlineStr">
        <is>
          <t>—</t>
        </is>
      </c>
      <c r="T21" s="68" t="inlineStr">
        <is>
          <t>—</t>
        </is>
      </c>
      <c r="U21" s="68" t="inlineStr">
        <is>
          <t>—</t>
        </is>
      </c>
      <c r="V21" s="68" t="inlineStr">
        <is>
          <t>—</t>
        </is>
      </c>
      <c r="W21" s="83" t="inlineStr">
        <is>
          <t>Nouveau</t>
        </is>
      </c>
    </row>
    <row r="22" ht="68.65000000000001" customHeight="1" s="53">
      <c r="A22" s="85" t="inlineStr">
        <is>
          <t>COM-10.01</t>
        </is>
      </c>
      <c r="B22" s="89" t="inlineStr">
        <is>
          <t>COM-10</t>
        </is>
      </c>
      <c r="C22" s="97">
        <f>IFERROR(INDEX(Thèmes!$D$2:$D$190,MATCH(B22,Thèmes!$A$2:$A$190,0)),"")</f>
        <v/>
      </c>
      <c r="D22" s="86" t="inlineStr">
        <is>
          <t>C03 · Vos réseaux (tableau par réseau)</t>
        </is>
      </c>
      <c r="E22" s="86" t="inlineStr">
        <is>
          <t>Pour chaque réseau réellement utilisé (LinkedIn, Instagram, Facebook, TikTok, YouTube, X, Pinterest, autre) : date d'ouverture du compte, publications par mois, format principal, date de la dernière publication, qui publie</t>
        </is>
      </c>
      <c r="F22" s="86" t="inlineStr">
        <is>
          <t>Tableau par réseau</t>
        </is>
      </c>
      <c r="G22" s="89" t="inlineStr">
        <is>
          <t>Demandée</t>
        </is>
      </c>
      <c r="H22" s="89" t="inlineStr">
        <is>
          <t>Essentiel</t>
        </is>
      </c>
      <c r="I22" s="100" t="inlineStr">
        <is>
          <t>D22 · une ligne par réseau utilisé</t>
        </is>
      </c>
      <c r="J22" s="86" t="inlineStr">
        <is>
          <t>—</t>
        </is>
      </c>
      <c r="K22" s="89" t="inlineStr">
        <is>
          <t>●</t>
        </is>
      </c>
      <c r="L22" s="89" t="inlineStr">
        <is>
          <t>●</t>
        </is>
      </c>
      <c r="M22" s="89" t="inlineStr">
        <is>
          <t>●</t>
        </is>
      </c>
      <c r="N22" s="89" t="inlineStr">
        <is>
          <t>●</t>
        </is>
      </c>
      <c r="O22" s="89" t="inlineStr">
        <is>
          <t>●</t>
        </is>
      </c>
      <c r="P22" s="89" t="inlineStr">
        <is>
          <t>●</t>
        </is>
      </c>
      <c r="Q22" s="89" t="inlineStr">
        <is>
          <t>●</t>
        </is>
      </c>
      <c r="R22" s="89" t="inlineStr">
        <is>
          <t>●</t>
        </is>
      </c>
      <c r="S22" s="86" t="inlineStr">
        <is>
          <t>Parcours</t>
        </is>
      </c>
      <c r="T22" s="86" t="inlineStr">
        <is>
          <t>—</t>
        </is>
      </c>
      <c r="U22" s="86" t="inlineStr">
        <is>
          <t>—</t>
        </is>
      </c>
      <c r="V22" s="86" t="inlineStr">
        <is>
          <t>COM-10.06, COM-11.01, COM-17.04, COM-18.02, COM-30.01, COM-31.06, COM-32.05, COM-35.03, COM-37.02, XC01, XC02, DC01</t>
        </is>
      </c>
      <c r="W22" s="91" t="n"/>
    </row>
    <row r="23" ht="46.25" customHeight="1" s="53">
      <c r="A23" s="81" t="inlineStr">
        <is>
          <t>COM-10.02</t>
        </is>
      </c>
      <c r="B23" s="67" t="inlineStr">
        <is>
          <t>COM-10</t>
        </is>
      </c>
      <c r="C23" s="95">
        <f>IFERROR(INDEX(Thèmes!$D$2:$D$190,MATCH(B23,Thèmes!$A$2:$A$190,0)),"")</f>
        <v/>
      </c>
      <c r="D23" s="68" t="inlineStr">
        <is>
          <t>C03 · Vos réseaux (tableau par réseau)</t>
        </is>
      </c>
      <c r="E23" s="68" t="inlineStr">
        <is>
          <t>Périodes d'au moins 3 semaines sans publication, par réseau</t>
        </is>
      </c>
      <c r="F23" s="68" t="inlineStr">
        <is>
          <t>Nombre par réseau</t>
        </is>
      </c>
      <c r="G23" s="101" t="inlineStr">
        <is>
          <t>Importée</t>
        </is>
      </c>
      <c r="H23" s="67" t="inlineStr">
        <is>
          <t>Essentiel</t>
        </is>
      </c>
      <c r="I23" s="99" t="inlineStr">
        <is>
          <t>D22 · une ligne par réseau utilisé</t>
        </is>
      </c>
      <c r="J23" s="68" t="inlineStr">
        <is>
          <t>Période adaptée : depuis l'ouverture du compte si moins de 6 mois</t>
        </is>
      </c>
      <c r="K23" s="67" t="inlineStr">
        <is>
          <t>●</t>
        </is>
      </c>
      <c r="L23" s="67" t="inlineStr">
        <is>
          <t>●</t>
        </is>
      </c>
      <c r="M23" s="67" t="inlineStr">
        <is>
          <t>●</t>
        </is>
      </c>
      <c r="N23" s="67" t="inlineStr">
        <is>
          <t>●</t>
        </is>
      </c>
      <c r="O23" s="67" t="inlineStr">
        <is>
          <t>●</t>
        </is>
      </c>
      <c r="P23" s="67" t="inlineStr">
        <is>
          <t>●</t>
        </is>
      </c>
      <c r="Q23" s="67" t="inlineStr">
        <is>
          <t>●</t>
        </is>
      </c>
      <c r="R23" s="67" t="inlineStr">
        <is>
          <t>●</t>
        </is>
      </c>
      <c r="S23" s="68" t="inlineStr">
        <is>
          <t>Problème</t>
        </is>
      </c>
      <c r="T23" s="68" t="inlineStr">
        <is>
          <t>Lu dans les dates de publication si le réseau est connecté</t>
        </is>
      </c>
      <c r="U23" s="68" t="inlineStr">
        <is>
          <t>—</t>
        </is>
      </c>
      <c r="V23" s="68" t="inlineStr">
        <is>
          <t>COM-33.02, XC16</t>
        </is>
      </c>
      <c r="W23" s="83" t="n"/>
    </row>
    <row r="24" ht="23.85" customHeight="1" s="53">
      <c r="A24" s="81" t="inlineStr">
        <is>
          <t>COM-10.03</t>
        </is>
      </c>
      <c r="B24" s="67" t="inlineStr">
        <is>
          <t>COM-10</t>
        </is>
      </c>
      <c r="C24" s="95">
        <f>IFERROR(INDEX(Thèmes!$D$2:$D$190,MATCH(B24,Thèmes!$A$2:$A$190,0)),"")</f>
        <v/>
      </c>
      <c r="D24" s="68" t="inlineStr">
        <is>
          <t>C14 · Démarrer votre communication</t>
        </is>
      </c>
      <c r="E24" s="68" t="inlineStr">
        <is>
          <t>Réseaux où se trouvent vos clients, selon vous</t>
        </is>
      </c>
      <c r="F24" s="68" t="inlineStr">
        <is>
          <t>Cases à cocher</t>
        </is>
      </c>
      <c r="G24" s="67" t="inlineStr">
        <is>
          <t>Demandée</t>
        </is>
      </c>
      <c r="H24" s="67" t="inlineStr">
        <is>
          <t>Essentiel</t>
        </is>
      </c>
      <c r="I24" s="99" t="inlineStr">
        <is>
          <t>D21 · si vous ne publiez pas encore</t>
        </is>
      </c>
      <c r="J24" s="68" t="inlineStr">
        <is>
          <t>—</t>
        </is>
      </c>
      <c r="K24" s="67" t="inlineStr">
        <is>
          <t>●</t>
        </is>
      </c>
      <c r="L24" s="67" t="inlineStr">
        <is>
          <t>●</t>
        </is>
      </c>
      <c r="M24" s="67" t="inlineStr">
        <is>
          <t>●</t>
        </is>
      </c>
      <c r="N24" s="67" t="inlineStr">
        <is>
          <t>●</t>
        </is>
      </c>
      <c r="O24" s="67" t="inlineStr">
        <is>
          <t>●</t>
        </is>
      </c>
      <c r="P24" s="67" t="inlineStr">
        <is>
          <t>●</t>
        </is>
      </c>
      <c r="Q24" s="67" t="inlineStr">
        <is>
          <t>●</t>
        </is>
      </c>
      <c r="R24" s="67" t="inlineStr">
        <is>
          <t>●</t>
        </is>
      </c>
      <c r="S24" s="68" t="inlineStr">
        <is>
          <t>Cible</t>
        </is>
      </c>
      <c r="T24" s="68" t="inlineStr">
        <is>
          <t>—</t>
        </is>
      </c>
      <c r="U24" s="68" t="inlineStr">
        <is>
          <t>—</t>
        </is>
      </c>
      <c r="V24" s="68" t="inlineStr">
        <is>
          <t>Lue par l'IA pour adapter le conseil</t>
        </is>
      </c>
      <c r="W24" s="83" t="n"/>
    </row>
    <row r="25" ht="23.85" customHeight="1" s="53">
      <c r="A25" s="81" t="inlineStr">
        <is>
          <t>COM-10.04</t>
        </is>
      </c>
      <c r="B25" s="67" t="inlineStr">
        <is>
          <t>COM-10</t>
        </is>
      </c>
      <c r="C25" s="95">
        <f>IFERROR(INDEX(Thèmes!$D$2:$D$190,MATCH(B25,Thèmes!$A$2:$A$190,0)),"")</f>
        <v/>
      </c>
      <c r="D25" s="68" t="inlineStr">
        <is>
          <t>C14 · Démarrer votre communication</t>
        </is>
      </c>
      <c r="E25" s="68" t="inlineStr">
        <is>
          <t>Heures par semaine que vous pouvez consacrer à la communication</t>
        </is>
      </c>
      <c r="F25" s="68" t="inlineStr">
        <is>
          <t>Heures</t>
        </is>
      </c>
      <c r="G25" s="67" t="inlineStr">
        <is>
          <t>Demandée</t>
        </is>
      </c>
      <c r="H25" s="67" t="inlineStr">
        <is>
          <t>Essentiel</t>
        </is>
      </c>
      <c r="I25" s="99" t="inlineStr">
        <is>
          <t>D21 · si vous ne publiez pas encore</t>
        </is>
      </c>
      <c r="J25" s="68" t="inlineStr">
        <is>
          <t>—</t>
        </is>
      </c>
      <c r="K25" s="67" t="inlineStr">
        <is>
          <t>●</t>
        </is>
      </c>
      <c r="L25" s="67" t="inlineStr">
        <is>
          <t>●</t>
        </is>
      </c>
      <c r="M25" s="67" t="inlineStr">
        <is>
          <t>●</t>
        </is>
      </c>
      <c r="N25" s="67" t="inlineStr">
        <is>
          <t>●</t>
        </is>
      </c>
      <c r="O25" s="67" t="inlineStr">
        <is>
          <t>●</t>
        </is>
      </c>
      <c r="P25" s="67" t="inlineStr">
        <is>
          <t>●</t>
        </is>
      </c>
      <c r="Q25" s="67" t="inlineStr">
        <is>
          <t>●</t>
        </is>
      </c>
      <c r="R25" s="67" t="inlineStr">
        <is>
          <t>●</t>
        </is>
      </c>
      <c r="S25" s="68" t="inlineStr">
        <is>
          <t>Capacité</t>
        </is>
      </c>
      <c r="T25" s="68" t="inlineStr">
        <is>
          <t>—</t>
        </is>
      </c>
      <c r="U25" s="68" t="inlineStr">
        <is>
          <t>—</t>
        </is>
      </c>
      <c r="V25" s="68" t="inlineStr">
        <is>
          <t>XC33</t>
        </is>
      </c>
      <c r="W25" s="83" t="n"/>
    </row>
    <row r="26" ht="46.25" customHeight="1" s="53">
      <c r="A26" s="81" t="inlineStr">
        <is>
          <t>COM-10.05</t>
        </is>
      </c>
      <c r="B26" s="67" t="inlineStr">
        <is>
          <t>COM-10</t>
        </is>
      </c>
      <c r="C26" s="95">
        <f>IFERROR(INDEX(Thèmes!$D$2:$D$190,MATCH(B26,Thèmes!$A$2:$A$190,0)),"")</f>
        <v/>
      </c>
      <c r="D26" s="68" t="inlineStr">
        <is>
          <t>C14 · Démarrer votre communication</t>
        </is>
      </c>
      <c r="E26" s="68" t="inlineStr">
        <is>
          <t>Contacts que vous pouvez solliciter dès le départ : clients, fournisseurs, partenaires, proches</t>
        </is>
      </c>
      <c r="F26" s="68" t="inlineStr">
        <is>
          <t>Tranches : moins de 50 · 50-200 · 200-500 · plus de 500 · je ne sais pas</t>
        </is>
      </c>
      <c r="G26" s="67" t="inlineStr">
        <is>
          <t>Demandée</t>
        </is>
      </c>
      <c r="H26" s="67" t="inlineStr">
        <is>
          <t>Essentiel</t>
        </is>
      </c>
      <c r="I26" s="99" t="inlineStr">
        <is>
          <t>D21 · si vous ne publiez pas encore</t>
        </is>
      </c>
      <c r="J26" s="68" t="inlineStr">
        <is>
          <t>—</t>
        </is>
      </c>
      <c r="K26" s="67" t="inlineStr">
        <is>
          <t>●</t>
        </is>
      </c>
      <c r="L26" s="67" t="inlineStr">
        <is>
          <t>●</t>
        </is>
      </c>
      <c r="M26" s="67" t="inlineStr">
        <is>
          <t>●</t>
        </is>
      </c>
      <c r="N26" s="67" t="inlineStr">
        <is>
          <t>●</t>
        </is>
      </c>
      <c r="O26" s="67" t="inlineStr">
        <is>
          <t>●</t>
        </is>
      </c>
      <c r="P26" s="67" t="inlineStr">
        <is>
          <t>●</t>
        </is>
      </c>
      <c r="Q26" s="67" t="inlineStr">
        <is>
          <t>●</t>
        </is>
      </c>
      <c r="R26" s="67" t="inlineStr">
        <is>
          <t>●</t>
        </is>
      </c>
      <c r="S26" s="68" t="inlineStr">
        <is>
          <t>Opportunité</t>
        </is>
      </c>
      <c r="T26" s="68" t="inlineStr">
        <is>
          <t>—</t>
        </is>
      </c>
      <c r="U26" s="68" t="inlineStr">
        <is>
          <t>—</t>
        </is>
      </c>
      <c r="V26" s="68" t="inlineStr">
        <is>
          <t>XC33</t>
        </is>
      </c>
      <c r="W26" s="83" t="n"/>
    </row>
    <row r="27" ht="23.85" customHeight="1" s="53">
      <c r="A27" s="81" t="inlineStr">
        <is>
          <t>COM-10.06</t>
        </is>
      </c>
      <c r="B27" s="67" t="inlineStr">
        <is>
          <t>COM-10</t>
        </is>
      </c>
      <c r="C27" s="95">
        <f>IFERROR(INDEX(Thèmes!$D$2:$D$190,MATCH(B27,Thèmes!$A$2:$A$190,0)),"")</f>
        <v/>
      </c>
      <c r="D27" s="68" t="inlineStr">
        <is>
          <t>—</t>
        </is>
      </c>
      <c r="E27" s="68" t="inlineStr">
        <is>
          <t>Réseaux ouverts et réseaux réellement tenus</t>
        </is>
      </c>
      <c r="F27" s="68" t="inlineStr">
        <is>
          <t>Nombre</t>
        </is>
      </c>
      <c r="G27" s="96" t="inlineStr">
        <is>
          <t>Calculée</t>
        </is>
      </c>
      <c r="H27" s="67" t="inlineStr">
        <is>
          <t>—</t>
        </is>
      </c>
      <c r="I27" s="68" t="inlineStr">
        <is>
          <t>—</t>
        </is>
      </c>
      <c r="J27" s="68" t="inlineStr">
        <is>
          <t>—</t>
        </is>
      </c>
      <c r="K27" s="67" t="inlineStr">
        <is>
          <t>●</t>
        </is>
      </c>
      <c r="L27" s="67" t="inlineStr">
        <is>
          <t>●</t>
        </is>
      </c>
      <c r="M27" s="67" t="inlineStr">
        <is>
          <t>●</t>
        </is>
      </c>
      <c r="N27" s="67" t="inlineStr">
        <is>
          <t>●</t>
        </is>
      </c>
      <c r="O27" s="67" t="inlineStr">
        <is>
          <t>●</t>
        </is>
      </c>
      <c r="P27" s="67" t="inlineStr">
        <is>
          <t>●</t>
        </is>
      </c>
      <c r="Q27" s="67" t="inlineStr">
        <is>
          <t>●</t>
        </is>
      </c>
      <c r="R27" s="67" t="inlineStr">
        <is>
          <t>●</t>
        </is>
      </c>
      <c r="S27" s="68" t="inlineStr">
        <is>
          <t>Problème</t>
        </is>
      </c>
      <c r="T27" s="68" t="inlineStr">
        <is>
          <t>Tenu = au moins 2 publications par mois et dernière publication de moins de 30 jours</t>
        </is>
      </c>
      <c r="U27" s="68" t="inlineStr">
        <is>
          <t>COM-10.01</t>
        </is>
      </c>
      <c r="V27" s="68" t="inlineStr">
        <is>
          <t>XC26</t>
        </is>
      </c>
      <c r="W27" s="83" t="n"/>
    </row>
    <row r="28" ht="35.05" customHeight="1" s="53">
      <c r="A28" s="92" t="inlineStr">
        <is>
          <t>COM-10.07</t>
        </is>
      </c>
      <c r="B28" s="67" t="inlineStr">
        <is>
          <t>COM-10</t>
        </is>
      </c>
      <c r="C28" s="95">
        <f>IFERROR(INDEX(Thèmes!$D$2:$D$190,MATCH(B28,Thèmes!$A$2:$A$190,0)),"")</f>
        <v/>
      </c>
      <c r="D28" s="68" t="inlineStr">
        <is>
          <t>—</t>
        </is>
      </c>
      <c r="E28" s="68" t="inlineStr">
        <is>
          <t>Publication régulière — déclencheur D21 : « au moins une fois par mois » → parcours amélioration ; sinon parcours mise en place (et brief de création, D30)</t>
        </is>
      </c>
      <c r="F28" s="68" t="inlineStr">
        <is>
          <t>Choix</t>
        </is>
      </c>
      <c r="G28" s="67" t="inlineStr">
        <is>
          <t>Demandée</t>
        </is>
      </c>
      <c r="H28" s="67" t="inlineStr">
        <is>
          <t>Essentiel</t>
        </is>
      </c>
      <c r="I28" s="68" t="inlineStr">
        <is>
          <t>—</t>
        </is>
      </c>
      <c r="J28" s="68" t="inlineStr">
        <is>
          <t>—</t>
        </is>
      </c>
      <c r="K28" s="67" t="inlineStr">
        <is>
          <t>●</t>
        </is>
      </c>
      <c r="L28" s="67" t="inlineStr">
        <is>
          <t>●</t>
        </is>
      </c>
      <c r="M28" s="67" t="inlineStr">
        <is>
          <t>●</t>
        </is>
      </c>
      <c r="N28" s="67" t="inlineStr">
        <is>
          <t>●</t>
        </is>
      </c>
      <c r="O28" s="67" t="inlineStr">
        <is>
          <t>●</t>
        </is>
      </c>
      <c r="P28" s="67" t="inlineStr">
        <is>
          <t>●</t>
        </is>
      </c>
      <c r="Q28" s="67" t="inlineStr">
        <is>
          <t>●</t>
        </is>
      </c>
      <c r="R28" s="67" t="inlineStr">
        <is>
          <t>●</t>
        </is>
      </c>
      <c r="S28" s="68" t="inlineStr">
        <is>
          <t>—</t>
        </is>
      </c>
      <c r="T28" s="68" t="inlineStr">
        <is>
          <t>—</t>
        </is>
      </c>
      <c r="U28" s="68" t="inlineStr">
        <is>
          <t>—</t>
        </is>
      </c>
      <c r="V28" s="68" t="inlineStr">
        <is>
          <t>—</t>
        </is>
      </c>
      <c r="W28" s="83" t="inlineStr">
        <is>
          <t>Nouveau</t>
        </is>
      </c>
    </row>
    <row r="29" ht="23.85" customHeight="1" s="53">
      <c r="A29" s="92" t="inlineStr">
        <is>
          <t>COM-10.08</t>
        </is>
      </c>
      <c r="B29" s="67" t="inlineStr">
        <is>
          <t>COM-10</t>
        </is>
      </c>
      <c r="C29" s="95">
        <f>IFERROR(INDEX(Thèmes!$D$2:$D$190,MATCH(B29,Thèmes!$A$2:$A$190,0)),"")</f>
        <v/>
      </c>
      <c r="D29" s="68" t="inlineStr">
        <is>
          <t>—</t>
        </is>
      </c>
      <c r="E29" s="68" t="inlineStr">
        <is>
          <t>Réseaux réellement utilisés — déclencheur D22 (lignes des tableaux « cadrage: D22 »)</t>
        </is>
      </c>
      <c r="F29" s="68" t="inlineStr">
        <is>
          <t>Cases à cocher</t>
        </is>
      </c>
      <c r="G29" s="67" t="inlineStr">
        <is>
          <t>Demandée</t>
        </is>
      </c>
      <c r="H29" s="67" t="inlineStr">
        <is>
          <t>Essentiel</t>
        </is>
      </c>
      <c r="I29" s="99" t="inlineStr">
        <is>
          <t>D21 · si vous publiez déjà</t>
        </is>
      </c>
      <c r="J29" s="68" t="inlineStr">
        <is>
          <t>—</t>
        </is>
      </c>
      <c r="K29" s="67" t="inlineStr">
        <is>
          <t>●</t>
        </is>
      </c>
      <c r="L29" s="67" t="inlineStr">
        <is>
          <t>●</t>
        </is>
      </c>
      <c r="M29" s="67" t="inlineStr">
        <is>
          <t>●</t>
        </is>
      </c>
      <c r="N29" s="67" t="inlineStr">
        <is>
          <t>●</t>
        </is>
      </c>
      <c r="O29" s="67" t="inlineStr">
        <is>
          <t>●</t>
        </is>
      </c>
      <c r="P29" s="67" t="inlineStr">
        <is>
          <t>●</t>
        </is>
      </c>
      <c r="Q29" s="67" t="inlineStr">
        <is>
          <t>●</t>
        </is>
      </c>
      <c r="R29" s="67" t="inlineStr">
        <is>
          <t>●</t>
        </is>
      </c>
      <c r="S29" s="68" t="inlineStr">
        <is>
          <t>—</t>
        </is>
      </c>
      <c r="T29" s="68" t="inlineStr">
        <is>
          <t>—</t>
        </is>
      </c>
      <c r="U29" s="68" t="inlineStr">
        <is>
          <t>—</t>
        </is>
      </c>
      <c r="V29" s="68" t="inlineStr">
        <is>
          <t>—</t>
        </is>
      </c>
      <c r="W29" s="83" t="inlineStr">
        <is>
          <t>Nouveau</t>
        </is>
      </c>
    </row>
    <row r="30" ht="35.05" customHeight="1" s="53">
      <c r="A30" s="85" t="inlineStr">
        <is>
          <t>COM-11.01</t>
        </is>
      </c>
      <c r="B30" s="89" t="inlineStr">
        <is>
          <t>COM-11</t>
        </is>
      </c>
      <c r="C30" s="97">
        <f>IFERROR(INDEX(Thèmes!$D$2:$D$190,MATCH(B30,Thèmes!$A$2:$A$190,0)),"")</f>
        <v/>
      </c>
      <c r="D30" s="86" t="inlineStr">
        <is>
          <t>—</t>
        </is>
      </c>
      <c r="E30" s="86" t="inlineStr">
        <is>
          <t>Réseaux utilisés comparés aux réseaux où se trouve la cible</t>
        </is>
      </c>
      <c r="F30" s="86" t="inlineStr">
        <is>
          <t>Liste</t>
        </is>
      </c>
      <c r="G30" s="102" t="inlineStr">
        <is>
          <t>Calculée</t>
        </is>
      </c>
      <c r="H30" s="89" t="inlineStr">
        <is>
          <t>—</t>
        </is>
      </c>
      <c r="I30" s="86" t="inlineStr">
        <is>
          <t>—</t>
        </is>
      </c>
      <c r="J30" s="86" t="inlineStr">
        <is>
          <t>—</t>
        </is>
      </c>
      <c r="K30" s="89" t="inlineStr">
        <is>
          <t>●</t>
        </is>
      </c>
      <c r="L30" s="89" t="inlineStr">
        <is>
          <t>●</t>
        </is>
      </c>
      <c r="M30" s="89" t="inlineStr">
        <is>
          <t>●</t>
        </is>
      </c>
      <c r="N30" s="89" t="inlineStr">
        <is>
          <t>●</t>
        </is>
      </c>
      <c r="O30" s="89" t="inlineStr">
        <is>
          <t>●</t>
        </is>
      </c>
      <c r="P30" s="89" t="inlineStr">
        <is>
          <t>●</t>
        </is>
      </c>
      <c r="Q30" s="89" t="inlineStr">
        <is>
          <t>●</t>
        </is>
      </c>
      <c r="R30" s="89" t="inlineStr">
        <is>
          <t>●</t>
        </is>
      </c>
      <c r="S30" s="86" t="inlineStr">
        <is>
          <t>Cible</t>
        </is>
      </c>
      <c r="T30" s="86" t="inlineStr">
        <is>
          <t>Réseaux utilisés face au type de client visé ; règle par type (particuliers locaux, professionnels, jeunes, etc.)</t>
        </is>
      </c>
      <c r="U30" s="86" t="inlineStr">
        <is>
          <t>COM-10.01, COM-02.01</t>
        </is>
      </c>
      <c r="V30" s="86" t="inlineStr">
        <is>
          <t>XC26, DC03</t>
        </is>
      </c>
      <c r="W30" s="91" t="n"/>
    </row>
    <row r="31" ht="46.25" customHeight="1" s="53">
      <c r="A31" s="98" t="inlineStr">
        <is>
          <t>COM-12.01</t>
        </is>
      </c>
      <c r="B31" s="89" t="inlineStr">
        <is>
          <t>COM-12</t>
        </is>
      </c>
      <c r="C31" s="97">
        <f>IFERROR(INDEX(Thèmes!$D$2:$D$190,MATCH(B31,Thèmes!$A$2:$A$190,0)),"")</f>
        <v/>
      </c>
      <c r="D31" s="86" t="inlineStr">
        <is>
          <t>A04 · Vos canaux (tableau)</t>
        </is>
      </c>
      <c r="E31" s="86" t="inlineStr">
        <is>
          <t>Part des demandes, des nouveaux clients et du CA par canal — partagée avec ACQ-03.02, ACQ-03.03 et ACQ-03.04 : posée ici seulement si l'agent Acquisition ne l'a pas fait</t>
        </is>
      </c>
      <c r="F31" s="86" t="inlineStr">
        <is>
          <t>Tableau par canal</t>
        </is>
      </c>
      <c r="G31" s="88" t="inlineStr">
        <is>
          <t>Partagée</t>
        </is>
      </c>
      <c r="H31" s="89" t="inlineStr">
        <is>
          <t>Essentiel</t>
        </is>
      </c>
      <c r="I31" s="86" t="inlineStr">
        <is>
          <t>—</t>
        </is>
      </c>
      <c r="J31" s="86" t="inlineStr">
        <is>
          <t>—</t>
        </is>
      </c>
      <c r="K31" s="89" t="inlineStr">
        <is>
          <t>●</t>
        </is>
      </c>
      <c r="L31" s="89" t="inlineStr">
        <is>
          <t>●</t>
        </is>
      </c>
      <c r="M31" s="89" t="inlineStr">
        <is>
          <t>●</t>
        </is>
      </c>
      <c r="N31" s="89" t="inlineStr">
        <is>
          <t>●</t>
        </is>
      </c>
      <c r="O31" s="89" t="inlineStr">
        <is>
          <t>●</t>
        </is>
      </c>
      <c r="P31" s="89" t="inlineStr">
        <is>
          <t>●</t>
        </is>
      </c>
      <c r="Q31" s="89" t="inlineStr">
        <is>
          <t>●</t>
        </is>
      </c>
      <c r="R31" s="89" t="inlineStr">
        <is>
          <t>●</t>
        </is>
      </c>
      <c r="S31" s="86" t="inlineStr">
        <is>
          <t>Parcours</t>
        </is>
      </c>
      <c r="T31" s="86" t="inlineStr">
        <is>
          <t>Posée une seule fois, par le premier agent souscrit qui en a besoin (ACQ-03.02, ACQ-03.03, ACQ-03.04), sinon ici</t>
        </is>
      </c>
      <c r="U31" s="86" t="inlineStr">
        <is>
          <t>ACQ-03.02, ACQ-03.03, ACQ-03.04</t>
        </is>
      </c>
      <c r="V31" s="86" t="inlineStr">
        <is>
          <t>COM-12.02, COM-19.03, COM-22.02, COM-22.03</t>
        </is>
      </c>
      <c r="W31" s="91" t="inlineStr">
        <is>
          <t>Libellé (« Donnée »)</t>
        </is>
      </c>
    </row>
    <row r="32" ht="35.05" customHeight="1" s="53">
      <c r="A32" s="81" t="inlineStr">
        <is>
          <t>COM-12.02</t>
        </is>
      </c>
      <c r="B32" s="67" t="inlineStr">
        <is>
          <t>COM-12</t>
        </is>
      </c>
      <c r="C32" s="95">
        <f>IFERROR(INDEX(Thèmes!$D$2:$D$190,MATCH(B32,Thèmes!$A$2:$A$190,0)),"")</f>
        <v/>
      </c>
      <c r="D32" s="68" t="inlineStr">
        <is>
          <t>—</t>
        </is>
      </c>
      <c r="E32" s="68" t="inlineStr">
        <is>
          <t>Les quatre canaux d'acquisition utilisés</t>
        </is>
      </c>
      <c r="F32" s="68" t="inlineStr">
        <is>
          <t>Liste</t>
        </is>
      </c>
      <c r="G32" s="96" t="inlineStr">
        <is>
          <t>Calculée</t>
        </is>
      </c>
      <c r="H32" s="67" t="inlineStr">
        <is>
          <t>—</t>
        </is>
      </c>
      <c r="I32" s="68" t="inlineStr">
        <is>
          <t>—</t>
        </is>
      </c>
      <c r="J32" s="68" t="inlineStr">
        <is>
          <t>—</t>
        </is>
      </c>
      <c r="K32" s="67" t="inlineStr">
        <is>
          <t>●</t>
        </is>
      </c>
      <c r="L32" s="67" t="inlineStr">
        <is>
          <t>●</t>
        </is>
      </c>
      <c r="M32" s="67" t="inlineStr">
        <is>
          <t>●</t>
        </is>
      </c>
      <c r="N32" s="67" t="inlineStr">
        <is>
          <t>●</t>
        </is>
      </c>
      <c r="O32" s="67" t="inlineStr">
        <is>
          <t>●</t>
        </is>
      </c>
      <c r="P32" s="67" t="inlineStr">
        <is>
          <t>●</t>
        </is>
      </c>
      <c r="Q32" s="67" t="inlineStr">
        <is>
          <t>●</t>
        </is>
      </c>
      <c r="R32" s="67" t="inlineStr">
        <is>
          <t>●</t>
        </is>
      </c>
      <c r="S32" s="68" t="inlineStr">
        <is>
          <t>Levier</t>
        </is>
      </c>
      <c r="T32" s="68" t="inlineStr">
        <is>
          <t>Contact direct connus, contact direct inconnus, contenu gratuit, publicité : repris du tableau des canaux</t>
        </is>
      </c>
      <c r="U32" s="68" t="inlineStr">
        <is>
          <t>ACQ-03.01, ACQ-03.02</t>
        </is>
      </c>
      <c r="V32" s="68" t="inlineStr">
        <is>
          <t>Affichée dans le rapport</t>
        </is>
      </c>
      <c r="W32" s="83" t="n"/>
    </row>
    <row r="33" ht="23.85" customHeight="1" s="53">
      <c r="A33" s="85" t="inlineStr">
        <is>
          <t>COM-13.01</t>
        </is>
      </c>
      <c r="B33" s="89" t="inlineStr">
        <is>
          <t>COM-13</t>
        </is>
      </c>
      <c r="C33" s="97">
        <f>IFERROR(INDEX(Thèmes!$D$2:$D$190,MATCH(B33,Thèmes!$A$2:$A$190,0)),"")</f>
        <v/>
      </c>
      <c r="D33" s="86" t="inlineStr">
        <is>
          <t>A07 · Votre présence en ligne</t>
        </is>
      </c>
      <c r="E33" s="86" t="inlineStr">
        <is>
          <t>Visites du site par mois (e-commerce : visiteurs de la boutique, déjà demandés par l'agent Acquisition)</t>
        </is>
      </c>
      <c r="F33" s="86" t="inlineStr">
        <is>
          <t>Nombre</t>
        </is>
      </c>
      <c r="G33" s="88" t="inlineStr">
        <is>
          <t>Partagée</t>
        </is>
      </c>
      <c r="H33" s="89" t="inlineStr">
        <is>
          <t>Essentiel</t>
        </is>
      </c>
      <c r="I33" s="100" t="inlineStr">
        <is>
          <t>D23 · si site</t>
        </is>
      </c>
      <c r="J33" s="86" t="inlineStr">
        <is>
          <t>—</t>
        </is>
      </c>
      <c r="K33" s="89" t="inlineStr">
        <is>
          <t>●</t>
        </is>
      </c>
      <c r="L33" s="89" t="inlineStr">
        <is>
          <t>●</t>
        </is>
      </c>
      <c r="M33" s="89" t="inlineStr">
        <is>
          <t>●</t>
        </is>
      </c>
      <c r="N33" s="89" t="inlineStr">
        <is>
          <t>●</t>
        </is>
      </c>
      <c r="O33" s="89" t="inlineStr">
        <is>
          <t>●</t>
        </is>
      </c>
      <c r="P33" s="89" t="inlineStr">
        <is>
          <t>●</t>
        </is>
      </c>
      <c r="Q33" s="89" t="inlineStr">
        <is>
          <t>●</t>
        </is>
      </c>
      <c r="R33" s="89" t="inlineStr">
        <is>
          <t>●</t>
        </is>
      </c>
      <c r="S33" s="86" t="inlineStr">
        <is>
          <t>Parcours</t>
        </is>
      </c>
      <c r="T33" s="86" t="inlineStr">
        <is>
          <t>Posée une seule fois, par le premier agent souscrit qui en a besoin (ACQ-06.07, ACQ-02.01), sinon ici</t>
        </is>
      </c>
      <c r="U33" s="86" t="inlineStr">
        <is>
          <t>ACQ-06.07, ACQ-02.01</t>
        </is>
      </c>
      <c r="V33" s="86" t="inlineStr">
        <is>
          <t>COM-13.07, COM-13.08, COM-13.09</t>
        </is>
      </c>
      <c r="W33" s="91" t="n"/>
    </row>
    <row r="34" ht="23.85" customHeight="1" s="53">
      <c r="A34" s="81" t="inlineStr">
        <is>
          <t>COM-13.02</t>
        </is>
      </c>
      <c r="B34" s="67" t="inlineStr">
        <is>
          <t>COM-13</t>
        </is>
      </c>
      <c r="C34" s="95">
        <f>IFERROR(INDEX(Thèmes!$D$2:$D$190,MATCH(B34,Thèmes!$A$2:$A$190,0)),"")</f>
        <v/>
      </c>
      <c r="D34" s="68" t="inlineStr">
        <is>
          <t>C04 · Votre site</t>
        </is>
      </c>
      <c r="E34" s="68" t="inlineStr">
        <is>
          <t>Outil de mesure des visites : Google Analytics, outil du créateur de site, aucun</t>
        </is>
      </c>
      <c r="F34" s="68" t="inlineStr">
        <is>
          <t>Choix</t>
        </is>
      </c>
      <c r="G34" s="67" t="inlineStr">
        <is>
          <t>Demandée</t>
        </is>
      </c>
      <c r="H34" s="67" t="inlineStr">
        <is>
          <t>Essentiel</t>
        </is>
      </c>
      <c r="I34" s="99" t="inlineStr">
        <is>
          <t>D23 · si site</t>
        </is>
      </c>
      <c r="J34" s="68" t="inlineStr">
        <is>
          <t>—</t>
        </is>
      </c>
      <c r="K34" s="67" t="inlineStr">
        <is>
          <t>●</t>
        </is>
      </c>
      <c r="L34" s="67" t="inlineStr">
        <is>
          <t>●</t>
        </is>
      </c>
      <c r="M34" s="67" t="inlineStr">
        <is>
          <t>●</t>
        </is>
      </c>
      <c r="N34" s="67" t="inlineStr">
        <is>
          <t>●</t>
        </is>
      </c>
      <c r="O34" s="67" t="inlineStr">
        <is>
          <t>●</t>
        </is>
      </c>
      <c r="P34" s="67" t="inlineStr">
        <is>
          <t>●</t>
        </is>
      </c>
      <c r="Q34" s="67" t="inlineStr">
        <is>
          <t>●</t>
        </is>
      </c>
      <c r="R34" s="67" t="inlineStr">
        <is>
          <t>●</t>
        </is>
      </c>
      <c r="S34" s="68" t="inlineStr">
        <is>
          <t>Mesure</t>
        </is>
      </c>
      <c r="T34" s="68" t="inlineStr">
        <is>
          <t>—</t>
        </is>
      </c>
      <c r="U34" s="68" t="inlineStr">
        <is>
          <t>—</t>
        </is>
      </c>
      <c r="V34" s="68" t="inlineStr">
        <is>
          <t>Notée directement (couleur du thème)</t>
        </is>
      </c>
      <c r="W34" s="83" t="n"/>
    </row>
    <row r="35" ht="46.25" customHeight="1" s="53">
      <c r="A35" s="81" t="inlineStr">
        <is>
          <t>COM-13.03</t>
        </is>
      </c>
      <c r="B35" s="67" t="inlineStr">
        <is>
          <t>COM-13</t>
        </is>
      </c>
      <c r="C35" s="95">
        <f>IFERROR(INDEX(Thèmes!$D$2:$D$190,MATCH(B35,Thèmes!$A$2:$A$190,0)),"")</f>
        <v/>
      </c>
      <c r="D35" s="68" t="inlineStr">
        <is>
          <t>C04 · Votre site</t>
        </is>
      </c>
      <c r="E35" s="68" t="inlineStr">
        <is>
          <t>Demandes reçues via le site par mois, par type : formulaire, appel, prise de rendez-vous, demande de devis, téléchargement, inscription, achat (le total remplit la ligne « site » du tableau des canaux)</t>
        </is>
      </c>
      <c r="F35" s="68" t="inlineStr">
        <is>
          <t>Tableau par type</t>
        </is>
      </c>
      <c r="G35" s="67" t="inlineStr">
        <is>
          <t>Demandée</t>
        </is>
      </c>
      <c r="H35" s="67" t="inlineStr">
        <is>
          <t>Essentiel</t>
        </is>
      </c>
      <c r="I35" s="99" t="inlineStr">
        <is>
          <t>D23 · si site</t>
        </is>
      </c>
      <c r="J35" s="68" t="inlineStr">
        <is>
          <t>—</t>
        </is>
      </c>
      <c r="K35" s="67" t="inlineStr">
        <is>
          <t>●</t>
        </is>
      </c>
      <c r="L35" s="67" t="inlineStr">
        <is>
          <t>●</t>
        </is>
      </c>
      <c r="M35" s="67" t="inlineStr">
        <is>
          <t>●</t>
        </is>
      </c>
      <c r="N35" s="67" t="inlineStr">
        <is>
          <t>●</t>
        </is>
      </c>
      <c r="O35" s="67" t="inlineStr">
        <is>
          <t>●</t>
        </is>
      </c>
      <c r="P35" s="67" t="inlineStr">
        <is>
          <t>●</t>
        </is>
      </c>
      <c r="Q35" s="67" t="inlineStr">
        <is>
          <t>●</t>
        </is>
      </c>
      <c r="R35" s="67" t="inlineStr">
        <is>
          <t>●</t>
        </is>
      </c>
      <c r="S35" s="68" t="inlineStr">
        <is>
          <t>Parcours</t>
        </is>
      </c>
      <c r="T35" s="68" t="inlineStr">
        <is>
          <t>—</t>
        </is>
      </c>
      <c r="U35" s="68" t="inlineStr">
        <is>
          <t>—</t>
        </is>
      </c>
      <c r="V35" s="68" t="inlineStr">
        <is>
          <t>COM-22.02</t>
        </is>
      </c>
      <c r="W35" s="83" t="n"/>
    </row>
    <row r="36" ht="68.65000000000001" customHeight="1" s="53">
      <c r="A36" s="94" t="inlineStr">
        <is>
          <t>COM-13.04</t>
        </is>
      </c>
      <c r="B36" s="67" t="inlineStr">
        <is>
          <t>COM-13</t>
        </is>
      </c>
      <c r="C36" s="95">
        <f>IFERROR(INDEX(Thèmes!$D$2:$D$190,MATCH(B36,Thèmes!$A$2:$A$190,0)),"")</f>
        <v/>
      </c>
      <c r="D36" s="68" t="inlineStr">
        <is>
          <t>C04 · Votre site</t>
        </is>
      </c>
      <c r="E36" s="68" t="inlineStr">
        <is>
          <t>Sources des visites : recherche Google, réseaux sociaux, publicité, accès direct, sites partenaires</t>
        </is>
      </c>
      <c r="F36" s="68" t="inlineStr">
        <is>
          <t>Tableau : Part des visites (lignes fixe: Recherche Google / Réseaux sociaux / Publicité / Accès direct / Autres sites)</t>
        </is>
      </c>
      <c r="G36" s="67" t="inlineStr">
        <is>
          <t>Demandée</t>
        </is>
      </c>
      <c r="H36" s="67" t="inlineStr">
        <is>
          <t>Approfondi</t>
        </is>
      </c>
      <c r="I36" s="99" t="inlineStr">
        <is>
          <t>D23 · si outil de mesure du site</t>
        </is>
      </c>
      <c r="J36" s="68" t="inlineStr">
        <is>
          <t>—</t>
        </is>
      </c>
      <c r="K36" s="67" t="inlineStr">
        <is>
          <t>●</t>
        </is>
      </c>
      <c r="L36" s="67" t="inlineStr">
        <is>
          <t>●</t>
        </is>
      </c>
      <c r="M36" s="67" t="inlineStr">
        <is>
          <t>●</t>
        </is>
      </c>
      <c r="N36" s="67" t="inlineStr">
        <is>
          <t>●</t>
        </is>
      </c>
      <c r="O36" s="67" t="inlineStr">
        <is>
          <t>●</t>
        </is>
      </c>
      <c r="P36" s="67" t="inlineStr">
        <is>
          <t>●</t>
        </is>
      </c>
      <c r="Q36" s="67" t="inlineStr">
        <is>
          <t>●</t>
        </is>
      </c>
      <c r="R36" s="67" t="inlineStr">
        <is>
          <t>●</t>
        </is>
      </c>
      <c r="S36" s="68" t="inlineStr">
        <is>
          <t>Levier</t>
        </is>
      </c>
      <c r="T36" s="68" t="inlineStr">
        <is>
          <t>Saisie par le dirigeant tant qu'aucune connexion n'existe. Quand la connexion existera : Lu dans l'outil de mesure s'il est connecté</t>
        </is>
      </c>
      <c r="U36" s="68" t="inlineStr">
        <is>
          <t>—</t>
        </is>
      </c>
      <c r="V36" s="68" t="inlineStr">
        <is>
          <t>Lue par l'IA pour adapter le conseil</t>
        </is>
      </c>
      <c r="W36" s="83" t="inlineStr">
        <is>
          <t>Mode : Importée → Demandée (le dirigeant la saisit) · Format de réponse</t>
        </is>
      </c>
    </row>
    <row r="37" ht="35.05" customHeight="1" s="53">
      <c r="A37" s="94" t="inlineStr">
        <is>
          <t>COM-13.05</t>
        </is>
      </c>
      <c r="B37" s="67" t="inlineStr">
        <is>
          <t>COM-13</t>
        </is>
      </c>
      <c r="C37" s="95">
        <f>IFERROR(INDEX(Thèmes!$D$2:$D$190,MATCH(B37,Thèmes!$A$2:$A$190,0)),"")</f>
        <v/>
      </c>
      <c r="D37" s="68" t="inlineStr">
        <is>
          <t>C04 · Votre site</t>
        </is>
      </c>
      <c r="E37" s="68" t="inlineStr">
        <is>
          <t>Pages les plus visitées et pages d'entrée</t>
        </is>
      </c>
      <c r="F37" s="68" t="inlineStr">
        <is>
          <t>Liste</t>
        </is>
      </c>
      <c r="G37" s="67" t="inlineStr">
        <is>
          <t>Demandée</t>
        </is>
      </c>
      <c r="H37" s="67" t="inlineStr">
        <is>
          <t>Approfondi</t>
        </is>
      </c>
      <c r="I37" s="99" t="inlineStr">
        <is>
          <t>D23 · si outil de mesure du site</t>
        </is>
      </c>
      <c r="J37" s="68" t="inlineStr">
        <is>
          <t>—</t>
        </is>
      </c>
      <c r="K37" s="67" t="inlineStr">
        <is>
          <t>●</t>
        </is>
      </c>
      <c r="L37" s="67" t="inlineStr">
        <is>
          <t>●</t>
        </is>
      </c>
      <c r="M37" s="67" t="inlineStr">
        <is>
          <t>●</t>
        </is>
      </c>
      <c r="N37" s="67" t="inlineStr">
        <is>
          <t>●</t>
        </is>
      </c>
      <c r="O37" s="67" t="inlineStr">
        <is>
          <t>●</t>
        </is>
      </c>
      <c r="P37" s="67" t="inlineStr">
        <is>
          <t>●</t>
        </is>
      </c>
      <c r="Q37" s="67" t="inlineStr">
        <is>
          <t>●</t>
        </is>
      </c>
      <c r="R37" s="67" t="inlineStr">
        <is>
          <t>●</t>
        </is>
      </c>
      <c r="S37" s="68" t="inlineStr">
        <is>
          <t>Levier</t>
        </is>
      </c>
      <c r="T37" s="68" t="inlineStr">
        <is>
          <t>Saisie par le dirigeant tant qu'aucune connexion n'existe. Quand la connexion existera : Lu dans l'outil de mesure</t>
        </is>
      </c>
      <c r="U37" s="68" t="inlineStr">
        <is>
          <t>—</t>
        </is>
      </c>
      <c r="V37" s="68" t="inlineStr">
        <is>
          <t>Lue par l'IA pour adapter le conseil</t>
        </is>
      </c>
      <c r="W37" s="83" t="inlineStr">
        <is>
          <t>Mode : Importée → Demandée (le dirigeant la saisit)</t>
        </is>
      </c>
    </row>
    <row r="38" ht="35.05" customHeight="1" s="53">
      <c r="A38" s="94" t="inlineStr">
        <is>
          <t>COM-13.06</t>
        </is>
      </c>
      <c r="B38" s="67" t="inlineStr">
        <is>
          <t>COM-13</t>
        </is>
      </c>
      <c r="C38" s="95">
        <f>IFERROR(INDEX(Thèmes!$D$2:$D$190,MATCH(B38,Thèmes!$A$2:$A$190,0)),"")</f>
        <v/>
      </c>
      <c r="D38" s="68" t="inlineStr">
        <is>
          <t>C04 · Votre site</t>
        </is>
      </c>
      <c r="E38" s="68" t="inlineStr">
        <is>
          <t>Visites par mois il y a 6 mois</t>
        </is>
      </c>
      <c r="F38" s="68" t="inlineStr">
        <is>
          <t>Nombre</t>
        </is>
      </c>
      <c r="G38" s="67" t="inlineStr">
        <is>
          <t>Demandée</t>
        </is>
      </c>
      <c r="H38" s="67" t="inlineStr">
        <is>
          <t>Approfondi</t>
        </is>
      </c>
      <c r="I38" s="99" t="inlineStr">
        <is>
          <t>D23 · si outil de mesure du site</t>
        </is>
      </c>
      <c r="J38" s="68" t="inlineStr">
        <is>
          <t>3 mois, 6 mois plus tôt (masquée avant 9 mois d'existence)</t>
        </is>
      </c>
      <c r="K38" s="67" t="inlineStr">
        <is>
          <t>●</t>
        </is>
      </c>
      <c r="L38" s="67" t="inlineStr">
        <is>
          <t>●</t>
        </is>
      </c>
      <c r="M38" s="67" t="inlineStr">
        <is>
          <t>●</t>
        </is>
      </c>
      <c r="N38" s="67" t="inlineStr">
        <is>
          <t>●</t>
        </is>
      </c>
      <c r="O38" s="67" t="inlineStr">
        <is>
          <t>●</t>
        </is>
      </c>
      <c r="P38" s="67" t="inlineStr">
        <is>
          <t>●</t>
        </is>
      </c>
      <c r="Q38" s="67" t="inlineStr">
        <is>
          <t>●</t>
        </is>
      </c>
      <c r="R38" s="67" t="inlineStr">
        <is>
          <t>●</t>
        </is>
      </c>
      <c r="S38" s="68" t="inlineStr">
        <is>
          <t>Problème</t>
        </is>
      </c>
      <c r="T38" s="68" t="inlineStr">
        <is>
          <t>Saisie par le dirigeant tant qu'aucune connexion n'existe. Quand la connexion existera : Lu dans l'outil de mesure</t>
        </is>
      </c>
      <c r="U38" s="68" t="inlineStr">
        <is>
          <t>—</t>
        </is>
      </c>
      <c r="V38" s="68" t="inlineStr">
        <is>
          <t>COM-13.09</t>
        </is>
      </c>
      <c r="W38" s="83" t="inlineStr">
        <is>
          <t>Mode : Importée → Demandée (le dirigeant la saisit)</t>
        </is>
      </c>
    </row>
    <row r="39" ht="23.85" customHeight="1" s="53">
      <c r="A39" s="81" t="inlineStr">
        <is>
          <t>COM-13.07</t>
        </is>
      </c>
      <c r="B39" s="67" t="inlineStr">
        <is>
          <t>COM-13</t>
        </is>
      </c>
      <c r="C39" s="95">
        <f>IFERROR(INDEX(Thèmes!$D$2:$D$190,MATCH(B39,Thèmes!$A$2:$A$190,0)),"")</f>
        <v/>
      </c>
      <c r="D39" s="68" t="inlineStr">
        <is>
          <t>—</t>
        </is>
      </c>
      <c r="E39" s="68" t="inlineStr">
        <is>
          <t>CA que représente un point de transformation du site en plus</t>
        </is>
      </c>
      <c r="F39" s="68" t="inlineStr">
        <is>
          <t>€</t>
        </is>
      </c>
      <c r="G39" s="96" t="inlineStr">
        <is>
          <t>Calculée</t>
        </is>
      </c>
      <c r="H39" s="67" t="inlineStr">
        <is>
          <t>—</t>
        </is>
      </c>
      <c r="I39" s="68" t="inlineStr">
        <is>
          <t>—</t>
        </is>
      </c>
      <c r="J39" s="68" t="inlineStr">
        <is>
          <t>—</t>
        </is>
      </c>
      <c r="K39" s="67" t="inlineStr">
        <is>
          <t>●</t>
        </is>
      </c>
      <c r="L39" s="67" t="inlineStr">
        <is>
          <t>●</t>
        </is>
      </c>
      <c r="M39" s="67" t="inlineStr">
        <is>
          <t>●</t>
        </is>
      </c>
      <c r="N39" s="67" t="inlineStr">
        <is>
          <t>●</t>
        </is>
      </c>
      <c r="O39" s="67" t="inlineStr">
        <is>
          <t>●</t>
        </is>
      </c>
      <c r="P39" s="67" t="inlineStr">
        <is>
          <t>●</t>
        </is>
      </c>
      <c r="Q39" s="67" t="inlineStr">
        <is>
          <t>●</t>
        </is>
      </c>
      <c r="R39" s="67" t="n"/>
      <c r="S39" s="68" t="inlineStr">
        <is>
          <t>Potentiel CA</t>
        </is>
      </c>
      <c r="T39" s="68" t="inlineStr">
        <is>
          <t>Visites × 1 % × taux de transformation des demandes × panier moyen</t>
        </is>
      </c>
      <c r="U39" s="68" t="inlineStr">
        <is>
          <t>ACQ-06.07, ACQ-02.01, ACQ-11.19, ACQ-15.06</t>
        </is>
      </c>
      <c r="V39" s="68" t="inlineStr">
        <is>
          <t>XC08</t>
        </is>
      </c>
      <c r="W39" s="83" t="n"/>
    </row>
    <row r="40" ht="46.25" customHeight="1" s="53">
      <c r="A40" s="81" t="inlineStr">
        <is>
          <t>COM-13.08</t>
        </is>
      </c>
      <c r="B40" s="67" t="inlineStr">
        <is>
          <t>COM-13</t>
        </is>
      </c>
      <c r="C40" s="95">
        <f>IFERROR(INDEX(Thèmes!$D$2:$D$190,MATCH(B40,Thèmes!$A$2:$A$190,0)),"")</f>
        <v/>
      </c>
      <c r="D40" s="68" t="inlineStr">
        <is>
          <t>—</t>
        </is>
      </c>
      <c r="E40" s="68" t="inlineStr">
        <is>
          <t>Attirer plus ou convertir mieux ?</t>
        </is>
      </c>
      <c r="F40" s="68" t="inlineStr">
        <is>
          <t>Choix</t>
        </is>
      </c>
      <c r="G40" s="96" t="inlineStr">
        <is>
          <t>Calculée</t>
        </is>
      </c>
      <c r="H40" s="67" t="inlineStr">
        <is>
          <t>—</t>
        </is>
      </c>
      <c r="I40" s="68" t="inlineStr">
        <is>
          <t>—</t>
        </is>
      </c>
      <c r="J40" s="68" t="inlineStr">
        <is>
          <t>—</t>
        </is>
      </c>
      <c r="K40" s="67" t="inlineStr">
        <is>
          <t>●</t>
        </is>
      </c>
      <c r="L40" s="67" t="inlineStr">
        <is>
          <t>●</t>
        </is>
      </c>
      <c r="M40" s="67" t="inlineStr">
        <is>
          <t>●</t>
        </is>
      </c>
      <c r="N40" s="67" t="inlineStr">
        <is>
          <t>●</t>
        </is>
      </c>
      <c r="O40" s="67" t="inlineStr">
        <is>
          <t>●</t>
        </is>
      </c>
      <c r="P40" s="67" t="inlineStr">
        <is>
          <t>●</t>
        </is>
      </c>
      <c r="Q40" s="67" t="inlineStr">
        <is>
          <t>●</t>
        </is>
      </c>
      <c r="R40" s="67" t="n"/>
      <c r="S40" s="68" t="inlineStr">
        <is>
          <t>Levier</t>
        </is>
      </c>
      <c r="T40" s="68" t="inlineStr">
        <is>
          <t>Convertir d'abord si le taux de transformation du site (ACQ-06 ; e-commerce : ACQ-11) est bas pour un trafic suffisant ; attirer d'abord si le taux est bon mais le trafic faible (seuils à valider)</t>
        </is>
      </c>
      <c r="U40" s="68" t="inlineStr">
        <is>
          <t>ACQ-06.09, ACQ-11.28, ACQ-06.07, ACQ-02.01</t>
        </is>
      </c>
      <c r="V40" s="68" t="inlineStr">
        <is>
          <t>XC08, DC07</t>
        </is>
      </c>
      <c r="W40" s="83" t="n"/>
    </row>
    <row r="41" ht="23.85" customHeight="1" s="53">
      <c r="A41" s="81" t="inlineStr">
        <is>
          <t>COM-13.09</t>
        </is>
      </c>
      <c r="B41" s="67" t="inlineStr">
        <is>
          <t>COM-13</t>
        </is>
      </c>
      <c r="C41" s="95">
        <f>IFERROR(INDEX(Thèmes!$D$2:$D$190,MATCH(B41,Thèmes!$A$2:$A$190,0)),"")</f>
        <v/>
      </c>
      <c r="D41" s="68" t="inlineStr">
        <is>
          <t>—</t>
        </is>
      </c>
      <c r="E41" s="68" t="inlineStr">
        <is>
          <t>Évolution du trafic sur 6 mois</t>
        </is>
      </c>
      <c r="F41" s="68" t="inlineStr">
        <is>
          <t>%</t>
        </is>
      </c>
      <c r="G41" s="96" t="inlineStr">
        <is>
          <t>Calculée</t>
        </is>
      </c>
      <c r="H41" s="67" t="inlineStr">
        <is>
          <t>—</t>
        </is>
      </c>
      <c r="I41" s="68" t="inlineStr">
        <is>
          <t>—</t>
        </is>
      </c>
      <c r="J41" s="68" t="inlineStr">
        <is>
          <t>—</t>
        </is>
      </c>
      <c r="K41" s="67" t="inlineStr">
        <is>
          <t>●</t>
        </is>
      </c>
      <c r="L41" s="67" t="inlineStr">
        <is>
          <t>●</t>
        </is>
      </c>
      <c r="M41" s="67" t="inlineStr">
        <is>
          <t>●</t>
        </is>
      </c>
      <c r="N41" s="67" t="inlineStr">
        <is>
          <t>●</t>
        </is>
      </c>
      <c r="O41" s="67" t="inlineStr">
        <is>
          <t>●</t>
        </is>
      </c>
      <c r="P41" s="67" t="inlineStr">
        <is>
          <t>●</t>
        </is>
      </c>
      <c r="Q41" s="67" t="inlineStr">
        <is>
          <t>●</t>
        </is>
      </c>
      <c r="R41" s="67" t="inlineStr">
        <is>
          <t>●</t>
        </is>
      </c>
      <c r="S41" s="68" t="inlineStr">
        <is>
          <t>Problème</t>
        </is>
      </c>
      <c r="T41" s="68" t="inlineStr">
        <is>
          <t>(Visites actuelles − visites il y a 6 mois) ÷ visites il y a 6 mois</t>
        </is>
      </c>
      <c r="U41" s="68" t="inlineStr">
        <is>
          <t>ACQ-06.07, ACQ-02.01, COM-13.06</t>
        </is>
      </c>
      <c r="V41" s="68" t="inlineStr">
        <is>
          <t>Affichée dans le rapport</t>
        </is>
      </c>
      <c r="W41" s="83" t="n"/>
    </row>
    <row r="42" ht="23.85" customHeight="1" s="53">
      <c r="A42" s="92" t="inlineStr">
        <is>
          <t>COM-13.10</t>
        </is>
      </c>
      <c r="B42" s="67" t="inlineStr">
        <is>
          <t>COM-13</t>
        </is>
      </c>
      <c r="C42" s="95">
        <f>IFERROR(INDEX(Thèmes!$D$2:$D$190,MATCH(B42,Thèmes!$A$2:$A$190,0)),"")</f>
        <v/>
      </c>
      <c r="D42" s="68" t="inlineStr">
        <is>
          <t>—</t>
        </is>
      </c>
      <c r="E42" s="68" t="inlineStr">
        <is>
          <t>Site internet — déclencheur D23 (oui si « Site internet » est déjà coché en ACQ-03.01)</t>
        </is>
      </c>
      <c r="F42" s="68" t="inlineStr">
        <is>
          <t>Oui / non</t>
        </is>
      </c>
      <c r="G42" s="67" t="inlineStr">
        <is>
          <t>Demandée</t>
        </is>
      </c>
      <c r="H42" s="67" t="inlineStr">
        <is>
          <t>Essentiel</t>
        </is>
      </c>
      <c r="I42" s="68" t="inlineStr">
        <is>
          <t>D03 · si « Site internet » n'est pas coché</t>
        </is>
      </c>
      <c r="J42" s="68" t="inlineStr">
        <is>
          <t>—</t>
        </is>
      </c>
      <c r="K42" s="67" t="inlineStr">
        <is>
          <t>●</t>
        </is>
      </c>
      <c r="L42" s="67" t="inlineStr">
        <is>
          <t>●</t>
        </is>
      </c>
      <c r="M42" s="67" t="inlineStr">
        <is>
          <t>●</t>
        </is>
      </c>
      <c r="N42" s="67" t="inlineStr">
        <is>
          <t>●</t>
        </is>
      </c>
      <c r="O42" s="67" t="inlineStr">
        <is>
          <t>●</t>
        </is>
      </c>
      <c r="P42" s="67" t="inlineStr">
        <is>
          <t>●</t>
        </is>
      </c>
      <c r="Q42" s="67" t="inlineStr">
        <is>
          <t>●</t>
        </is>
      </c>
      <c r="R42" s="67" t="inlineStr">
        <is>
          <t>●</t>
        </is>
      </c>
      <c r="S42" s="68" t="inlineStr">
        <is>
          <t>—</t>
        </is>
      </c>
      <c r="T42" s="68" t="inlineStr">
        <is>
          <t>—</t>
        </is>
      </c>
      <c r="U42" s="68" t="inlineStr">
        <is>
          <t>—</t>
        </is>
      </c>
      <c r="V42" s="68" t="inlineStr">
        <is>
          <t>—</t>
        </is>
      </c>
      <c r="W42" s="83" t="inlineStr">
        <is>
          <t>Nouveau</t>
        </is>
      </c>
    </row>
    <row r="43" ht="35.05" customHeight="1" s="53">
      <c r="A43" s="92" t="inlineStr">
        <is>
          <t>COM-13.11</t>
        </is>
      </c>
      <c r="B43" s="67" t="inlineStr">
        <is>
          <t>COM-13</t>
        </is>
      </c>
      <c r="C43" s="95">
        <f>IFERROR(INDEX(Thèmes!$D$2:$D$190,MATCH(B43,Thèmes!$A$2:$A$190,0)),"")</f>
        <v/>
      </c>
      <c r="D43" s="68" t="inlineStr">
        <is>
          <t>C04 · Votre site</t>
        </is>
      </c>
      <c r="E43" s="68" t="inlineStr">
        <is>
          <t>Quelle est l'adresse de votre site ?</t>
        </is>
      </c>
      <c r="F43" s="68" t="inlineStr">
        <is>
          <t>Texte</t>
        </is>
      </c>
      <c r="G43" s="67" t="inlineStr">
        <is>
          <t>Demandée</t>
        </is>
      </c>
      <c r="H43" s="67" t="inlineStr">
        <is>
          <t>Essentiel</t>
        </is>
      </c>
      <c r="I43" s="68" t="inlineStr">
        <is>
          <t>D23 · si site</t>
        </is>
      </c>
      <c r="J43" s="68" t="inlineStr">
        <is>
          <t>—</t>
        </is>
      </c>
      <c r="K43" s="67" t="inlineStr">
        <is>
          <t>●</t>
        </is>
      </c>
      <c r="L43" s="67" t="inlineStr">
        <is>
          <t>●</t>
        </is>
      </c>
      <c r="M43" s="67" t="inlineStr">
        <is>
          <t>●</t>
        </is>
      </c>
      <c r="N43" s="67" t="inlineStr">
        <is>
          <t>●</t>
        </is>
      </c>
      <c r="O43" s="67" t="inlineStr">
        <is>
          <t>●</t>
        </is>
      </c>
      <c r="P43" s="67" t="inlineStr">
        <is>
          <t>●</t>
        </is>
      </c>
      <c r="Q43" s="67" t="inlineStr">
        <is>
          <t>●</t>
        </is>
      </c>
      <c r="R43" s="67" t="inlineStr">
        <is>
          <t>●</t>
        </is>
      </c>
      <c r="S43" s="68" t="inlineStr">
        <is>
          <t>—</t>
        </is>
      </c>
      <c r="T43" s="68" t="inlineStr">
        <is>
          <t>—</t>
        </is>
      </c>
      <c r="U43" s="68" t="inlineStr">
        <is>
          <t>—</t>
        </is>
      </c>
      <c r="V43" s="68" t="inlineStr">
        <is>
          <t>Lue par l'IA pour adapter le conseil</t>
        </is>
      </c>
      <c r="W43" s="83" t="inlineStr">
        <is>
          <t>Nouveau : profils et condition proposés, à valider</t>
        </is>
      </c>
    </row>
    <row r="44" ht="23.85" customHeight="1" s="53">
      <c r="A44" s="85" t="inlineStr">
        <is>
          <t>COM-14.01</t>
        </is>
      </c>
      <c r="B44" s="89" t="inlineStr">
        <is>
          <t>COM-14</t>
        </is>
      </c>
      <c r="C44" s="97">
        <f>IFERROR(INDEX(Thèmes!$D$2:$D$190,MATCH(B44,Thèmes!$A$2:$A$190,0)),"")</f>
        <v/>
      </c>
      <c r="D44" s="86" t="inlineStr">
        <is>
          <t>C05 · Votre fiche Google et vos avis</t>
        </is>
      </c>
      <c r="E44" s="86" t="inlineStr">
        <is>
          <t>Votre fiche Google contient : photos de moins de 3 mois, horaires à jour, description, bonnes catégories, publication de moins de 30 jours</t>
        </is>
      </c>
      <c r="F44" s="86" t="inlineStr">
        <is>
          <t>Cases à cocher</t>
        </is>
      </c>
      <c r="G44" s="89" t="inlineStr">
        <is>
          <t>Demandée</t>
        </is>
      </c>
      <c r="H44" s="89" t="inlineStr">
        <is>
          <t>Essentiel</t>
        </is>
      </c>
      <c r="I44" s="100" t="inlineStr">
        <is>
          <t>D03 · si « fiche Google » est cochée</t>
        </is>
      </c>
      <c r="J44" s="86" t="inlineStr">
        <is>
          <t>—</t>
        </is>
      </c>
      <c r="K44" s="89" t="inlineStr">
        <is>
          <t>●</t>
        </is>
      </c>
      <c r="L44" s="89" t="inlineStr">
        <is>
          <t>●</t>
        </is>
      </c>
      <c r="M44" s="89" t="n"/>
      <c r="N44" s="89" t="inlineStr">
        <is>
          <t>●</t>
        </is>
      </c>
      <c r="O44" s="89" t="inlineStr">
        <is>
          <t>●</t>
        </is>
      </c>
      <c r="P44" s="89" t="inlineStr">
        <is>
          <t>●</t>
        </is>
      </c>
      <c r="Q44" s="89" t="inlineStr">
        <is>
          <t>●</t>
        </is>
      </c>
      <c r="R44" s="89" t="inlineStr">
        <is>
          <t>●</t>
        </is>
      </c>
      <c r="S44" s="86" t="inlineStr">
        <is>
          <t>Levier</t>
        </is>
      </c>
      <c r="T44" s="86" t="inlineStr">
        <is>
          <t>—</t>
        </is>
      </c>
      <c r="U44" s="86" t="inlineStr">
        <is>
          <t>—</t>
        </is>
      </c>
      <c r="V44" s="86" t="inlineStr">
        <is>
          <t>COM-14.03</t>
        </is>
      </c>
      <c r="W44" s="91" t="n"/>
    </row>
    <row r="45" ht="15" customHeight="1" s="53">
      <c r="A45" s="81" t="inlineStr">
        <is>
          <t>COM-14.02</t>
        </is>
      </c>
      <c r="B45" s="67" t="inlineStr">
        <is>
          <t>COM-14</t>
        </is>
      </c>
      <c r="C45" s="95">
        <f>IFERROR(INDEX(Thèmes!$D$2:$D$190,MATCH(B45,Thèmes!$A$2:$A$190,0)),"")</f>
        <v/>
      </c>
      <c r="D45" s="68" t="inlineStr">
        <is>
          <t>A07 · Votre présence en ligne</t>
        </is>
      </c>
      <c r="E45" s="68" t="inlineStr">
        <is>
          <t>Vues de la fiche et actions (appels, itinéraires, clics vers le site) par mois</t>
        </is>
      </c>
      <c r="F45" s="68" t="inlineStr">
        <is>
          <t>Nombres</t>
        </is>
      </c>
      <c r="G45" s="66" t="inlineStr">
        <is>
          <t>Partagée</t>
        </is>
      </c>
      <c r="H45" s="67" t="inlineStr">
        <is>
          <t>Essentiel</t>
        </is>
      </c>
      <c r="I45" s="99" t="inlineStr">
        <is>
          <t>D03 · si « fiche Google » est cochée</t>
        </is>
      </c>
      <c r="J45" s="68" t="inlineStr">
        <is>
          <t>—</t>
        </is>
      </c>
      <c r="K45" s="67" t="inlineStr">
        <is>
          <t>●</t>
        </is>
      </c>
      <c r="L45" s="67" t="inlineStr">
        <is>
          <t>●</t>
        </is>
      </c>
      <c r="M45" s="67" t="n"/>
      <c r="N45" s="67" t="inlineStr">
        <is>
          <t>●</t>
        </is>
      </c>
      <c r="O45" s="67" t="inlineStr">
        <is>
          <t>●</t>
        </is>
      </c>
      <c r="P45" s="67" t="inlineStr">
        <is>
          <t>●</t>
        </is>
      </c>
      <c r="Q45" s="67" t="inlineStr">
        <is>
          <t>●</t>
        </is>
      </c>
      <c r="R45" s="67" t="inlineStr">
        <is>
          <t>●</t>
        </is>
      </c>
      <c r="S45" s="68" t="inlineStr">
        <is>
          <t>Parcours</t>
        </is>
      </c>
      <c r="T45" s="68" t="inlineStr">
        <is>
          <t>Posée une seule fois, par le premier agent souscrit qui en a besoin (ACQ-06.05, ACQ-06.04), sinon ici</t>
        </is>
      </c>
      <c r="U45" s="68" t="inlineStr">
        <is>
          <t>ACQ-06.05, ACQ-06.04</t>
        </is>
      </c>
      <c r="V45" s="68" t="inlineStr">
        <is>
          <t>COM-22.02, XC29</t>
        </is>
      </c>
      <c r="W45" s="83" t="n"/>
    </row>
    <row r="46" ht="35.05" customHeight="1" s="53">
      <c r="A46" s="81" t="inlineStr">
        <is>
          <t>COM-14.03</t>
        </is>
      </c>
      <c r="B46" s="67" t="inlineStr">
        <is>
          <t>COM-14</t>
        </is>
      </c>
      <c r="C46" s="95">
        <f>IFERROR(INDEX(Thèmes!$D$2:$D$190,MATCH(B46,Thèmes!$A$2:$A$190,0)),"")</f>
        <v/>
      </c>
      <c r="D46" s="68" t="inlineStr">
        <is>
          <t>—</t>
        </is>
      </c>
      <c r="E46" s="68" t="inlineStr">
        <is>
          <t>Complétude de la fiche Google</t>
        </is>
      </c>
      <c r="F46" s="68" t="inlineStr">
        <is>
          <t>%</t>
        </is>
      </c>
      <c r="G46" s="96" t="inlineStr">
        <is>
          <t>Calculée</t>
        </is>
      </c>
      <c r="H46" s="67" t="inlineStr">
        <is>
          <t>—</t>
        </is>
      </c>
      <c r="I46" s="68" t="inlineStr">
        <is>
          <t>—</t>
        </is>
      </c>
      <c r="J46" s="68" t="inlineStr">
        <is>
          <t>—</t>
        </is>
      </c>
      <c r="K46" s="67" t="inlineStr">
        <is>
          <t>●</t>
        </is>
      </c>
      <c r="L46" s="67" t="inlineStr">
        <is>
          <t>●</t>
        </is>
      </c>
      <c r="M46" s="67" t="n"/>
      <c r="N46" s="67" t="inlineStr">
        <is>
          <t>●</t>
        </is>
      </c>
      <c r="O46" s="67" t="inlineStr">
        <is>
          <t>●</t>
        </is>
      </c>
      <c r="P46" s="67" t="inlineStr">
        <is>
          <t>●</t>
        </is>
      </c>
      <c r="Q46" s="67" t="inlineStr">
        <is>
          <t>●</t>
        </is>
      </c>
      <c r="R46" s="67" t="inlineStr">
        <is>
          <t>●</t>
        </is>
      </c>
      <c r="S46" s="68" t="inlineStr">
        <is>
          <t>Cible</t>
        </is>
      </c>
      <c r="T46" s="68" t="inlineStr">
        <is>
          <t>Éléments cochés ÷ 5</t>
        </is>
      </c>
      <c r="U46" s="68" t="inlineStr">
        <is>
          <t>COM-14.01</t>
        </is>
      </c>
      <c r="V46" s="68" t="inlineStr">
        <is>
          <t>XC29</t>
        </is>
      </c>
      <c r="W46" s="83" t="n"/>
    </row>
    <row r="47" ht="23.85" customHeight="1" s="53">
      <c r="A47" s="85" t="inlineStr">
        <is>
          <t>COM-15.01</t>
        </is>
      </c>
      <c r="B47" s="89" t="inlineStr">
        <is>
          <t>COM-15</t>
        </is>
      </c>
      <c r="C47" s="97">
        <f>IFERROR(INDEX(Thèmes!$D$2:$D$190,MATCH(B47,Thèmes!$A$2:$A$190,0)),"")</f>
        <v/>
      </c>
      <c r="D47" s="86" t="inlineStr">
        <is>
          <t>C06 · Votre fichier de contacts (tableau)</t>
        </is>
      </c>
      <c r="E47" s="86" t="inlineStr">
        <is>
          <t>Votre fichier de contacts, par catégorie : prospects, clients actuels, anciens clients (repris de ACQ-17 si connu), partenaires, inscrits à la newsletter</t>
        </is>
      </c>
      <c r="F47" s="86" t="inlineStr">
        <is>
          <t>Tableau 5 lignes (nombres)</t>
        </is>
      </c>
      <c r="G47" s="89" t="inlineStr">
        <is>
          <t>Demandée</t>
        </is>
      </c>
      <c r="H47" s="89" t="inlineStr">
        <is>
          <t>Essentiel</t>
        </is>
      </c>
      <c r="I47" s="100" t="inlineStr">
        <is>
          <t>D24 · si fichier de contacts</t>
        </is>
      </c>
      <c r="J47" s="86" t="inlineStr">
        <is>
          <t>—</t>
        </is>
      </c>
      <c r="K47" s="89" t="inlineStr">
        <is>
          <t>●</t>
        </is>
      </c>
      <c r="L47" s="89" t="inlineStr">
        <is>
          <t>●</t>
        </is>
      </c>
      <c r="M47" s="89" t="inlineStr">
        <is>
          <t>●</t>
        </is>
      </c>
      <c r="N47" s="89" t="inlineStr">
        <is>
          <t>●</t>
        </is>
      </c>
      <c r="O47" s="89" t="inlineStr">
        <is>
          <t>●</t>
        </is>
      </c>
      <c r="P47" s="89" t="inlineStr">
        <is>
          <t>●</t>
        </is>
      </c>
      <c r="Q47" s="89" t="inlineStr">
        <is>
          <t>●</t>
        </is>
      </c>
      <c r="R47" s="89" t="inlineStr">
        <is>
          <t>●</t>
        </is>
      </c>
      <c r="S47" s="86" t="inlineStr">
        <is>
          <t>Opportunité</t>
        </is>
      </c>
      <c r="T47" s="86" t="inlineStr">
        <is>
          <t>—</t>
        </is>
      </c>
      <c r="U47" s="86" t="inlineStr">
        <is>
          <t>—</t>
        </is>
      </c>
      <c r="V47" s="86" t="inlineStr">
        <is>
          <t>COM-15.07</t>
        </is>
      </c>
      <c r="W47" s="91" t="n"/>
    </row>
    <row r="48" ht="35.05" customHeight="1" s="53">
      <c r="A48" s="81" t="inlineStr">
        <is>
          <t>COM-15.02</t>
        </is>
      </c>
      <c r="B48" s="67" t="inlineStr">
        <is>
          <t>COM-15</t>
        </is>
      </c>
      <c r="C48" s="95">
        <f>IFERROR(INDEX(Thèmes!$D$2:$D$190,MATCH(B48,Thèmes!$A$2:$A$190,0)),"")</f>
        <v/>
      </c>
      <c r="D48" s="68" t="inlineStr">
        <is>
          <t>C06 · Votre fichier de contacts (tableau)</t>
        </is>
      </c>
      <c r="E48" s="68" t="inlineStr">
        <is>
          <t>Nouveaux contacts par mois, et d'où ils viennent : site, offre d'appel, boutique, salon, réseaux</t>
        </is>
      </c>
      <c r="F48" s="68" t="inlineStr">
        <is>
          <t>Nombre + choix</t>
        </is>
      </c>
      <c r="G48" s="67" t="inlineStr">
        <is>
          <t>Demandée</t>
        </is>
      </c>
      <c r="H48" s="67" t="inlineStr">
        <is>
          <t>Essentiel</t>
        </is>
      </c>
      <c r="I48" s="99" t="inlineStr">
        <is>
          <t>D24 · si fichier de contacts</t>
        </is>
      </c>
      <c r="J48" s="68" t="inlineStr">
        <is>
          <t>—</t>
        </is>
      </c>
      <c r="K48" s="67" t="inlineStr">
        <is>
          <t>●</t>
        </is>
      </c>
      <c r="L48" s="67" t="inlineStr">
        <is>
          <t>●</t>
        </is>
      </c>
      <c r="M48" s="67" t="inlineStr">
        <is>
          <t>●</t>
        </is>
      </c>
      <c r="N48" s="67" t="inlineStr">
        <is>
          <t>●</t>
        </is>
      </c>
      <c r="O48" s="67" t="inlineStr">
        <is>
          <t>●</t>
        </is>
      </c>
      <c r="P48" s="67" t="inlineStr">
        <is>
          <t>●</t>
        </is>
      </c>
      <c r="Q48" s="67" t="inlineStr">
        <is>
          <t>●</t>
        </is>
      </c>
      <c r="R48" s="67" t="inlineStr">
        <is>
          <t>●</t>
        </is>
      </c>
      <c r="S48" s="68" t="inlineStr">
        <is>
          <t>Parcours</t>
        </is>
      </c>
      <c r="T48" s="68" t="inlineStr">
        <is>
          <t>—</t>
        </is>
      </c>
      <c r="U48" s="68" t="inlineStr">
        <is>
          <t>—</t>
        </is>
      </c>
      <c r="V48" s="68" t="inlineStr">
        <is>
          <t>Lue par l'IA pour adapter le conseil</t>
        </is>
      </c>
      <c r="W48" s="83" t="n"/>
    </row>
    <row r="49" ht="35.05" customHeight="1" s="53">
      <c r="A49" s="94" t="inlineStr">
        <is>
          <t>COM-15.03</t>
        </is>
      </c>
      <c r="B49" s="67" t="inlineStr">
        <is>
          <t>COM-15</t>
        </is>
      </c>
      <c r="C49" s="95">
        <f>IFERROR(INDEX(Thèmes!$D$2:$D$190,MATCH(B49,Thèmes!$A$2:$A$190,0)),"")</f>
        <v/>
      </c>
      <c r="D49" s="68" t="inlineStr">
        <is>
          <t>C06 · Votre fichier de contacts (tableau)</t>
        </is>
      </c>
      <c r="E49" s="68" t="inlineStr">
        <is>
          <t>Date du dernier envoi à ce fichier, et nombre d'envois sur les 6 derniers mois — déclencheur D58</t>
        </is>
      </c>
      <c r="F49" s="68" t="inlineStr">
        <is>
          <t>Date + nombre</t>
        </is>
      </c>
      <c r="G49" s="67" t="inlineStr">
        <is>
          <t>Demandée</t>
        </is>
      </c>
      <c r="H49" s="67" t="inlineStr">
        <is>
          <t>Essentiel</t>
        </is>
      </c>
      <c r="I49" s="99" t="inlineStr">
        <is>
          <t>D24 · si fichier de contacts</t>
        </is>
      </c>
      <c r="J49" s="68" t="inlineStr">
        <is>
          <t>Période adaptée : depuis la création si moins de 6 mois</t>
        </is>
      </c>
      <c r="K49" s="67" t="inlineStr">
        <is>
          <t>●</t>
        </is>
      </c>
      <c r="L49" s="67" t="inlineStr">
        <is>
          <t>●</t>
        </is>
      </c>
      <c r="M49" s="67" t="inlineStr">
        <is>
          <t>●</t>
        </is>
      </c>
      <c r="N49" s="67" t="inlineStr">
        <is>
          <t>●</t>
        </is>
      </c>
      <c r="O49" s="67" t="inlineStr">
        <is>
          <t>●</t>
        </is>
      </c>
      <c r="P49" s="67" t="inlineStr">
        <is>
          <t>●</t>
        </is>
      </c>
      <c r="Q49" s="67" t="inlineStr">
        <is>
          <t>●</t>
        </is>
      </c>
      <c r="R49" s="67" t="inlineStr">
        <is>
          <t>●</t>
        </is>
      </c>
      <c r="S49" s="68" t="inlineStr">
        <is>
          <t>Problème</t>
        </is>
      </c>
      <c r="T49" s="68" t="inlineStr">
        <is>
          <t>—</t>
        </is>
      </c>
      <c r="U49" s="68" t="inlineStr">
        <is>
          <t>—</t>
        </is>
      </c>
      <c r="V49" s="68" t="inlineStr">
        <is>
          <t>COM-15.08, COM-15.10</t>
        </is>
      </c>
      <c r="W49" s="83" t="inlineStr">
        <is>
          <t>Libellé (« Donnée »)</t>
        </is>
      </c>
    </row>
    <row r="50" ht="46.25" customHeight="1" s="53">
      <c r="A50" s="94" t="inlineStr">
        <is>
          <t>COM-15.04</t>
        </is>
      </c>
      <c r="B50" s="67" t="inlineStr">
        <is>
          <t>COM-15</t>
        </is>
      </c>
      <c r="C50" s="95">
        <f>IFERROR(INDEX(Thèmes!$D$2:$D$190,MATCH(B50,Thèmes!$A$2:$A$190,0)),"")</f>
        <v/>
      </c>
      <c r="D50" s="68" t="inlineStr">
        <is>
          <t>C06 · Votre fichier de contacts (tableau)</t>
        </is>
      </c>
      <c r="E50" s="68" t="inlineStr">
        <is>
          <t>Demandes et ventes générées par vos envois sur la période</t>
        </is>
      </c>
      <c r="F50" s="68" t="inlineStr">
        <is>
          <t>2 nombres</t>
        </is>
      </c>
      <c r="G50" s="67" t="inlineStr">
        <is>
          <t>Demandée</t>
        </is>
      </c>
      <c r="H50" s="67" t="inlineStr">
        <is>
          <t>Essentiel</t>
        </is>
      </c>
      <c r="I50" s="99" t="inlineStr">
        <is>
          <t>D58 · si vous écrivez à votre fichier</t>
        </is>
      </c>
      <c r="J50" s="68" t="inlineStr">
        <is>
          <t>Période adaptée : depuis la création si moins de 12 mois</t>
        </is>
      </c>
      <c r="K50" s="67" t="inlineStr">
        <is>
          <t>●</t>
        </is>
      </c>
      <c r="L50" s="67" t="inlineStr">
        <is>
          <t>●</t>
        </is>
      </c>
      <c r="M50" s="67" t="inlineStr">
        <is>
          <t>●</t>
        </is>
      </c>
      <c r="N50" s="67" t="inlineStr">
        <is>
          <t>●</t>
        </is>
      </c>
      <c r="O50" s="67" t="inlineStr">
        <is>
          <t>●</t>
        </is>
      </c>
      <c r="P50" s="67" t="inlineStr">
        <is>
          <t>●</t>
        </is>
      </c>
      <c r="Q50" s="67" t="inlineStr">
        <is>
          <t>●</t>
        </is>
      </c>
      <c r="R50" s="67" t="inlineStr">
        <is>
          <t>●</t>
        </is>
      </c>
      <c r="S50" s="68" t="inlineStr">
        <is>
          <t>Mesure</t>
        </is>
      </c>
      <c r="T50" s="68" t="inlineStr">
        <is>
          <t>—</t>
        </is>
      </c>
      <c r="U50" s="68" t="inlineStr">
        <is>
          <t>—</t>
        </is>
      </c>
      <c r="V50" s="68" t="inlineStr">
        <is>
          <t>COM-15.10</t>
        </is>
      </c>
      <c r="W50" s="83" t="inlineStr">
        <is>
          <t>Condition d'affichage</t>
        </is>
      </c>
    </row>
    <row r="51" ht="57.45" customHeight="1" s="53">
      <c r="A51" s="81" t="inlineStr">
        <is>
          <t>COM-15.05</t>
        </is>
      </c>
      <c r="B51" s="67" t="inlineStr">
        <is>
          <t>COM-15</t>
        </is>
      </c>
      <c r="C51" s="95">
        <f>IFERROR(INDEX(Thèmes!$D$2:$D$190,MATCH(B51,Thèmes!$A$2:$A$190,0)),"")</f>
        <v/>
      </c>
      <c r="D51" s="68" t="inlineStr">
        <is>
          <t>C06 · Votre fichier de contacts (tableau)</t>
        </is>
      </c>
      <c r="E51" s="68" t="inlineStr">
        <is>
          <t>Part des contacts réellement joignables (email ou téléphone valide, accord pour être contacté)</t>
        </is>
      </c>
      <c r="F51" s="68" t="inlineStr">
        <is>
          <t>Tranches : moins de 25 % · 25-50 % · 50-75 % · plus de 75 % · je ne sais pas</t>
        </is>
      </c>
      <c r="G51" s="67" t="inlineStr">
        <is>
          <t>Demandée</t>
        </is>
      </c>
      <c r="H51" s="67" t="inlineStr">
        <is>
          <t>Approfondi</t>
        </is>
      </c>
      <c r="I51" s="99" t="inlineStr">
        <is>
          <t>D24 · si fichier de contacts</t>
        </is>
      </c>
      <c r="J51" s="68" t="inlineStr">
        <is>
          <t>—</t>
        </is>
      </c>
      <c r="K51" s="67" t="inlineStr">
        <is>
          <t>●</t>
        </is>
      </c>
      <c r="L51" s="67" t="inlineStr">
        <is>
          <t>●</t>
        </is>
      </c>
      <c r="M51" s="67" t="inlineStr">
        <is>
          <t>●</t>
        </is>
      </c>
      <c r="N51" s="67" t="inlineStr">
        <is>
          <t>●</t>
        </is>
      </c>
      <c r="O51" s="67" t="inlineStr">
        <is>
          <t>●</t>
        </is>
      </c>
      <c r="P51" s="67" t="inlineStr">
        <is>
          <t>●</t>
        </is>
      </c>
      <c r="Q51" s="67" t="inlineStr">
        <is>
          <t>●</t>
        </is>
      </c>
      <c r="R51" s="67" t="inlineStr">
        <is>
          <t>●</t>
        </is>
      </c>
      <c r="S51" s="68" t="inlineStr">
        <is>
          <t>Mesure</t>
        </is>
      </c>
      <c r="T51" s="68" t="inlineStr">
        <is>
          <t>—</t>
        </is>
      </c>
      <c r="U51" s="68" t="inlineStr">
        <is>
          <t>—</t>
        </is>
      </c>
      <c r="V51" s="68" t="inlineStr">
        <is>
          <t>COM-15.07</t>
        </is>
      </c>
      <c r="W51" s="83" t="n"/>
    </row>
    <row r="52" ht="15" customHeight="1" s="53">
      <c r="A52" s="94" t="inlineStr">
        <is>
          <t>COM-15.06</t>
        </is>
      </c>
      <c r="B52" s="67" t="inlineStr">
        <is>
          <t>COM-15</t>
        </is>
      </c>
      <c r="C52" s="95">
        <f>IFERROR(INDEX(Thèmes!$D$2:$D$190,MATCH(B52,Thèmes!$A$2:$A$190,0)),"")</f>
        <v/>
      </c>
      <c r="D52" s="68" t="inlineStr">
        <is>
          <t>C06 · Votre fichier de contacts (tableau)</t>
        </is>
      </c>
      <c r="E52" s="68" t="inlineStr">
        <is>
          <t>Pour vos derniers envois : taux d'ouverture, taux de clic, désinscriptions, réponses</t>
        </is>
      </c>
      <c r="F52" s="68" t="inlineStr">
        <is>
          <t>Plusieurs champs : Taux d'ouverture · Taux de clic · Désinscriptions · Réponses</t>
        </is>
      </c>
      <c r="G52" s="67" t="inlineStr">
        <is>
          <t>Demandée</t>
        </is>
      </c>
      <c r="H52" s="67" t="inlineStr">
        <is>
          <t>Approfondi</t>
        </is>
      </c>
      <c r="I52" s="99" t="inlineStr">
        <is>
          <t>D58 · si vous écrivez à votre fichier</t>
        </is>
      </c>
      <c r="J52" s="68" t="inlineStr">
        <is>
          <t>—</t>
        </is>
      </c>
      <c r="K52" s="67" t="inlineStr">
        <is>
          <t>●</t>
        </is>
      </c>
      <c r="L52" s="67" t="inlineStr">
        <is>
          <t>●</t>
        </is>
      </c>
      <c r="M52" s="67" t="inlineStr">
        <is>
          <t>●</t>
        </is>
      </c>
      <c r="N52" s="67" t="inlineStr">
        <is>
          <t>●</t>
        </is>
      </c>
      <c r="O52" s="67" t="inlineStr">
        <is>
          <t>●</t>
        </is>
      </c>
      <c r="P52" s="67" t="inlineStr">
        <is>
          <t>●</t>
        </is>
      </c>
      <c r="Q52" s="67" t="inlineStr">
        <is>
          <t>●</t>
        </is>
      </c>
      <c r="R52" s="67" t="inlineStr">
        <is>
          <t>●</t>
        </is>
      </c>
      <c r="S52" s="68" t="inlineStr">
        <is>
          <t>Problème</t>
        </is>
      </c>
      <c r="T52" s="68" t="inlineStr">
        <is>
          <t>Saisie par le dirigeant tant qu'aucune connexion n'existe. Quand la connexion existera : Lu dans l'outil d'emailing s'il est connecté</t>
        </is>
      </c>
      <c r="U52" s="68" t="inlineStr">
        <is>
          <t>—</t>
        </is>
      </c>
      <c r="V52" s="68" t="inlineStr">
        <is>
          <t>COM-15.11</t>
        </is>
      </c>
      <c r="W52" s="83" t="inlineStr">
        <is>
          <t>Mode : Importée → Demandée (le dirigeant la saisit) · Format de réponse · Condition d'affichage</t>
        </is>
      </c>
    </row>
    <row r="53" ht="23.85" customHeight="1" s="53">
      <c r="A53" s="81" t="inlineStr">
        <is>
          <t>COM-15.07</t>
        </is>
      </c>
      <c r="B53" s="67" t="inlineStr">
        <is>
          <t>COM-15</t>
        </is>
      </c>
      <c r="C53" s="95">
        <f>IFERROR(INDEX(Thèmes!$D$2:$D$190,MATCH(B53,Thèmes!$A$2:$A$190,0)),"")</f>
        <v/>
      </c>
      <c r="D53" s="68" t="inlineStr">
        <is>
          <t>—</t>
        </is>
      </c>
      <c r="E53" s="68" t="inlineStr">
        <is>
          <t>Taille du fichier et contacts joignables</t>
        </is>
      </c>
      <c r="F53" s="68" t="inlineStr">
        <is>
          <t>Nombre</t>
        </is>
      </c>
      <c r="G53" s="96" t="inlineStr">
        <is>
          <t>Calculée</t>
        </is>
      </c>
      <c r="H53" s="67" t="inlineStr">
        <is>
          <t>—</t>
        </is>
      </c>
      <c r="I53" s="68" t="inlineStr">
        <is>
          <t>—</t>
        </is>
      </c>
      <c r="J53" s="68" t="inlineStr">
        <is>
          <t>—</t>
        </is>
      </c>
      <c r="K53" s="67" t="inlineStr">
        <is>
          <t>●</t>
        </is>
      </c>
      <c r="L53" s="67" t="inlineStr">
        <is>
          <t>●</t>
        </is>
      </c>
      <c r="M53" s="67" t="inlineStr">
        <is>
          <t>●</t>
        </is>
      </c>
      <c r="N53" s="67" t="inlineStr">
        <is>
          <t>●</t>
        </is>
      </c>
      <c r="O53" s="67" t="inlineStr">
        <is>
          <t>●</t>
        </is>
      </c>
      <c r="P53" s="67" t="inlineStr">
        <is>
          <t>●</t>
        </is>
      </c>
      <c r="Q53" s="67" t="inlineStr">
        <is>
          <t>●</t>
        </is>
      </c>
      <c r="R53" s="67" t="inlineStr">
        <is>
          <t>●</t>
        </is>
      </c>
      <c r="S53" s="68" t="inlineStr">
        <is>
          <t>Mesure</t>
        </is>
      </c>
      <c r="T53" s="68" t="inlineStr">
        <is>
          <t>Somme des catégories × part joignable</t>
        </is>
      </c>
      <c r="U53" s="68" t="inlineStr">
        <is>
          <t>COM-15.01, COM-15.05</t>
        </is>
      </c>
      <c r="V53" s="68" t="inlineStr">
        <is>
          <t>COM-15.09, COM-15.11</t>
        </is>
      </c>
      <c r="W53" s="83" t="n"/>
    </row>
    <row r="54" ht="23.85" customHeight="1" s="53">
      <c r="A54" s="81" t="inlineStr">
        <is>
          <t>COM-15.08</t>
        </is>
      </c>
      <c r="B54" s="67" t="inlineStr">
        <is>
          <t>COM-15</t>
        </is>
      </c>
      <c r="C54" s="95">
        <f>IFERROR(INDEX(Thèmes!$D$2:$D$190,MATCH(B54,Thèmes!$A$2:$A$190,0)),"")</f>
        <v/>
      </c>
      <c r="D54" s="68" t="inlineStr">
        <is>
          <t>—</t>
        </is>
      </c>
      <c r="E54" s="68" t="inlineStr">
        <is>
          <t>Mois depuis le dernier envoi, et fréquence d'envoi</t>
        </is>
      </c>
      <c r="F54" s="68" t="inlineStr">
        <is>
          <t>Mois et envois par mois</t>
        </is>
      </c>
      <c r="G54" s="96" t="inlineStr">
        <is>
          <t>Calculée</t>
        </is>
      </c>
      <c r="H54" s="67" t="inlineStr">
        <is>
          <t>—</t>
        </is>
      </c>
      <c r="I54" s="68" t="inlineStr">
        <is>
          <t>—</t>
        </is>
      </c>
      <c r="J54" s="68" t="inlineStr">
        <is>
          <t>—</t>
        </is>
      </c>
      <c r="K54" s="67" t="inlineStr">
        <is>
          <t>●</t>
        </is>
      </c>
      <c r="L54" s="67" t="inlineStr">
        <is>
          <t>●</t>
        </is>
      </c>
      <c r="M54" s="67" t="inlineStr">
        <is>
          <t>●</t>
        </is>
      </c>
      <c r="N54" s="67" t="inlineStr">
        <is>
          <t>●</t>
        </is>
      </c>
      <c r="O54" s="67" t="inlineStr">
        <is>
          <t>●</t>
        </is>
      </c>
      <c r="P54" s="67" t="inlineStr">
        <is>
          <t>●</t>
        </is>
      </c>
      <c r="Q54" s="67" t="inlineStr">
        <is>
          <t>●</t>
        </is>
      </c>
      <c r="R54" s="67" t="inlineStr">
        <is>
          <t>●</t>
        </is>
      </c>
      <c r="S54" s="68" t="inlineStr">
        <is>
          <t>Problème</t>
        </is>
      </c>
      <c r="T54" s="68" t="inlineStr">
        <is>
          <t>Date du jour − dernier envoi ; envois ÷ 6</t>
        </is>
      </c>
      <c r="U54" s="68" t="inlineStr">
        <is>
          <t>COM-15.03</t>
        </is>
      </c>
      <c r="V54" s="68" t="inlineStr">
        <is>
          <t>COM-15.09, XC10</t>
        </is>
      </c>
      <c r="W54" s="83" t="n"/>
    </row>
    <row r="55" ht="15" customHeight="1" s="53">
      <c r="A55" s="81" t="inlineStr">
        <is>
          <t>COM-15.09</t>
        </is>
      </c>
      <c r="B55" s="67" t="inlineStr">
        <is>
          <t>COM-15</t>
        </is>
      </c>
      <c r="C55" s="95">
        <f>IFERROR(INDEX(Thèmes!$D$2:$D$190,MATCH(B55,Thèmes!$A$2:$A$190,0)),"")</f>
        <v/>
      </c>
      <c r="D55" s="68" t="inlineStr">
        <is>
          <t>—</t>
        </is>
      </c>
      <c r="E55" s="68" t="inlineStr">
        <is>
          <t>Fichier inexploité</t>
        </is>
      </c>
      <c r="F55" s="68" t="inlineStr">
        <is>
          <t>Oui / non et nombre</t>
        </is>
      </c>
      <c r="G55" s="96" t="inlineStr">
        <is>
          <t>Calculée</t>
        </is>
      </c>
      <c r="H55" s="67" t="inlineStr">
        <is>
          <t>—</t>
        </is>
      </c>
      <c r="I55" s="68" t="inlineStr">
        <is>
          <t>—</t>
        </is>
      </c>
      <c r="J55" s="68" t="inlineStr">
        <is>
          <t>—</t>
        </is>
      </c>
      <c r="K55" s="67" t="inlineStr">
        <is>
          <t>●</t>
        </is>
      </c>
      <c r="L55" s="67" t="inlineStr">
        <is>
          <t>●</t>
        </is>
      </c>
      <c r="M55" s="67" t="inlineStr">
        <is>
          <t>●</t>
        </is>
      </c>
      <c r="N55" s="67" t="inlineStr">
        <is>
          <t>●</t>
        </is>
      </c>
      <c r="O55" s="67" t="inlineStr">
        <is>
          <t>●</t>
        </is>
      </c>
      <c r="P55" s="67" t="inlineStr">
        <is>
          <t>●</t>
        </is>
      </c>
      <c r="Q55" s="67" t="inlineStr">
        <is>
          <t>●</t>
        </is>
      </c>
      <c r="R55" s="67" t="inlineStr">
        <is>
          <t>●</t>
        </is>
      </c>
      <c r="S55" s="68" t="inlineStr">
        <is>
          <t>Opportunité</t>
        </is>
      </c>
      <c r="T55" s="68" t="inlineStr">
        <is>
          <t>Contacts joignables sans aucun envoi depuis plus de 3 mois</t>
        </is>
      </c>
      <c r="U55" s="68" t="inlineStr">
        <is>
          <t>COM-15.07, COM-15.08</t>
        </is>
      </c>
      <c r="V55" s="68" t="inlineStr">
        <is>
          <t>XC10, DC13</t>
        </is>
      </c>
      <c r="W55" s="83" t="n"/>
    </row>
    <row r="56" ht="35.05" customHeight="1" s="53">
      <c r="A56" s="81" t="inlineStr">
        <is>
          <t>COM-15.10</t>
        </is>
      </c>
      <c r="B56" s="67" t="inlineStr">
        <is>
          <t>COM-15</t>
        </is>
      </c>
      <c r="C56" s="95">
        <f>IFERROR(INDEX(Thèmes!$D$2:$D$190,MATCH(B56,Thèmes!$A$2:$A$190,0)),"")</f>
        <v/>
      </c>
      <c r="D56" s="68" t="inlineStr">
        <is>
          <t>—</t>
        </is>
      </c>
      <c r="E56" s="68" t="inlineStr">
        <is>
          <t>Demandes et ventes par envoi</t>
        </is>
      </c>
      <c r="F56" s="68" t="inlineStr">
        <is>
          <t>Nombre</t>
        </is>
      </c>
      <c r="G56" s="96" t="inlineStr">
        <is>
          <t>Calculée</t>
        </is>
      </c>
      <c r="H56" s="67" t="inlineStr">
        <is>
          <t>—</t>
        </is>
      </c>
      <c r="I56" s="68" t="inlineStr">
        <is>
          <t>—</t>
        </is>
      </c>
      <c r="J56" s="68" t="inlineStr">
        <is>
          <t>—</t>
        </is>
      </c>
      <c r="K56" s="67" t="inlineStr">
        <is>
          <t>●</t>
        </is>
      </c>
      <c r="L56" s="67" t="inlineStr">
        <is>
          <t>●</t>
        </is>
      </c>
      <c r="M56" s="67" t="inlineStr">
        <is>
          <t>●</t>
        </is>
      </c>
      <c r="N56" s="67" t="inlineStr">
        <is>
          <t>●</t>
        </is>
      </c>
      <c r="O56" s="67" t="inlineStr">
        <is>
          <t>●</t>
        </is>
      </c>
      <c r="P56" s="67" t="inlineStr">
        <is>
          <t>●</t>
        </is>
      </c>
      <c r="Q56" s="67" t="inlineStr">
        <is>
          <t>●</t>
        </is>
      </c>
      <c r="R56" s="67" t="inlineStr">
        <is>
          <t>●</t>
        </is>
      </c>
      <c r="S56" s="68" t="inlineStr">
        <is>
          <t>Levier</t>
        </is>
      </c>
      <c r="T56" s="68" t="inlineStr">
        <is>
          <t>Demandes et ventes ÷ envois de la période</t>
        </is>
      </c>
      <c r="U56" s="68" t="inlineStr">
        <is>
          <t>COM-15.04, COM-15.03</t>
        </is>
      </c>
      <c r="V56" s="68" t="inlineStr">
        <is>
          <t>COM-15.11</t>
        </is>
      </c>
      <c r="W56" s="83" t="n"/>
    </row>
    <row r="57" ht="15" customHeight="1" s="53">
      <c r="A57" s="81" t="inlineStr">
        <is>
          <t>COM-15.11</t>
        </is>
      </c>
      <c r="B57" s="67" t="inlineStr">
        <is>
          <t>COM-15</t>
        </is>
      </c>
      <c r="C57" s="95">
        <f>IFERROR(INDEX(Thèmes!$D$2:$D$190,MATCH(B57,Thèmes!$A$2:$A$190,0)),"")</f>
        <v/>
      </c>
      <c r="D57" s="68" t="inlineStr">
        <is>
          <t>—</t>
        </is>
      </c>
      <c r="E57" s="68" t="inlineStr">
        <is>
          <t>Potentiel d'un envoi au fichier</t>
        </is>
      </c>
      <c r="F57" s="68" t="inlineStr">
        <is>
          <t>€</t>
        </is>
      </c>
      <c r="G57" s="96" t="inlineStr">
        <is>
          <t>Calculée</t>
        </is>
      </c>
      <c r="H57" s="67" t="inlineStr">
        <is>
          <t>—</t>
        </is>
      </c>
      <c r="I57" s="68" t="inlineStr">
        <is>
          <t>—</t>
        </is>
      </c>
      <c r="J57" s="68" t="inlineStr">
        <is>
          <t>—</t>
        </is>
      </c>
      <c r="K57" s="67" t="inlineStr">
        <is>
          <t>●</t>
        </is>
      </c>
      <c r="L57" s="67" t="inlineStr">
        <is>
          <t>●</t>
        </is>
      </c>
      <c r="M57" s="67" t="inlineStr">
        <is>
          <t>●</t>
        </is>
      </c>
      <c r="N57" s="67" t="inlineStr">
        <is>
          <t>●</t>
        </is>
      </c>
      <c r="O57" s="67" t="inlineStr">
        <is>
          <t>●</t>
        </is>
      </c>
      <c r="P57" s="67" t="inlineStr">
        <is>
          <t>●</t>
        </is>
      </c>
      <c r="Q57" s="67" t="inlineStr">
        <is>
          <t>●</t>
        </is>
      </c>
      <c r="R57" s="67" t="n"/>
      <c r="S57" s="68" t="inlineStr">
        <is>
          <t>Potentiel CA</t>
        </is>
      </c>
      <c r="T57" s="68" t="inlineStr">
        <is>
          <t>Contacts joignables × taux de réponse prudent × taux de transformation × panier moyen</t>
        </is>
      </c>
      <c r="U57" s="68" t="inlineStr">
        <is>
          <t>COM-15.07, ACQ-11.19, ACQ-15.06, COM-15.10, COM-15.06</t>
        </is>
      </c>
      <c r="V57" s="68" t="inlineStr">
        <is>
          <t>XC10</t>
        </is>
      </c>
      <c r="W57" s="83" t="n"/>
    </row>
    <row r="58" ht="35.05" customHeight="1" s="53">
      <c r="A58" s="92" t="inlineStr">
        <is>
          <t>COM-15.12</t>
        </is>
      </c>
      <c r="B58" s="67" t="inlineStr">
        <is>
          <t>COM-15</t>
        </is>
      </c>
      <c r="C58" s="95">
        <f>IFERROR(INDEX(Thèmes!$D$2:$D$190,MATCH(B58,Thèmes!$A$2:$A$190,0)),"")</f>
        <v/>
      </c>
      <c r="D58" s="68" t="inlineStr">
        <is>
          <t>—</t>
        </is>
      </c>
      <c r="E58" s="68" t="inlineStr">
        <is>
          <t>Fichier de contacts — déclencheur D24</t>
        </is>
      </c>
      <c r="F58" s="68" t="inlineStr">
        <is>
          <t>Oui / non</t>
        </is>
      </c>
      <c r="G58" s="67" t="inlineStr">
        <is>
          <t>Demandée</t>
        </is>
      </c>
      <c r="H58" s="67" t="inlineStr">
        <is>
          <t>Essentiel</t>
        </is>
      </c>
      <c r="I58" s="68" t="inlineStr">
        <is>
          <t>—</t>
        </is>
      </c>
      <c r="J58" s="68" t="inlineStr">
        <is>
          <t>—</t>
        </is>
      </c>
      <c r="K58" s="67" t="inlineStr">
        <is>
          <t>●</t>
        </is>
      </c>
      <c r="L58" s="67" t="inlineStr">
        <is>
          <t>●</t>
        </is>
      </c>
      <c r="M58" s="67" t="inlineStr">
        <is>
          <t>●</t>
        </is>
      </c>
      <c r="N58" s="67" t="inlineStr">
        <is>
          <t>●</t>
        </is>
      </c>
      <c r="O58" s="67" t="inlineStr">
        <is>
          <t>●</t>
        </is>
      </c>
      <c r="P58" s="67" t="inlineStr">
        <is>
          <t>●</t>
        </is>
      </c>
      <c r="Q58" s="67" t="inlineStr">
        <is>
          <t>●</t>
        </is>
      </c>
      <c r="R58" s="67" t="inlineStr">
        <is>
          <t>●</t>
        </is>
      </c>
      <c r="S58" s="68" t="inlineStr">
        <is>
          <t>—</t>
        </is>
      </c>
      <c r="T58" s="68" t="inlineStr">
        <is>
          <t>—</t>
        </is>
      </c>
      <c r="U58" s="68" t="inlineStr">
        <is>
          <t>—</t>
        </is>
      </c>
      <c r="V58" s="68" t="inlineStr">
        <is>
          <t>—</t>
        </is>
      </c>
      <c r="W58" s="83" t="inlineStr">
        <is>
          <t>Nouveau</t>
        </is>
      </c>
    </row>
    <row r="59" ht="57.45" customHeight="1" s="53">
      <c r="A59" s="98" t="inlineStr">
        <is>
          <t>COM-16.01</t>
        </is>
      </c>
      <c r="B59" s="89" t="inlineStr">
        <is>
          <t>COM-16</t>
        </is>
      </c>
      <c r="C59" s="97">
        <f>IFERROR(INDEX(Thèmes!$D$2:$D$190,MATCH(B59,Thèmes!$A$2:$A$190,0)),"")</f>
        <v/>
      </c>
      <c r="D59" s="86" t="inlineStr">
        <is>
          <t>C05 · Votre fiche Google et vos avis</t>
        </is>
      </c>
      <c r="E59" s="86" t="inlineStr">
        <is>
          <t>Position quand on cherche « votre métier + votre ville » : 3 premiers résultats, première page, plus loin</t>
        </is>
      </c>
      <c r="F59" s="86" t="inlineStr">
        <is>
          <t>Choix</t>
        </is>
      </c>
      <c r="G59" s="89" t="inlineStr">
        <is>
          <t>Demandée</t>
        </is>
      </c>
      <c r="H59" s="89" t="inlineStr">
        <is>
          <t>Essentiel</t>
        </is>
      </c>
      <c r="I59" s="100" t="inlineStr">
        <is>
          <t>D03 · si « fiche Google » est cochée</t>
        </is>
      </c>
      <c r="J59" s="86" t="inlineStr">
        <is>
          <t>—</t>
        </is>
      </c>
      <c r="K59" s="89" t="inlineStr">
        <is>
          <t>●</t>
        </is>
      </c>
      <c r="L59" s="89" t="inlineStr">
        <is>
          <t>●</t>
        </is>
      </c>
      <c r="M59" s="89" t="n"/>
      <c r="N59" s="89" t="inlineStr">
        <is>
          <t>●</t>
        </is>
      </c>
      <c r="O59" s="89" t="inlineStr">
        <is>
          <t>●</t>
        </is>
      </c>
      <c r="P59" s="89" t="inlineStr">
        <is>
          <t>●</t>
        </is>
      </c>
      <c r="Q59" s="89" t="inlineStr">
        <is>
          <t>●</t>
        </is>
      </c>
      <c r="R59" s="89" t="inlineStr">
        <is>
          <t>●</t>
        </is>
      </c>
      <c r="S59" s="86" t="inlineStr">
        <is>
          <t>Cible</t>
        </is>
      </c>
      <c r="T59" s="86" t="inlineStr">
        <is>
          <t>Saisie par le dirigeant tant qu'aucune connexion n'existe. Quand la connexion existera : Vérifiée par une recherche automatique</t>
        </is>
      </c>
      <c r="U59" s="86" t="inlineStr">
        <is>
          <t>—</t>
        </is>
      </c>
      <c r="V59" s="86" t="inlineStr">
        <is>
          <t>XC29</t>
        </is>
      </c>
      <c r="W59" s="91" t="inlineStr">
        <is>
          <t>Mode : Importée → Demandée (le dirigeant la saisit)</t>
        </is>
      </c>
    </row>
    <row r="60" ht="46.25" customHeight="1" s="53">
      <c r="A60" s="98" t="inlineStr">
        <is>
          <t>COM-17.01</t>
        </is>
      </c>
      <c r="B60" s="89" t="inlineStr">
        <is>
          <t>COM-17</t>
        </is>
      </c>
      <c r="C60" s="97">
        <f>IFERROR(INDEX(Thèmes!$D$2:$D$190,MATCH(B60,Thèmes!$A$2:$A$190,0)),"")</f>
        <v/>
      </c>
      <c r="D60" s="86" t="inlineStr">
        <is>
          <t>C07 · Audience et résultats par réseau (tableau)</t>
        </is>
      </c>
      <c r="E60" s="86" t="inlineStr">
        <is>
          <t>Pour chaque réseau utilisé : abonnés aujourd'hui, personnes touchées par mois (portée), impressions si connues — abonnés = audience possédée ; portée = personnes réellement touchées ; impressions = nombre d'affichages</t>
        </is>
      </c>
      <c r="F60" s="86" t="inlineStr">
        <is>
          <t>Tableau : Abonnés · Personnes touchées par mois (moyenne des 3 derniers mois) (lignes cadrage: D22)</t>
        </is>
      </c>
      <c r="G60" s="89" t="inlineStr">
        <is>
          <t>Demandée</t>
        </is>
      </c>
      <c r="H60" s="89" t="inlineStr">
        <is>
          <t>Essentiel</t>
        </is>
      </c>
      <c r="I60" s="100" t="inlineStr">
        <is>
          <t>D22 · une ligne par réseau utilisé</t>
        </is>
      </c>
      <c r="J60" s="86" t="inlineStr">
        <is>
          <t>Aujourd'hui</t>
        </is>
      </c>
      <c r="K60" s="89" t="inlineStr">
        <is>
          <t>●</t>
        </is>
      </c>
      <c r="L60" s="89" t="inlineStr">
        <is>
          <t>●</t>
        </is>
      </c>
      <c r="M60" s="89" t="inlineStr">
        <is>
          <t>●</t>
        </is>
      </c>
      <c r="N60" s="89" t="inlineStr">
        <is>
          <t>●</t>
        </is>
      </c>
      <c r="O60" s="89" t="inlineStr">
        <is>
          <t>●</t>
        </is>
      </c>
      <c r="P60" s="89" t="inlineStr">
        <is>
          <t>●</t>
        </is>
      </c>
      <c r="Q60" s="89" t="inlineStr">
        <is>
          <t>●</t>
        </is>
      </c>
      <c r="R60" s="89" t="inlineStr">
        <is>
          <t>●</t>
        </is>
      </c>
      <c r="S60" s="86" t="inlineStr">
        <is>
          <t>Parcours</t>
        </is>
      </c>
      <c r="T60" s="86" t="inlineStr">
        <is>
          <t>Saisie par le dirigeant tant qu'aucune connexion n'existe. Quand la connexion existera : Lu dans les statistiques des réseaux connectés ; sinon tranches</t>
        </is>
      </c>
      <c r="U60" s="86" t="inlineStr">
        <is>
          <t>—</t>
        </is>
      </c>
      <c r="V60" s="86" t="inlineStr">
        <is>
          <t>COM-17.04, COM-17.05, COM-19.02, COM-36.01, COM-37.02, COM-38.01, XC01, XC06, DC06</t>
        </is>
      </c>
      <c r="W60" s="91" t="inlineStr">
        <is>
          <t>Mode : Importée → Demandée (le dirigeant la saisit) · Format de réponse</t>
        </is>
      </c>
    </row>
    <row r="61" ht="35.05" customHeight="1" s="53">
      <c r="A61" s="94" t="inlineStr">
        <is>
          <t>COM-17.02</t>
        </is>
      </c>
      <c r="B61" s="67" t="inlineStr">
        <is>
          <t>COM-17</t>
        </is>
      </c>
      <c r="C61" s="95">
        <f>IFERROR(INDEX(Thèmes!$D$2:$D$190,MATCH(B61,Thèmes!$A$2:$A$190,0)),"")</f>
        <v/>
      </c>
      <c r="D61" s="68" t="inlineStr">
        <is>
          <t>C07 · Audience et résultats par réseau (tableau)</t>
        </is>
      </c>
      <c r="E61" s="68" t="inlineStr">
        <is>
          <t>Nouveaux abonnés et désabonnements par mois, par réseau</t>
        </is>
      </c>
      <c r="F61" s="68" t="inlineStr">
        <is>
          <t>Tableau : Nouveaux abonnés · Désabonnements (lignes cadrage: D22)</t>
        </is>
      </c>
      <c r="G61" s="67" t="inlineStr">
        <is>
          <t>Demandée</t>
        </is>
      </c>
      <c r="H61" s="67" t="inlineStr">
        <is>
          <t>Approfondi</t>
        </is>
      </c>
      <c r="I61" s="99" t="inlineStr">
        <is>
          <t>D22 · une ligne par réseau utilisé</t>
        </is>
      </c>
      <c r="J61" s="68" t="inlineStr">
        <is>
          <t>—</t>
        </is>
      </c>
      <c r="K61" s="67" t="inlineStr">
        <is>
          <t>●</t>
        </is>
      </c>
      <c r="L61" s="67" t="inlineStr">
        <is>
          <t>●</t>
        </is>
      </c>
      <c r="M61" s="67" t="inlineStr">
        <is>
          <t>●</t>
        </is>
      </c>
      <c r="N61" s="67" t="inlineStr">
        <is>
          <t>●</t>
        </is>
      </c>
      <c r="O61" s="67" t="inlineStr">
        <is>
          <t>●</t>
        </is>
      </c>
      <c r="P61" s="67" t="inlineStr">
        <is>
          <t>●</t>
        </is>
      </c>
      <c r="Q61" s="67" t="inlineStr">
        <is>
          <t>●</t>
        </is>
      </c>
      <c r="R61" s="67" t="inlineStr">
        <is>
          <t>●</t>
        </is>
      </c>
      <c r="S61" s="68" t="inlineStr">
        <is>
          <t>Problème</t>
        </is>
      </c>
      <c r="T61" s="68" t="inlineStr">
        <is>
          <t>Saisie par le dirigeant tant qu'aucune connexion n'existe. Quand la connexion existera : Statistiques des réseaux</t>
        </is>
      </c>
      <c r="U61" s="68" t="inlineStr">
        <is>
          <t>—</t>
        </is>
      </c>
      <c r="V61" s="68" t="inlineStr">
        <is>
          <t>Lue par l'IA pour adapter le conseil</t>
        </is>
      </c>
      <c r="W61" s="83" t="inlineStr">
        <is>
          <t>Mode : Importée → Demandée (le dirigeant la saisit) · Format de réponse</t>
        </is>
      </c>
    </row>
    <row r="62" ht="23.85" customHeight="1" s="53">
      <c r="A62" s="94" t="inlineStr">
        <is>
          <t>COM-17.03</t>
        </is>
      </c>
      <c r="B62" s="67" t="inlineStr">
        <is>
          <t>COM-17</t>
        </is>
      </c>
      <c r="C62" s="95">
        <f>IFERROR(INDEX(Thèmes!$D$2:$D$190,MATCH(B62,Thèmes!$A$2:$A$190,0)),"")</f>
        <v/>
      </c>
      <c r="D62" s="68" t="inlineStr">
        <is>
          <t>C07 · Audience et résultats par réseau (tableau)</t>
        </is>
      </c>
      <c r="E62" s="68" t="inlineStr">
        <is>
          <t>Part de la portée faite auprès de non-abonnés</t>
        </is>
      </c>
      <c r="F62" s="68" t="inlineStr">
        <is>
          <t>Tableau : Part de non-abonnés (lignes cadrage: D22)</t>
        </is>
      </c>
      <c r="G62" s="67" t="inlineStr">
        <is>
          <t>Demandée</t>
        </is>
      </c>
      <c r="H62" s="67" t="inlineStr">
        <is>
          <t>Approfondi</t>
        </is>
      </c>
      <c r="I62" s="99" t="inlineStr">
        <is>
          <t>D22 · une ligne par réseau utilisé</t>
        </is>
      </c>
      <c r="J62" s="68" t="inlineStr">
        <is>
          <t>—</t>
        </is>
      </c>
      <c r="K62" s="67" t="inlineStr">
        <is>
          <t>●</t>
        </is>
      </c>
      <c r="L62" s="67" t="inlineStr">
        <is>
          <t>●</t>
        </is>
      </c>
      <c r="M62" s="67" t="inlineStr">
        <is>
          <t>●</t>
        </is>
      </c>
      <c r="N62" s="67" t="inlineStr">
        <is>
          <t>●</t>
        </is>
      </c>
      <c r="O62" s="67" t="inlineStr">
        <is>
          <t>●</t>
        </is>
      </c>
      <c r="P62" s="67" t="inlineStr">
        <is>
          <t>●</t>
        </is>
      </c>
      <c r="Q62" s="67" t="inlineStr">
        <is>
          <t>●</t>
        </is>
      </c>
      <c r="R62" s="67" t="inlineStr">
        <is>
          <t>●</t>
        </is>
      </c>
      <c r="S62" s="68" t="inlineStr">
        <is>
          <t>Levier</t>
        </is>
      </c>
      <c r="T62" s="68" t="inlineStr">
        <is>
          <t>Saisie par le dirigeant tant qu'aucune connexion n'existe. Quand la connexion existera : Statistiques des réseaux</t>
        </is>
      </c>
      <c r="U62" s="68" t="inlineStr">
        <is>
          <t>—</t>
        </is>
      </c>
      <c r="V62" s="68" t="inlineStr">
        <is>
          <t>Lue par l'IA pour adapter le conseil</t>
        </is>
      </c>
      <c r="W62" s="83" t="inlineStr">
        <is>
          <t>Mode : Importée → Demandée (le dirigeant la saisit) · Format de réponse</t>
        </is>
      </c>
    </row>
    <row r="63" ht="23.85" customHeight="1" s="53">
      <c r="A63" s="81" t="inlineStr">
        <is>
          <t>COM-17.04</t>
        </is>
      </c>
      <c r="B63" s="67" t="inlineStr">
        <is>
          <t>COM-17</t>
        </is>
      </c>
      <c r="C63" s="95">
        <f>IFERROR(INDEX(Thèmes!$D$2:$D$190,MATCH(B63,Thèmes!$A$2:$A$190,0)),"")</f>
        <v/>
      </c>
      <c r="D63" s="68" t="inlineStr">
        <is>
          <t>—</t>
        </is>
      </c>
      <c r="E63" s="68" t="inlineStr">
        <is>
          <t>Portée moyenne par publication</t>
        </is>
      </c>
      <c r="F63" s="68" t="inlineStr">
        <is>
          <t>Nombre</t>
        </is>
      </c>
      <c r="G63" s="96" t="inlineStr">
        <is>
          <t>Calculée</t>
        </is>
      </c>
      <c r="H63" s="67" t="inlineStr">
        <is>
          <t>—</t>
        </is>
      </c>
      <c r="I63" s="68" t="inlineStr">
        <is>
          <t>—</t>
        </is>
      </c>
      <c r="J63" s="68" t="inlineStr">
        <is>
          <t>—</t>
        </is>
      </c>
      <c r="K63" s="67" t="inlineStr">
        <is>
          <t>●</t>
        </is>
      </c>
      <c r="L63" s="67" t="inlineStr">
        <is>
          <t>●</t>
        </is>
      </c>
      <c r="M63" s="67" t="inlineStr">
        <is>
          <t>●</t>
        </is>
      </c>
      <c r="N63" s="67" t="inlineStr">
        <is>
          <t>●</t>
        </is>
      </c>
      <c r="O63" s="67" t="inlineStr">
        <is>
          <t>●</t>
        </is>
      </c>
      <c r="P63" s="67" t="inlineStr">
        <is>
          <t>●</t>
        </is>
      </c>
      <c r="Q63" s="67" t="inlineStr">
        <is>
          <t>●</t>
        </is>
      </c>
      <c r="R63" s="67" t="inlineStr">
        <is>
          <t>●</t>
        </is>
      </c>
      <c r="S63" s="68" t="inlineStr">
        <is>
          <t>Mesure</t>
        </is>
      </c>
      <c r="T63" s="68" t="inlineStr">
        <is>
          <t>Portée ÷ publications du mois</t>
        </is>
      </c>
      <c r="U63" s="68" t="inlineStr">
        <is>
          <t>COM-17.01, COM-10.01</t>
        </is>
      </c>
      <c r="V63" s="68" t="inlineStr">
        <is>
          <t>XC19, DC02</t>
        </is>
      </c>
      <c r="W63" s="83" t="n"/>
    </row>
    <row r="64" ht="57.45" customHeight="1" s="53">
      <c r="A64" s="81" t="inlineStr">
        <is>
          <t>COM-17.05</t>
        </is>
      </c>
      <c r="B64" s="67" t="inlineStr">
        <is>
          <t>COM-17</t>
        </is>
      </c>
      <c r="C64" s="95">
        <f>IFERROR(INDEX(Thèmes!$D$2:$D$190,MATCH(B64,Thèmes!$A$2:$A$190,0)),"")</f>
        <v/>
      </c>
      <c r="D64" s="68" t="inlineStr">
        <is>
          <t>—</t>
        </is>
      </c>
      <c r="E64" s="68" t="inlineStr">
        <is>
          <t>Portée rapportée aux abonnés</t>
        </is>
      </c>
      <c r="F64" s="68" t="inlineStr">
        <is>
          <t>%</t>
        </is>
      </c>
      <c r="G64" s="96" t="inlineStr">
        <is>
          <t>Calculée</t>
        </is>
      </c>
      <c r="H64" s="67" t="inlineStr">
        <is>
          <t>—</t>
        </is>
      </c>
      <c r="I64" s="68" t="inlineStr">
        <is>
          <t>—</t>
        </is>
      </c>
      <c r="J64" s="68" t="inlineStr">
        <is>
          <t>—</t>
        </is>
      </c>
      <c r="K64" s="67" t="inlineStr">
        <is>
          <t>●</t>
        </is>
      </c>
      <c r="L64" s="67" t="inlineStr">
        <is>
          <t>●</t>
        </is>
      </c>
      <c r="M64" s="67" t="inlineStr">
        <is>
          <t>●</t>
        </is>
      </c>
      <c r="N64" s="67" t="inlineStr">
        <is>
          <t>●</t>
        </is>
      </c>
      <c r="O64" s="67" t="inlineStr">
        <is>
          <t>●</t>
        </is>
      </c>
      <c r="P64" s="67" t="inlineStr">
        <is>
          <t>●</t>
        </is>
      </c>
      <c r="Q64" s="67" t="inlineStr">
        <is>
          <t>●</t>
        </is>
      </c>
      <c r="R64" s="67" t="inlineStr">
        <is>
          <t>●</t>
        </is>
      </c>
      <c r="S64" s="68" t="inlineStr">
        <is>
          <t>Cible</t>
        </is>
      </c>
      <c r="T64" s="68" t="inlineStr">
        <is>
          <t>Portée ÷ abonnés</t>
        </is>
      </c>
      <c r="U64" s="68" t="inlineStr">
        <is>
          <t>COM-17.01</t>
        </is>
      </c>
      <c r="V64" s="68" t="inlineStr">
        <is>
          <t>Affichée dans le rapport</t>
        </is>
      </c>
      <c r="W64" s="83" t="n"/>
    </row>
    <row r="65" ht="23.85" customHeight="1" s="53">
      <c r="A65" s="98" t="inlineStr">
        <is>
          <t>COM-18.01</t>
        </is>
      </c>
      <c r="B65" s="89" t="inlineStr">
        <is>
          <t>COM-18</t>
        </is>
      </c>
      <c r="C65" s="97">
        <f>IFERROR(INDEX(Thèmes!$D$2:$D$190,MATCH(B65,Thèmes!$A$2:$A$190,0)),"")</f>
        <v/>
      </c>
      <c r="D65" s="86" t="inlineStr">
        <is>
          <t>C07 · Audience et résultats par réseau (tableau)</t>
        </is>
      </c>
      <c r="E65" s="86" t="inlineStr">
        <is>
          <t>Pour chaque réseau : réactions par mois — likes, commentaires, partages, sauvegardes, republications, réponses</t>
        </is>
      </c>
      <c r="F65" s="86" t="inlineStr">
        <is>
          <t>Tableau : J'aime · Commentaires · Partages · Enregistrements (lignes cadrage: D22)</t>
        </is>
      </c>
      <c r="G65" s="89" t="inlineStr">
        <is>
          <t>Demandée</t>
        </is>
      </c>
      <c r="H65" s="89" t="inlineStr">
        <is>
          <t>Essentiel</t>
        </is>
      </c>
      <c r="I65" s="100" t="inlineStr">
        <is>
          <t>D22 · une ligne par réseau utilisé</t>
        </is>
      </c>
      <c r="J65" s="86" t="inlineStr">
        <is>
          <t>—</t>
        </is>
      </c>
      <c r="K65" s="89" t="inlineStr">
        <is>
          <t>●</t>
        </is>
      </c>
      <c r="L65" s="89" t="inlineStr">
        <is>
          <t>●</t>
        </is>
      </c>
      <c r="M65" s="89" t="inlineStr">
        <is>
          <t>●</t>
        </is>
      </c>
      <c r="N65" s="89" t="inlineStr">
        <is>
          <t>●</t>
        </is>
      </c>
      <c r="O65" s="89" t="inlineStr">
        <is>
          <t>●</t>
        </is>
      </c>
      <c r="P65" s="89" t="inlineStr">
        <is>
          <t>●</t>
        </is>
      </c>
      <c r="Q65" s="89" t="inlineStr">
        <is>
          <t>●</t>
        </is>
      </c>
      <c r="R65" s="89" t="inlineStr">
        <is>
          <t>●</t>
        </is>
      </c>
      <c r="S65" s="86" t="inlineStr">
        <is>
          <t>Parcours</t>
        </is>
      </c>
      <c r="T65" s="86" t="inlineStr">
        <is>
          <t>Saisie par le dirigeant tant qu'aucune connexion n'existe. Quand la connexion existera : Statistiques des réseaux ; sinon total estimé</t>
        </is>
      </c>
      <c r="U65" s="86" t="inlineStr">
        <is>
          <t>—</t>
        </is>
      </c>
      <c r="V65" s="86" t="inlineStr">
        <is>
          <t>COM-18.02, COM-18.03, COM-36.01, XC01</t>
        </is>
      </c>
      <c r="W65" s="91" t="inlineStr">
        <is>
          <t>Mode : Importée → Demandée (le dirigeant la saisit) · Format de réponse</t>
        </is>
      </c>
    </row>
    <row r="66" ht="23.85" customHeight="1" s="53">
      <c r="A66" s="81" t="inlineStr">
        <is>
          <t>COM-18.02</t>
        </is>
      </c>
      <c r="B66" s="67" t="inlineStr">
        <is>
          <t>COM-18</t>
        </is>
      </c>
      <c r="C66" s="95">
        <f>IFERROR(INDEX(Thèmes!$D$2:$D$190,MATCH(B66,Thèmes!$A$2:$A$190,0)),"")</f>
        <v/>
      </c>
      <c r="D66" s="68" t="inlineStr">
        <is>
          <t>—</t>
        </is>
      </c>
      <c r="E66" s="68" t="inlineStr">
        <is>
          <t>Réactions par publication</t>
        </is>
      </c>
      <c r="F66" s="68" t="inlineStr">
        <is>
          <t>Nombre</t>
        </is>
      </c>
      <c r="G66" s="96" t="inlineStr">
        <is>
          <t>Calculée</t>
        </is>
      </c>
      <c r="H66" s="67" t="inlineStr">
        <is>
          <t>—</t>
        </is>
      </c>
      <c r="I66" s="68" t="inlineStr">
        <is>
          <t>—</t>
        </is>
      </c>
      <c r="J66" s="68" t="inlineStr">
        <is>
          <t>—</t>
        </is>
      </c>
      <c r="K66" s="67" t="inlineStr">
        <is>
          <t>●</t>
        </is>
      </c>
      <c r="L66" s="67" t="inlineStr">
        <is>
          <t>●</t>
        </is>
      </c>
      <c r="M66" s="67" t="inlineStr">
        <is>
          <t>●</t>
        </is>
      </c>
      <c r="N66" s="67" t="inlineStr">
        <is>
          <t>●</t>
        </is>
      </c>
      <c r="O66" s="67" t="inlineStr">
        <is>
          <t>●</t>
        </is>
      </c>
      <c r="P66" s="67" t="inlineStr">
        <is>
          <t>●</t>
        </is>
      </c>
      <c r="Q66" s="67" t="inlineStr">
        <is>
          <t>●</t>
        </is>
      </c>
      <c r="R66" s="67" t="inlineStr">
        <is>
          <t>●</t>
        </is>
      </c>
      <c r="S66" s="68" t="inlineStr">
        <is>
          <t>Mesure</t>
        </is>
      </c>
      <c r="T66" s="68" t="inlineStr">
        <is>
          <t>Réactions ÷ publications</t>
        </is>
      </c>
      <c r="U66" s="68" t="inlineStr">
        <is>
          <t>COM-18.01, COM-10.01</t>
        </is>
      </c>
      <c r="V66" s="68" t="inlineStr">
        <is>
          <t>XC19</t>
        </is>
      </c>
      <c r="W66" s="83" t="n"/>
    </row>
    <row r="67" ht="46.25" customHeight="1" s="53">
      <c r="A67" s="81" t="inlineStr">
        <is>
          <t>COM-18.03</t>
        </is>
      </c>
      <c r="B67" s="67" t="inlineStr">
        <is>
          <t>COM-18</t>
        </is>
      </c>
      <c r="C67" s="95">
        <f>IFERROR(INDEX(Thèmes!$D$2:$D$190,MATCH(B67,Thèmes!$A$2:$A$190,0)),"")</f>
        <v/>
      </c>
      <c r="D67" s="68" t="inlineStr">
        <is>
          <t>—</t>
        </is>
      </c>
      <c r="E67" s="68" t="inlineStr">
        <is>
          <t>Part des réactions fortes (commentaires, partages, sauvegardes)</t>
        </is>
      </c>
      <c r="F67" s="68" t="inlineStr">
        <is>
          <t>%</t>
        </is>
      </c>
      <c r="G67" s="96" t="inlineStr">
        <is>
          <t>Calculée</t>
        </is>
      </c>
      <c r="H67" s="67" t="inlineStr">
        <is>
          <t>—</t>
        </is>
      </c>
      <c r="I67" s="68" t="inlineStr">
        <is>
          <t>—</t>
        </is>
      </c>
      <c r="J67" s="68" t="inlineStr">
        <is>
          <t>—</t>
        </is>
      </c>
      <c r="K67" s="67" t="inlineStr">
        <is>
          <t>●</t>
        </is>
      </c>
      <c r="L67" s="67" t="inlineStr">
        <is>
          <t>●</t>
        </is>
      </c>
      <c r="M67" s="67" t="inlineStr">
        <is>
          <t>●</t>
        </is>
      </c>
      <c r="N67" s="67" t="inlineStr">
        <is>
          <t>●</t>
        </is>
      </c>
      <c r="O67" s="67" t="inlineStr">
        <is>
          <t>●</t>
        </is>
      </c>
      <c r="P67" s="67" t="inlineStr">
        <is>
          <t>●</t>
        </is>
      </c>
      <c r="Q67" s="67" t="inlineStr">
        <is>
          <t>●</t>
        </is>
      </c>
      <c r="R67" s="67" t="inlineStr">
        <is>
          <t>●</t>
        </is>
      </c>
      <c r="S67" s="68" t="inlineStr">
        <is>
          <t>Levier</t>
        </is>
      </c>
      <c r="T67" s="68" t="inlineStr">
        <is>
          <t>Réactions fortes ÷ réactions totales</t>
        </is>
      </c>
      <c r="U67" s="68" t="inlineStr">
        <is>
          <t>COM-18.01</t>
        </is>
      </c>
      <c r="V67" s="68" t="inlineStr">
        <is>
          <t>XC19</t>
        </is>
      </c>
      <c r="W67" s="83" t="n"/>
    </row>
    <row r="68" ht="23.85" customHeight="1" s="53">
      <c r="A68" s="98" t="inlineStr">
        <is>
          <t>COM-19.01</t>
        </is>
      </c>
      <c r="B68" s="89" t="inlineStr">
        <is>
          <t>COM-19</t>
        </is>
      </c>
      <c r="C68" s="97">
        <f>IFERROR(INDEX(Thèmes!$D$2:$D$190,MATCH(B68,Thèmes!$A$2:$A$190,0)),"")</f>
        <v/>
      </c>
      <c r="D68" s="86" t="inlineStr">
        <is>
          <t>C07 · Audience et résultats par réseau (tableau)</t>
        </is>
      </c>
      <c r="E68" s="86" t="inlineStr">
        <is>
          <t>Pour chaque réseau : clics par mois, et destination principale — site, fiche Google, formulaire, prise de rendez-vous, téléphone, WhatsApp, email, page produit ou offre</t>
        </is>
      </c>
      <c r="F68" s="86" t="inlineStr">
        <is>
          <t>Tableau : Clics par mois · Destination principale (lignes cadrage: D22)</t>
        </is>
      </c>
      <c r="G68" s="89" t="inlineStr">
        <is>
          <t>Demandée</t>
        </is>
      </c>
      <c r="H68" s="89" t="inlineStr">
        <is>
          <t>Essentiel</t>
        </is>
      </c>
      <c r="I68" s="100" t="inlineStr">
        <is>
          <t>D22 · une ligne par réseau utilisé</t>
        </is>
      </c>
      <c r="J68" s="86" t="inlineStr">
        <is>
          <t>—</t>
        </is>
      </c>
      <c r="K68" s="89" t="inlineStr">
        <is>
          <t>●</t>
        </is>
      </c>
      <c r="L68" s="89" t="inlineStr">
        <is>
          <t>●</t>
        </is>
      </c>
      <c r="M68" s="89" t="inlineStr">
        <is>
          <t>●</t>
        </is>
      </c>
      <c r="N68" s="89" t="inlineStr">
        <is>
          <t>●</t>
        </is>
      </c>
      <c r="O68" s="89" t="inlineStr">
        <is>
          <t>●</t>
        </is>
      </c>
      <c r="P68" s="89" t="inlineStr">
        <is>
          <t>●</t>
        </is>
      </c>
      <c r="Q68" s="89" t="inlineStr">
        <is>
          <t>●</t>
        </is>
      </c>
      <c r="R68" s="89" t="inlineStr">
        <is>
          <t>●</t>
        </is>
      </c>
      <c r="S68" s="86" t="inlineStr">
        <is>
          <t>Parcours</t>
        </is>
      </c>
      <c r="T68" s="86" t="inlineStr">
        <is>
          <t>Saisie par le dirigeant tant qu'aucune connexion n'existe. Quand la connexion existera : Statistiques des réseaux ; sinon estimation</t>
        </is>
      </c>
      <c r="U68" s="86" t="inlineStr">
        <is>
          <t>—</t>
        </is>
      </c>
      <c r="V68" s="86" t="inlineStr">
        <is>
          <t>COM-19.02, COM-19.03, XC01, XC09</t>
        </is>
      </c>
      <c r="W68" s="91" t="inlineStr">
        <is>
          <t>Mode : Importée → Demandée (le dirigeant la saisit) · Format de réponse</t>
        </is>
      </c>
    </row>
    <row r="69" ht="23.85" customHeight="1" s="53">
      <c r="A69" s="81" t="inlineStr">
        <is>
          <t>COM-19.02</t>
        </is>
      </c>
      <c r="B69" s="67" t="inlineStr">
        <is>
          <t>COM-19</t>
        </is>
      </c>
      <c r="C69" s="95">
        <f>IFERROR(INDEX(Thèmes!$D$2:$D$190,MATCH(B69,Thèmes!$A$2:$A$190,0)),"")</f>
        <v/>
      </c>
      <c r="D69" s="68" t="inlineStr">
        <is>
          <t>—</t>
        </is>
      </c>
      <c r="E69" s="68" t="inlineStr">
        <is>
          <t>Taux de clic</t>
        </is>
      </c>
      <c r="F69" s="68" t="inlineStr">
        <is>
          <t>%</t>
        </is>
      </c>
      <c r="G69" s="96" t="inlineStr">
        <is>
          <t>Calculée</t>
        </is>
      </c>
      <c r="H69" s="67" t="inlineStr">
        <is>
          <t>—</t>
        </is>
      </c>
      <c r="I69" s="68" t="inlineStr">
        <is>
          <t>—</t>
        </is>
      </c>
      <c r="J69" s="68" t="inlineStr">
        <is>
          <t>—</t>
        </is>
      </c>
      <c r="K69" s="67" t="inlineStr">
        <is>
          <t>●</t>
        </is>
      </c>
      <c r="L69" s="67" t="inlineStr">
        <is>
          <t>●</t>
        </is>
      </c>
      <c r="M69" s="67" t="inlineStr">
        <is>
          <t>●</t>
        </is>
      </c>
      <c r="N69" s="67" t="inlineStr">
        <is>
          <t>●</t>
        </is>
      </c>
      <c r="O69" s="67" t="inlineStr">
        <is>
          <t>●</t>
        </is>
      </c>
      <c r="P69" s="67" t="inlineStr">
        <is>
          <t>●</t>
        </is>
      </c>
      <c r="Q69" s="67" t="inlineStr">
        <is>
          <t>●</t>
        </is>
      </c>
      <c r="R69" s="67" t="inlineStr">
        <is>
          <t>●</t>
        </is>
      </c>
      <c r="S69" s="68" t="inlineStr">
        <is>
          <t>Cible</t>
        </is>
      </c>
      <c r="T69" s="68" t="inlineStr">
        <is>
          <t>Clics ÷ portée</t>
        </is>
      </c>
      <c r="U69" s="68" t="inlineStr">
        <is>
          <t>COM-19.01, COM-17.01</t>
        </is>
      </c>
      <c r="V69" s="68" t="inlineStr">
        <is>
          <t>XC06, XC19, DC02, DC06, DC08</t>
        </is>
      </c>
      <c r="W69" s="83" t="n"/>
    </row>
    <row r="70" ht="35.05" customHeight="1" s="53">
      <c r="A70" s="81" t="inlineStr">
        <is>
          <t>COM-19.03</t>
        </is>
      </c>
      <c r="B70" s="67" t="inlineStr">
        <is>
          <t>COM-19</t>
        </is>
      </c>
      <c r="C70" s="95">
        <f>IFERROR(INDEX(Thèmes!$D$2:$D$190,MATCH(B70,Thèmes!$A$2:$A$190,0)),"")</f>
        <v/>
      </c>
      <c r="D70" s="68" t="inlineStr">
        <is>
          <t>—</t>
        </is>
      </c>
      <c r="E70" s="68" t="inlineStr">
        <is>
          <t>Conversion du trafic social</t>
        </is>
      </c>
      <c r="F70" s="68" t="inlineStr">
        <is>
          <t>%</t>
        </is>
      </c>
      <c r="G70" s="96" t="inlineStr">
        <is>
          <t>Calculée</t>
        </is>
      </c>
      <c r="H70" s="67" t="inlineStr">
        <is>
          <t>—</t>
        </is>
      </c>
      <c r="I70" s="68" t="inlineStr">
        <is>
          <t>—</t>
        </is>
      </c>
      <c r="J70" s="68" t="inlineStr">
        <is>
          <t>—</t>
        </is>
      </c>
      <c r="K70" s="67" t="inlineStr">
        <is>
          <t>●</t>
        </is>
      </c>
      <c r="L70" s="67" t="inlineStr">
        <is>
          <t>●</t>
        </is>
      </c>
      <c r="M70" s="67" t="inlineStr">
        <is>
          <t>●</t>
        </is>
      </c>
      <c r="N70" s="67" t="inlineStr">
        <is>
          <t>●</t>
        </is>
      </c>
      <c r="O70" s="67" t="inlineStr">
        <is>
          <t>●</t>
        </is>
      </c>
      <c r="P70" s="67" t="inlineStr">
        <is>
          <t>●</t>
        </is>
      </c>
      <c r="Q70" s="67" t="inlineStr">
        <is>
          <t>●</t>
        </is>
      </c>
      <c r="R70" s="67" t="inlineStr">
        <is>
          <t>●</t>
        </is>
      </c>
      <c r="S70" s="68" t="inlineStr">
        <is>
          <t>Problème</t>
        </is>
      </c>
      <c r="T70" s="68" t="inlineStr">
        <is>
          <t>Demandes venant des réseaux ÷ clics</t>
        </is>
      </c>
      <c r="U70" s="68" t="inlineStr">
        <is>
          <t>ACQ-03.02, COM-19.01</t>
        </is>
      </c>
      <c r="V70" s="68" t="inlineStr">
        <is>
          <t>XC09, DC06, DC07</t>
        </is>
      </c>
      <c r="W70" s="83" t="n"/>
    </row>
    <row r="71" ht="23.85" customHeight="1" s="53">
      <c r="A71" s="85" t="inlineStr">
        <is>
          <t>COM-20.01</t>
        </is>
      </c>
      <c r="B71" s="89" t="inlineStr">
        <is>
          <t>COM-20</t>
        </is>
      </c>
      <c r="C71" s="97">
        <f>IFERROR(INDEX(Thèmes!$D$2:$D$190,MATCH(B71,Thèmes!$A$2:$A$190,0)),"")</f>
        <v/>
      </c>
      <c r="D71" s="86" t="inlineStr">
        <is>
          <t>—</t>
        </is>
      </c>
      <c r="E71" s="86" t="inlineStr">
        <is>
          <t>Part des publications avec un appel à l'action clair, et où il mène</t>
        </is>
      </c>
      <c r="F71" s="86" t="inlineStr">
        <is>
          <t>% et liste</t>
        </is>
      </c>
      <c r="G71" s="102" t="inlineStr">
        <is>
          <t>Calculée</t>
        </is>
      </c>
      <c r="H71" s="89" t="inlineStr">
        <is>
          <t>—</t>
        </is>
      </c>
      <c r="I71" s="86" t="inlineStr">
        <is>
          <t>—</t>
        </is>
      </c>
      <c r="J71" s="86" t="inlineStr">
        <is>
          <t>—</t>
        </is>
      </c>
      <c r="K71" s="89" t="inlineStr">
        <is>
          <t>●</t>
        </is>
      </c>
      <c r="L71" s="89" t="inlineStr">
        <is>
          <t>●</t>
        </is>
      </c>
      <c r="M71" s="89" t="inlineStr">
        <is>
          <t>●</t>
        </is>
      </c>
      <c r="N71" s="89" t="inlineStr">
        <is>
          <t>●</t>
        </is>
      </c>
      <c r="O71" s="89" t="inlineStr">
        <is>
          <t>●</t>
        </is>
      </c>
      <c r="P71" s="89" t="inlineStr">
        <is>
          <t>●</t>
        </is>
      </c>
      <c r="Q71" s="89" t="inlineStr">
        <is>
          <t>●</t>
        </is>
      </c>
      <c r="R71" s="89" t="inlineStr">
        <is>
          <t>●</t>
        </is>
      </c>
      <c r="S71" s="86" t="inlineStr">
        <is>
          <t>Problème</t>
        </is>
      </c>
      <c r="T71" s="86" t="inlineStr">
        <is>
          <t>Publications notées « oui » sur le critère appel à l'action ÷ publications analysées ; destinations repérées par l'IA</t>
        </is>
      </c>
      <c r="U71" s="86" t="inlineStr">
        <is>
          <t>COM-53.01, COM-39.02</t>
        </is>
      </c>
      <c r="V71" s="86" t="inlineStr">
        <is>
          <t>COM-24.02</t>
        </is>
      </c>
      <c r="W71" s="91" t="n"/>
    </row>
    <row r="72" ht="23.85" customHeight="1" s="53">
      <c r="A72" s="98" t="inlineStr">
        <is>
          <t>COM-21.01</t>
        </is>
      </c>
      <c r="B72" s="89" t="inlineStr">
        <is>
          <t>COM-21</t>
        </is>
      </c>
      <c r="C72" s="97">
        <f>IFERROR(INDEX(Thèmes!$D$2:$D$190,MATCH(B72,Thèmes!$A$2:$A$190,0)),"")</f>
        <v/>
      </c>
      <c r="D72" s="86" t="inlineStr">
        <is>
          <t>C08 · Votre offre d'appel</t>
        </is>
      </c>
      <c r="E72" s="86" t="inlineStr">
        <is>
          <t>Offre d'appel — déclencheur D25 (« Non, rien » masque COM-21.02 à 21.04)</t>
        </is>
      </c>
      <c r="F72" s="86" t="inlineStr">
        <is>
          <t>Choix</t>
        </is>
      </c>
      <c r="G72" s="89" t="inlineStr">
        <is>
          <t>Demandée</t>
        </is>
      </c>
      <c r="H72" s="89" t="inlineStr">
        <is>
          <t>Essentiel</t>
        </is>
      </c>
      <c r="I72" s="86" t="inlineStr">
        <is>
          <t>—</t>
        </is>
      </c>
      <c r="J72" s="86" t="inlineStr">
        <is>
          <t>—</t>
        </is>
      </c>
      <c r="K72" s="89" t="inlineStr">
        <is>
          <t>●</t>
        </is>
      </c>
      <c r="L72" s="89" t="inlineStr">
        <is>
          <t>●</t>
        </is>
      </c>
      <c r="M72" s="89" t="inlineStr">
        <is>
          <t>●</t>
        </is>
      </c>
      <c r="N72" s="89" t="inlineStr">
        <is>
          <t>●</t>
        </is>
      </c>
      <c r="O72" s="89" t="inlineStr">
        <is>
          <t>●</t>
        </is>
      </c>
      <c r="P72" s="89" t="inlineStr">
        <is>
          <t>●</t>
        </is>
      </c>
      <c r="Q72" s="89" t="inlineStr">
        <is>
          <t>●</t>
        </is>
      </c>
      <c r="R72" s="89" t="inlineStr">
        <is>
          <t>●</t>
        </is>
      </c>
      <c r="S72" s="86" t="inlineStr">
        <is>
          <t>Levier</t>
        </is>
      </c>
      <c r="T72" s="86" t="inlineStr">
        <is>
          <t>—</t>
        </is>
      </c>
      <c r="U72" s="86" t="inlineStr">
        <is>
          <t>—</t>
        </is>
      </c>
      <c r="V72" s="86" t="inlineStr">
        <is>
          <t>COM-24.02, DC08, DC13</t>
        </is>
      </c>
      <c r="W72" s="91" t="inlineStr">
        <is>
          <t>Libellé (« Donnée »)</t>
        </is>
      </c>
    </row>
    <row r="73" ht="23.85" customHeight="1" s="53">
      <c r="A73" s="81" t="inlineStr">
        <is>
          <t>COM-21.02</t>
        </is>
      </c>
      <c r="B73" s="67" t="inlineStr">
        <is>
          <t>COM-21</t>
        </is>
      </c>
      <c r="C73" s="95">
        <f>IFERROR(INDEX(Thèmes!$D$2:$D$190,MATCH(B73,Thèmes!$A$2:$A$190,0)),"")</f>
        <v/>
      </c>
      <c r="D73" s="68" t="inlineStr">
        <is>
          <t>C08 · Votre offre d'appel</t>
        </is>
      </c>
      <c r="E73" s="68" t="inlineStr">
        <is>
          <t>Par mois : visiteurs de la page de l'offre, contacts récoltés, contacts qualifiés, rendez-vous, clients</t>
        </is>
      </c>
      <c r="F73" s="68" t="inlineStr">
        <is>
          <t>Tableau 5 nombres</t>
        </is>
      </c>
      <c r="G73" s="67" t="inlineStr">
        <is>
          <t>Demandée</t>
        </is>
      </c>
      <c r="H73" s="67" t="inlineStr">
        <is>
          <t>Essentiel</t>
        </is>
      </c>
      <c r="I73" s="99" t="inlineStr">
        <is>
          <t>D25 · si offre d'appel</t>
        </is>
      </c>
      <c r="J73" s="68" t="inlineStr">
        <is>
          <t>—</t>
        </is>
      </c>
      <c r="K73" s="67" t="inlineStr">
        <is>
          <t>●</t>
        </is>
      </c>
      <c r="L73" s="67" t="inlineStr">
        <is>
          <t>●</t>
        </is>
      </c>
      <c r="M73" s="67" t="inlineStr">
        <is>
          <t>●</t>
        </is>
      </c>
      <c r="N73" s="67" t="inlineStr">
        <is>
          <t>●</t>
        </is>
      </c>
      <c r="O73" s="67" t="inlineStr">
        <is>
          <t>●</t>
        </is>
      </c>
      <c r="P73" s="67" t="inlineStr">
        <is>
          <t>●</t>
        </is>
      </c>
      <c r="Q73" s="67" t="inlineStr">
        <is>
          <t>●</t>
        </is>
      </c>
      <c r="R73" s="67" t="inlineStr">
        <is>
          <t>●</t>
        </is>
      </c>
      <c r="S73" s="68" t="inlineStr">
        <is>
          <t>Parcours</t>
        </is>
      </c>
      <c r="T73" s="68" t="inlineStr">
        <is>
          <t>—</t>
        </is>
      </c>
      <c r="U73" s="68" t="inlineStr">
        <is>
          <t>—</t>
        </is>
      </c>
      <c r="V73" s="68" t="inlineStr">
        <is>
          <t>COM-21.05, COM-21.06, COM-21.07, COM-21.08</t>
        </is>
      </c>
      <c r="W73" s="83" t="n"/>
    </row>
    <row r="74" ht="23.85" customHeight="1" s="53">
      <c r="A74" s="81" t="inlineStr">
        <is>
          <t>COM-21.03</t>
        </is>
      </c>
      <c r="B74" s="67" t="inlineStr">
        <is>
          <t>COM-21</t>
        </is>
      </c>
      <c r="C74" s="95">
        <f>IFERROR(INDEX(Thèmes!$D$2:$D$190,MATCH(B74,Thèmes!$A$2:$A$190,0)),"")</f>
        <v/>
      </c>
      <c r="D74" s="68" t="inlineStr">
        <is>
          <t>C08 · Votre offre d'appel</t>
        </is>
      </c>
      <c r="E74" s="68" t="inlineStr">
        <is>
          <t>Coût de promotion de l'offre par mois</t>
        </is>
      </c>
      <c r="F74" s="68" t="inlineStr">
        <is>
          <t>€</t>
        </is>
      </c>
      <c r="G74" s="67" t="inlineStr">
        <is>
          <t>Demandée</t>
        </is>
      </c>
      <c r="H74" s="67" t="inlineStr">
        <is>
          <t>Approfondi</t>
        </is>
      </c>
      <c r="I74" s="99" t="inlineStr">
        <is>
          <t>D25 · si offre d'appel</t>
        </is>
      </c>
      <c r="J74" s="68" t="inlineStr">
        <is>
          <t>—</t>
        </is>
      </c>
      <c r="K74" s="67" t="inlineStr">
        <is>
          <t>●</t>
        </is>
      </c>
      <c r="L74" s="67" t="inlineStr">
        <is>
          <t>●</t>
        </is>
      </c>
      <c r="M74" s="67" t="inlineStr">
        <is>
          <t>●</t>
        </is>
      </c>
      <c r="N74" s="67" t="inlineStr">
        <is>
          <t>●</t>
        </is>
      </c>
      <c r="O74" s="67" t="inlineStr">
        <is>
          <t>●</t>
        </is>
      </c>
      <c r="P74" s="67" t="inlineStr">
        <is>
          <t>●</t>
        </is>
      </c>
      <c r="Q74" s="67" t="inlineStr">
        <is>
          <t>●</t>
        </is>
      </c>
      <c r="R74" s="67" t="inlineStr">
        <is>
          <t>●</t>
        </is>
      </c>
      <c r="S74" s="68" t="inlineStr">
        <is>
          <t>Perte</t>
        </is>
      </c>
      <c r="T74" s="68" t="inlineStr">
        <is>
          <t>—</t>
        </is>
      </c>
      <c r="U74" s="68" t="inlineStr">
        <is>
          <t>—</t>
        </is>
      </c>
      <c r="V74" s="68" t="inlineStr">
        <is>
          <t>COM-21.08</t>
        </is>
      </c>
      <c r="W74" s="83" t="n"/>
    </row>
    <row r="75" ht="23.85" customHeight="1" s="53">
      <c r="A75" s="81" t="inlineStr">
        <is>
          <t>COM-21.04</t>
        </is>
      </c>
      <c r="B75" s="67" t="inlineStr">
        <is>
          <t>COM-21</t>
        </is>
      </c>
      <c r="C75" s="95">
        <f>IFERROR(INDEX(Thèmes!$D$2:$D$190,MATCH(B75,Thèmes!$A$2:$A$190,0)),"")</f>
        <v/>
      </c>
      <c r="D75" s="68" t="inlineStr">
        <is>
          <t>C08 · Votre offre d'appel</t>
        </is>
      </c>
      <c r="E75" s="68" t="inlineStr">
        <is>
          <t>Source principale des contacts récoltés</t>
        </is>
      </c>
      <c r="F75" s="68" t="inlineStr">
        <is>
          <t>Choix</t>
        </is>
      </c>
      <c r="G75" s="67" t="inlineStr">
        <is>
          <t>Demandée</t>
        </is>
      </c>
      <c r="H75" s="67" t="inlineStr">
        <is>
          <t>Approfondi</t>
        </is>
      </c>
      <c r="I75" s="99" t="inlineStr">
        <is>
          <t>D25 · si offre d'appel</t>
        </is>
      </c>
      <c r="J75" s="68" t="inlineStr">
        <is>
          <t>—</t>
        </is>
      </c>
      <c r="K75" s="67" t="inlineStr">
        <is>
          <t>●</t>
        </is>
      </c>
      <c r="L75" s="67" t="inlineStr">
        <is>
          <t>●</t>
        </is>
      </c>
      <c r="M75" s="67" t="inlineStr">
        <is>
          <t>●</t>
        </is>
      </c>
      <c r="N75" s="67" t="inlineStr">
        <is>
          <t>●</t>
        </is>
      </c>
      <c r="O75" s="67" t="inlineStr">
        <is>
          <t>●</t>
        </is>
      </c>
      <c r="P75" s="67" t="inlineStr">
        <is>
          <t>●</t>
        </is>
      </c>
      <c r="Q75" s="67" t="inlineStr">
        <is>
          <t>●</t>
        </is>
      </c>
      <c r="R75" s="67" t="inlineStr">
        <is>
          <t>●</t>
        </is>
      </c>
      <c r="S75" s="68" t="inlineStr">
        <is>
          <t>Levier</t>
        </is>
      </c>
      <c r="T75" s="68" t="inlineStr">
        <is>
          <t>—</t>
        </is>
      </c>
      <c r="U75" s="68" t="inlineStr">
        <is>
          <t>—</t>
        </is>
      </c>
      <c r="V75" s="68" t="inlineStr">
        <is>
          <t>Lue par l'IA pour adapter le conseil</t>
        </is>
      </c>
      <c r="W75" s="83" t="n"/>
    </row>
    <row r="76" ht="23.85" customHeight="1" s="53">
      <c r="A76" s="81" t="inlineStr">
        <is>
          <t>COM-21.05</t>
        </is>
      </c>
      <c r="B76" s="67" t="inlineStr">
        <is>
          <t>COM-21</t>
        </is>
      </c>
      <c r="C76" s="95">
        <f>IFERROR(INDEX(Thèmes!$D$2:$D$190,MATCH(B76,Thèmes!$A$2:$A$190,0)),"")</f>
        <v/>
      </c>
      <c r="D76" s="68" t="inlineStr">
        <is>
          <t>—</t>
        </is>
      </c>
      <c r="E76" s="68" t="inlineStr">
        <is>
          <t>Conversion de l'offre d'appel</t>
        </is>
      </c>
      <c r="F76" s="68" t="inlineStr">
        <is>
          <t>%</t>
        </is>
      </c>
      <c r="G76" s="96" t="inlineStr">
        <is>
          <t>Calculée</t>
        </is>
      </c>
      <c r="H76" s="67" t="inlineStr">
        <is>
          <t>—</t>
        </is>
      </c>
      <c r="I76" s="68" t="inlineStr">
        <is>
          <t>—</t>
        </is>
      </c>
      <c r="J76" s="68" t="inlineStr">
        <is>
          <t>—</t>
        </is>
      </c>
      <c r="K76" s="67" t="inlineStr">
        <is>
          <t>●</t>
        </is>
      </c>
      <c r="L76" s="67" t="inlineStr">
        <is>
          <t>●</t>
        </is>
      </c>
      <c r="M76" s="67" t="inlineStr">
        <is>
          <t>●</t>
        </is>
      </c>
      <c r="N76" s="67" t="inlineStr">
        <is>
          <t>●</t>
        </is>
      </c>
      <c r="O76" s="67" t="inlineStr">
        <is>
          <t>●</t>
        </is>
      </c>
      <c r="P76" s="67" t="inlineStr">
        <is>
          <t>●</t>
        </is>
      </c>
      <c r="Q76" s="67" t="inlineStr">
        <is>
          <t>●</t>
        </is>
      </c>
      <c r="R76" s="67" t="inlineStr">
        <is>
          <t>●</t>
        </is>
      </c>
      <c r="S76" s="68" t="inlineStr">
        <is>
          <t>Cible</t>
        </is>
      </c>
      <c r="T76" s="68" t="inlineStr">
        <is>
          <t>Contacts récoltés ÷ visiteurs de l'offre</t>
        </is>
      </c>
      <c r="U76" s="68" t="inlineStr">
        <is>
          <t>COM-21.02</t>
        </is>
      </c>
      <c r="V76" s="68" t="inlineStr">
        <is>
          <t>XC11</t>
        </is>
      </c>
      <c r="W76" s="83" t="n"/>
    </row>
    <row r="77" ht="23.85" customHeight="1" s="53">
      <c r="A77" s="81" t="inlineStr">
        <is>
          <t>COM-21.06</t>
        </is>
      </c>
      <c r="B77" s="67" t="inlineStr">
        <is>
          <t>COM-21</t>
        </is>
      </c>
      <c r="C77" s="95">
        <f>IFERROR(INDEX(Thèmes!$D$2:$D$190,MATCH(B77,Thèmes!$A$2:$A$190,0)),"")</f>
        <v/>
      </c>
      <c r="D77" s="68" t="inlineStr">
        <is>
          <t>—</t>
        </is>
      </c>
      <c r="E77" s="68" t="inlineStr">
        <is>
          <t>Transformation contact récolté → client</t>
        </is>
      </c>
      <c r="F77" s="68" t="inlineStr">
        <is>
          <t>%</t>
        </is>
      </c>
      <c r="G77" s="96" t="inlineStr">
        <is>
          <t>Calculée</t>
        </is>
      </c>
      <c r="H77" s="67" t="inlineStr">
        <is>
          <t>—</t>
        </is>
      </c>
      <c r="I77" s="68" t="inlineStr">
        <is>
          <t>—</t>
        </is>
      </c>
      <c r="J77" s="68" t="inlineStr">
        <is>
          <t>—</t>
        </is>
      </c>
      <c r="K77" s="67" t="inlineStr">
        <is>
          <t>●</t>
        </is>
      </c>
      <c r="L77" s="67" t="inlineStr">
        <is>
          <t>●</t>
        </is>
      </c>
      <c r="M77" s="67" t="inlineStr">
        <is>
          <t>●</t>
        </is>
      </c>
      <c r="N77" s="67" t="inlineStr">
        <is>
          <t>●</t>
        </is>
      </c>
      <c r="O77" s="67" t="inlineStr">
        <is>
          <t>●</t>
        </is>
      </c>
      <c r="P77" s="67" t="inlineStr">
        <is>
          <t>●</t>
        </is>
      </c>
      <c r="Q77" s="67" t="inlineStr">
        <is>
          <t>●</t>
        </is>
      </c>
      <c r="R77" s="67" t="inlineStr">
        <is>
          <t>●</t>
        </is>
      </c>
      <c r="S77" s="68" t="inlineStr">
        <is>
          <t>Problème</t>
        </is>
      </c>
      <c r="T77" s="68" t="inlineStr">
        <is>
          <t>Clients ÷ contacts récoltés</t>
        </is>
      </c>
      <c r="U77" s="68" t="inlineStr">
        <is>
          <t>COM-21.02</t>
        </is>
      </c>
      <c r="V77" s="68" t="inlineStr">
        <is>
          <t>XC11</t>
        </is>
      </c>
      <c r="W77" s="83" t="n"/>
    </row>
    <row r="78" ht="23.85" customHeight="1" s="53">
      <c r="A78" s="81" t="inlineStr">
        <is>
          <t>COM-21.07</t>
        </is>
      </c>
      <c r="B78" s="67" t="inlineStr">
        <is>
          <t>COM-21</t>
        </is>
      </c>
      <c r="C78" s="95">
        <f>IFERROR(INDEX(Thèmes!$D$2:$D$190,MATCH(B78,Thèmes!$A$2:$A$190,0)),"")</f>
        <v/>
      </c>
      <c r="D78" s="68" t="inlineStr">
        <is>
          <t>—</t>
        </is>
      </c>
      <c r="E78" s="68" t="inlineStr">
        <is>
          <t>CA généré par l'offre d'appel</t>
        </is>
      </c>
      <c r="F78" s="68" t="inlineStr">
        <is>
          <t>€</t>
        </is>
      </c>
      <c r="G78" s="96" t="inlineStr">
        <is>
          <t>Calculée</t>
        </is>
      </c>
      <c r="H78" s="67" t="inlineStr">
        <is>
          <t>—</t>
        </is>
      </c>
      <c r="I78" s="68" t="inlineStr">
        <is>
          <t>—</t>
        </is>
      </c>
      <c r="J78" s="68" t="inlineStr">
        <is>
          <t>—</t>
        </is>
      </c>
      <c r="K78" s="67" t="inlineStr">
        <is>
          <t>●</t>
        </is>
      </c>
      <c r="L78" s="67" t="inlineStr">
        <is>
          <t>●</t>
        </is>
      </c>
      <c r="M78" s="67" t="inlineStr">
        <is>
          <t>●</t>
        </is>
      </c>
      <c r="N78" s="67" t="inlineStr">
        <is>
          <t>●</t>
        </is>
      </c>
      <c r="O78" s="67" t="inlineStr">
        <is>
          <t>●</t>
        </is>
      </c>
      <c r="P78" s="67" t="inlineStr">
        <is>
          <t>●</t>
        </is>
      </c>
      <c r="Q78" s="67" t="inlineStr">
        <is>
          <t>●</t>
        </is>
      </c>
      <c r="R78" s="67" t="n"/>
      <c r="S78" s="68" t="inlineStr">
        <is>
          <t>Mesure</t>
        </is>
      </c>
      <c r="T78" s="68" t="inlineStr">
        <is>
          <t>Clients × panier moyen</t>
        </is>
      </c>
      <c r="U78" s="68" t="inlineStr">
        <is>
          <t>COM-21.02, ACQ-15.06</t>
        </is>
      </c>
      <c r="V78" s="68" t="inlineStr">
        <is>
          <t>COM-21.08, XC11</t>
        </is>
      </c>
      <c r="W78" s="83" t="n"/>
    </row>
    <row r="79" ht="35.05" customHeight="1" s="53">
      <c r="A79" s="81" t="inlineStr">
        <is>
          <t>COM-21.08</t>
        </is>
      </c>
      <c r="B79" s="67" t="inlineStr">
        <is>
          <t>COM-21</t>
        </is>
      </c>
      <c r="C79" s="95">
        <f>IFERROR(INDEX(Thèmes!$D$2:$D$190,MATCH(B79,Thèmes!$A$2:$A$190,0)),"")</f>
        <v/>
      </c>
      <c r="D79" s="68" t="inlineStr">
        <is>
          <t>—</t>
        </is>
      </c>
      <c r="E79" s="68" t="inlineStr">
        <is>
          <t>Valeur d'un contact récolté, et coût d'un contact</t>
        </is>
      </c>
      <c r="F79" s="68" t="inlineStr">
        <is>
          <t>€</t>
        </is>
      </c>
      <c r="G79" s="96" t="inlineStr">
        <is>
          <t>Calculée</t>
        </is>
      </c>
      <c r="H79" s="67" t="inlineStr">
        <is>
          <t>—</t>
        </is>
      </c>
      <c r="I79" s="68" t="inlineStr">
        <is>
          <t>—</t>
        </is>
      </c>
      <c r="J79" s="68" t="inlineStr">
        <is>
          <t>—</t>
        </is>
      </c>
      <c r="K79" s="67" t="inlineStr">
        <is>
          <t>●</t>
        </is>
      </c>
      <c r="L79" s="67" t="inlineStr">
        <is>
          <t>●</t>
        </is>
      </c>
      <c r="M79" s="67" t="inlineStr">
        <is>
          <t>●</t>
        </is>
      </c>
      <c r="N79" s="67" t="inlineStr">
        <is>
          <t>●</t>
        </is>
      </c>
      <c r="O79" s="67" t="inlineStr">
        <is>
          <t>●</t>
        </is>
      </c>
      <c r="P79" s="67" t="inlineStr">
        <is>
          <t>●</t>
        </is>
      </c>
      <c r="Q79" s="67" t="inlineStr">
        <is>
          <t>●</t>
        </is>
      </c>
      <c r="R79" s="67" t="n"/>
      <c r="S79" s="68" t="inlineStr">
        <is>
          <t>Levier</t>
        </is>
      </c>
      <c r="T79" s="68" t="inlineStr">
        <is>
          <t>CA généré ÷ contacts ; coût de promotion ÷ contacts</t>
        </is>
      </c>
      <c r="U79" s="68" t="inlineStr">
        <is>
          <t>COM-21.07, COM-21.02, COM-21.03</t>
        </is>
      </c>
      <c r="V79" s="68" t="inlineStr">
        <is>
          <t>XC11</t>
        </is>
      </c>
      <c r="W79" s="83" t="n"/>
    </row>
    <row r="80" ht="35.05" customHeight="1" s="53">
      <c r="A80" s="85" t="inlineStr">
        <is>
          <t>COM-22.01</t>
        </is>
      </c>
      <c r="B80" s="89" t="inlineStr">
        <is>
          <t>COM-22</t>
        </is>
      </c>
      <c r="C80" s="97">
        <f>IFERROR(INDEX(Thèmes!$D$2:$D$190,MATCH(B80,Thèmes!$A$2:$A$190,0)),"")</f>
        <v/>
      </c>
      <c r="D80" s="86" t="inlineStr">
        <is>
          <t>C10 · Votre stratégie et votre organisation</t>
        </is>
      </c>
      <c r="E80" s="86" t="inlineStr">
        <is>
          <t>Sur vos 20 derniers clients en boutique ou en salle, combien disent venir des réseaux ou de Google ?</t>
        </is>
      </c>
      <c r="F80" s="86" t="inlineStr">
        <is>
          <t>Nombre sur 20</t>
        </is>
      </c>
      <c r="G80" s="89" t="inlineStr">
        <is>
          <t>Demandée</t>
        </is>
      </c>
      <c r="H80" s="89" t="inlineStr">
        <is>
          <t>Approfondi</t>
        </is>
      </c>
      <c r="I80" s="86" t="inlineStr">
        <is>
          <t>—</t>
        </is>
      </c>
      <c r="J80" s="86" t="inlineStr">
        <is>
          <t>—</t>
        </is>
      </c>
      <c r="K80" s="89" t="n"/>
      <c r="L80" s="89" t="inlineStr">
        <is>
          <t>●</t>
        </is>
      </c>
      <c r="M80" s="89" t="n"/>
      <c r="N80" s="89" t="inlineStr">
        <is>
          <t>●</t>
        </is>
      </c>
      <c r="O80" s="89" t="n"/>
      <c r="P80" s="89" t="n"/>
      <c r="Q80" s="89" t="n"/>
      <c r="R80" s="89" t="n"/>
      <c r="S80" s="86" t="inlineStr">
        <is>
          <t>Parcours</t>
        </is>
      </c>
      <c r="T80" s="86" t="inlineStr">
        <is>
          <t>—</t>
        </is>
      </c>
      <c r="U80" s="86" t="inlineStr">
        <is>
          <t>—</t>
        </is>
      </c>
      <c r="V80" s="86" t="inlineStr">
        <is>
          <t>XC31</t>
        </is>
      </c>
      <c r="W80" s="91" t="n"/>
    </row>
    <row r="81" ht="35.05" customHeight="1" s="53">
      <c r="A81" s="81" t="inlineStr">
        <is>
          <t>COM-22.02</t>
        </is>
      </c>
      <c r="B81" s="67" t="inlineStr">
        <is>
          <t>COM-22</t>
        </is>
      </c>
      <c r="C81" s="95">
        <f>IFERROR(INDEX(Thèmes!$D$2:$D$190,MATCH(B81,Thèmes!$A$2:$A$190,0)),"")</f>
        <v/>
      </c>
      <c r="D81" s="68" t="inlineStr">
        <is>
          <t>—</t>
        </is>
      </c>
      <c r="E81" s="68" t="inlineStr">
        <is>
          <t>Demandes et clients venant de la communication (réseaux, site, fiche Google), par réseau</t>
        </is>
      </c>
      <c r="F81" s="68" t="inlineStr">
        <is>
          <t>Nombres</t>
        </is>
      </c>
      <c r="G81" s="96" t="inlineStr">
        <is>
          <t>Calculée</t>
        </is>
      </c>
      <c r="H81" s="67" t="inlineStr">
        <is>
          <t>—</t>
        </is>
      </c>
      <c r="I81" s="68" t="inlineStr">
        <is>
          <t>—</t>
        </is>
      </c>
      <c r="J81" s="68" t="inlineStr">
        <is>
          <t>—</t>
        </is>
      </c>
      <c r="K81" s="67" t="inlineStr">
        <is>
          <t>●</t>
        </is>
      </c>
      <c r="L81" s="67" t="inlineStr">
        <is>
          <t>●</t>
        </is>
      </c>
      <c r="M81" s="67" t="inlineStr">
        <is>
          <t>●</t>
        </is>
      </c>
      <c r="N81" s="67" t="inlineStr">
        <is>
          <t>●</t>
        </is>
      </c>
      <c r="O81" s="67" t="inlineStr">
        <is>
          <t>●</t>
        </is>
      </c>
      <c r="P81" s="67" t="inlineStr">
        <is>
          <t>●</t>
        </is>
      </c>
      <c r="Q81" s="67" t="inlineStr">
        <is>
          <t>●</t>
        </is>
      </c>
      <c r="R81" s="67" t="inlineStr">
        <is>
          <t>●</t>
        </is>
      </c>
      <c r="S81" s="68" t="inlineStr">
        <is>
          <t>Mesure</t>
        </is>
      </c>
      <c r="T81" s="68" t="inlineStr">
        <is>
          <t>Lignes réseaux, site et fiche Google du tableau des canaux, réparties par réseau quand c'est connu</t>
        </is>
      </c>
      <c r="U81" s="68" t="inlineStr">
        <is>
          <t>ACQ-03.02, ACQ-03.03, COM-13.03, ACQ-06.04</t>
        </is>
      </c>
      <c r="V81" s="68" t="inlineStr">
        <is>
          <t>COM-31.07, COM-32.06, COM-38.01, XC01, XC02, XC07, DC03, DC11</t>
        </is>
      </c>
      <c r="W81" s="83" t="n"/>
    </row>
    <row r="82" ht="35.05" customHeight="1" s="53">
      <c r="A82" s="81" t="inlineStr">
        <is>
          <t>COM-22.03</t>
        </is>
      </c>
      <c r="B82" s="67" t="inlineStr">
        <is>
          <t>COM-22</t>
        </is>
      </c>
      <c r="C82" s="95">
        <f>IFERROR(INDEX(Thèmes!$D$2:$D$190,MATCH(B82,Thèmes!$A$2:$A$190,0)),"")</f>
        <v/>
      </c>
      <c r="D82" s="68" t="inlineStr">
        <is>
          <t>—</t>
        </is>
      </c>
      <c r="E82" s="68" t="inlineStr">
        <is>
          <t>CA venant de la communication</t>
        </is>
      </c>
      <c r="F82" s="68" t="inlineStr">
        <is>
          <t>€ et %</t>
        </is>
      </c>
      <c r="G82" s="96" t="inlineStr">
        <is>
          <t>Calculée</t>
        </is>
      </c>
      <c r="H82" s="67" t="inlineStr">
        <is>
          <t>—</t>
        </is>
      </c>
      <c r="I82" s="68" t="inlineStr">
        <is>
          <t>—</t>
        </is>
      </c>
      <c r="J82" s="68" t="inlineStr">
        <is>
          <t>—</t>
        </is>
      </c>
      <c r="K82" s="67" t="inlineStr">
        <is>
          <t>●</t>
        </is>
      </c>
      <c r="L82" s="67" t="inlineStr">
        <is>
          <t>●</t>
        </is>
      </c>
      <c r="M82" s="67" t="inlineStr">
        <is>
          <t>●</t>
        </is>
      </c>
      <c r="N82" s="67" t="inlineStr">
        <is>
          <t>●</t>
        </is>
      </c>
      <c r="O82" s="67" t="inlineStr">
        <is>
          <t>●</t>
        </is>
      </c>
      <c r="P82" s="67" t="inlineStr">
        <is>
          <t>●</t>
        </is>
      </c>
      <c r="Q82" s="67" t="inlineStr">
        <is>
          <t>●</t>
        </is>
      </c>
      <c r="R82" s="67" t="inlineStr">
        <is>
          <t>●</t>
        </is>
      </c>
      <c r="S82" s="68" t="inlineStr">
        <is>
          <t>Mesure</t>
        </is>
      </c>
      <c r="T82" s="68" t="inlineStr">
        <is>
          <t>Part du CA des canaux réseaux, site et fiche Google × CA annuel</t>
        </is>
      </c>
      <c r="U82" s="68" t="inlineStr">
        <is>
          <t>ACQ-03.04, Inscription · CA mensuel</t>
        </is>
      </c>
      <c r="V82" s="68" t="inlineStr">
        <is>
          <t>XC01, XC31</t>
        </is>
      </c>
      <c r="W82" s="83" t="n"/>
    </row>
    <row r="83" ht="57.45" customHeight="1" s="53">
      <c r="A83" s="92" t="inlineStr">
        <is>
          <t>COM-22.04</t>
        </is>
      </c>
      <c r="B83" s="67" t="inlineStr">
        <is>
          <t>COM-22</t>
        </is>
      </c>
      <c r="C83" s="95">
        <f>IFERROR(INDEX(Thèmes!$D$2:$D$190,MATCH(B83,Thèmes!$A$2:$A$190,0)),"")</f>
        <v/>
      </c>
      <c r="D83" s="68" t="inlineStr">
        <is>
          <t>—</t>
        </is>
      </c>
      <c r="E83" s="68" t="inlineStr">
        <is>
          <t>Répartition par réseau des demandes et clients venus des réseaux sociaux (ligne « Réseaux sociaux » du tableau des canaux)</t>
        </is>
      </c>
      <c r="F83" s="68" t="inlineStr">
        <is>
          <t>Tableau : Part (lignes cadrage: D22)</t>
        </is>
      </c>
      <c r="G83" s="67" t="inlineStr">
        <is>
          <t>Demandée</t>
        </is>
      </c>
      <c r="H83" s="67" t="inlineStr">
        <is>
          <t>Essentiel</t>
        </is>
      </c>
      <c r="I83" s="99" t="inlineStr">
        <is>
          <t>D03 · si « Réseaux sociaux » est coché</t>
        </is>
      </c>
      <c r="J83" s="68" t="inlineStr">
        <is>
          <t>—</t>
        </is>
      </c>
      <c r="K83" s="67" t="inlineStr">
        <is>
          <t>●</t>
        </is>
      </c>
      <c r="L83" s="67" t="inlineStr">
        <is>
          <t>●</t>
        </is>
      </c>
      <c r="M83" s="67" t="inlineStr">
        <is>
          <t>●</t>
        </is>
      </c>
      <c r="N83" s="67" t="inlineStr">
        <is>
          <t>●</t>
        </is>
      </c>
      <c r="O83" s="67" t="inlineStr">
        <is>
          <t>●</t>
        </is>
      </c>
      <c r="P83" s="67" t="inlineStr">
        <is>
          <t>●</t>
        </is>
      </c>
      <c r="Q83" s="67" t="inlineStr">
        <is>
          <t>●</t>
        </is>
      </c>
      <c r="R83" s="67" t="inlineStr">
        <is>
          <t>●</t>
        </is>
      </c>
      <c r="S83" s="68" t="inlineStr">
        <is>
          <t>—</t>
        </is>
      </c>
      <c r="T83" s="68" t="inlineStr">
        <is>
          <t>—</t>
        </is>
      </c>
      <c r="U83" s="68" t="inlineStr">
        <is>
          <t>—</t>
        </is>
      </c>
      <c r="V83" s="68" t="inlineStr">
        <is>
          <t>—</t>
        </is>
      </c>
      <c r="W83" s="83" t="inlineStr">
        <is>
          <t>Nouveau</t>
        </is>
      </c>
    </row>
    <row r="84" ht="79.84999999999999" customHeight="1" s="53">
      <c r="A84" s="98" t="inlineStr">
        <is>
          <t>COM-23.01</t>
        </is>
      </c>
      <c r="B84" s="89" t="inlineStr">
        <is>
          <t>COM-23</t>
        </is>
      </c>
      <c r="C84" s="97">
        <f>IFERROR(INDEX(Thèmes!$D$2:$D$190,MATCH(B84,Thèmes!$A$2:$A$190,0)),"")</f>
        <v/>
      </c>
      <c r="D84" s="86" t="inlineStr">
        <is>
          <t>C09 · Vos messages (tableau par messagerie)</t>
        </is>
      </c>
      <c r="E84" s="86" t="inlineStr">
        <is>
          <t>Pour chaque messagerie utilisée (Instagram, LinkedIn, Facebook, WhatsApp, Messenger, chat du site) : messages reçus par mois, dont demandes commerciales, dont service après-vente — déclencheur D59</t>
        </is>
      </c>
      <c r="F84" s="86" t="inlineStr">
        <is>
          <t>Tableau par messagerie</t>
        </is>
      </c>
      <c r="G84" s="89" t="inlineStr">
        <is>
          <t>Demandée</t>
        </is>
      </c>
      <c r="H84" s="89" t="inlineStr">
        <is>
          <t>Essentiel</t>
        </is>
      </c>
      <c r="I84" s="86" t="inlineStr">
        <is>
          <t>—</t>
        </is>
      </c>
      <c r="J84" s="86" t="inlineStr">
        <is>
          <t>—</t>
        </is>
      </c>
      <c r="K84" s="89" t="inlineStr">
        <is>
          <t>●</t>
        </is>
      </c>
      <c r="L84" s="89" t="inlineStr">
        <is>
          <t>●</t>
        </is>
      </c>
      <c r="M84" s="89" t="inlineStr">
        <is>
          <t>●</t>
        </is>
      </c>
      <c r="N84" s="89" t="inlineStr">
        <is>
          <t>●</t>
        </is>
      </c>
      <c r="O84" s="89" t="inlineStr">
        <is>
          <t>●</t>
        </is>
      </c>
      <c r="P84" s="89" t="inlineStr">
        <is>
          <t>●</t>
        </is>
      </c>
      <c r="Q84" s="89" t="inlineStr">
        <is>
          <t>●</t>
        </is>
      </c>
      <c r="R84" s="89" t="inlineStr">
        <is>
          <t>●</t>
        </is>
      </c>
      <c r="S84" s="86" t="inlineStr">
        <is>
          <t>Parcours</t>
        </is>
      </c>
      <c r="T84" s="86" t="inlineStr">
        <is>
          <t>—</t>
        </is>
      </c>
      <c r="U84" s="86" t="inlineStr">
        <is>
          <t>—</t>
        </is>
      </c>
      <c r="V84" s="86" t="inlineStr">
        <is>
          <t>COM-23.04, COM-23.05, COM-23.06</t>
        </is>
      </c>
      <c r="W84" s="91" t="inlineStr">
        <is>
          <t>Libellé (« Donnée ») · Condition d'affichage</t>
        </is>
      </c>
    </row>
    <row r="85" ht="35.05" customHeight="1" s="53">
      <c r="A85" s="94" t="inlineStr">
        <is>
          <t>COM-23.02</t>
        </is>
      </c>
      <c r="B85" s="67" t="inlineStr">
        <is>
          <t>COM-23</t>
        </is>
      </c>
      <c r="C85" s="95">
        <f>IFERROR(INDEX(Thèmes!$D$2:$D$190,MATCH(B85,Thèmes!$A$2:$A$190,0)),"")</f>
        <v/>
      </c>
      <c r="D85" s="68" t="inlineStr">
        <is>
          <t>C09 · Vos messages (tableau par messagerie)</t>
        </is>
      </c>
      <c r="E85" s="68" t="inlineStr">
        <is>
          <t>Répartition de vos réponses à ces messages (téléphone, email et formulaire sont traités en ACQ-08)</t>
        </is>
      </c>
      <c r="F85" s="68" t="inlineStr">
        <is>
          <t>Tableau : Part des messages (lignes fixe: En moins d'1 heure / D'1 heure à 24 heures / Après plus d'un jour / Jamais)</t>
        </is>
      </c>
      <c r="G85" s="67" t="inlineStr">
        <is>
          <t>Demandée</t>
        </is>
      </c>
      <c r="H85" s="67" t="inlineStr">
        <is>
          <t>Essentiel</t>
        </is>
      </c>
      <c r="I85" s="99" t="inlineStr">
        <is>
          <t>D59 · si vous recevez des messages</t>
        </is>
      </c>
      <c r="J85" s="68" t="inlineStr">
        <is>
          <t>—</t>
        </is>
      </c>
      <c r="K85" s="67" t="inlineStr">
        <is>
          <t>●</t>
        </is>
      </c>
      <c r="L85" s="67" t="inlineStr">
        <is>
          <t>●</t>
        </is>
      </c>
      <c r="M85" s="67" t="inlineStr">
        <is>
          <t>●</t>
        </is>
      </c>
      <c r="N85" s="67" t="inlineStr">
        <is>
          <t>●</t>
        </is>
      </c>
      <c r="O85" s="67" t="inlineStr">
        <is>
          <t>●</t>
        </is>
      </c>
      <c r="P85" s="67" t="inlineStr">
        <is>
          <t>●</t>
        </is>
      </c>
      <c r="Q85" s="67" t="inlineStr">
        <is>
          <t>●</t>
        </is>
      </c>
      <c r="R85" s="67" t="inlineStr">
        <is>
          <t>●</t>
        </is>
      </c>
      <c r="S85" s="68" t="inlineStr">
        <is>
          <t>Problème</t>
        </is>
      </c>
      <c r="T85" s="68" t="inlineStr">
        <is>
          <t>—</t>
        </is>
      </c>
      <c r="U85" s="68" t="inlineStr">
        <is>
          <t>—</t>
        </is>
      </c>
      <c r="V85" s="68" t="inlineStr">
        <is>
          <t>COM-23.06, DC14</t>
        </is>
      </c>
      <c r="W85" s="83" t="inlineStr">
        <is>
          <t>Format de réponse (la banque l'emporte) · Condition d'affichage</t>
        </is>
      </c>
    </row>
    <row r="86" ht="35.05" customHeight="1" s="53">
      <c r="A86" s="94" t="inlineStr">
        <is>
          <t>COM-23.03</t>
        </is>
      </c>
      <c r="B86" s="67" t="inlineStr">
        <is>
          <t>COM-23</t>
        </is>
      </c>
      <c r="C86" s="95">
        <f>IFERROR(INDEX(Thèmes!$D$2:$D$190,MATCH(B86,Thèmes!$A$2:$A$190,0)),"")</f>
        <v/>
      </c>
      <c r="D86" s="68" t="inlineStr">
        <is>
          <t>C09 · Vos messages (tableau par messagerie)</t>
        </is>
      </c>
      <c r="E86" s="68" t="inlineStr">
        <is>
          <t>Par mois : conversations commerciales qui ont abouti à un rendez-vous ou un devis, et à une vente</t>
        </is>
      </c>
      <c r="F86" s="68" t="inlineStr">
        <is>
          <t>2 nombres</t>
        </is>
      </c>
      <c r="G86" s="67" t="inlineStr">
        <is>
          <t>Demandée</t>
        </is>
      </c>
      <c r="H86" s="67" t="inlineStr">
        <is>
          <t>Essentiel</t>
        </is>
      </c>
      <c r="I86" s="99" t="inlineStr">
        <is>
          <t>D59 · si vous recevez des messages</t>
        </is>
      </c>
      <c r="J86" s="68" t="inlineStr">
        <is>
          <t>—</t>
        </is>
      </c>
      <c r="K86" s="67" t="inlineStr">
        <is>
          <t>●</t>
        </is>
      </c>
      <c r="L86" s="67" t="inlineStr">
        <is>
          <t>●</t>
        </is>
      </c>
      <c r="M86" s="67" t="inlineStr">
        <is>
          <t>●</t>
        </is>
      </c>
      <c r="N86" s="67" t="inlineStr">
        <is>
          <t>●</t>
        </is>
      </c>
      <c r="O86" s="67" t="inlineStr">
        <is>
          <t>●</t>
        </is>
      </c>
      <c r="P86" s="67" t="inlineStr">
        <is>
          <t>●</t>
        </is>
      </c>
      <c r="Q86" s="67" t="inlineStr">
        <is>
          <t>●</t>
        </is>
      </c>
      <c r="R86" s="67" t="inlineStr">
        <is>
          <t>●</t>
        </is>
      </c>
      <c r="S86" s="68" t="inlineStr">
        <is>
          <t>Mesure</t>
        </is>
      </c>
      <c r="T86" s="68" t="inlineStr">
        <is>
          <t>—</t>
        </is>
      </c>
      <c r="U86" s="68" t="inlineStr">
        <is>
          <t>—</t>
        </is>
      </c>
      <c r="V86" s="68" t="inlineStr">
        <is>
          <t>COM-23.05</t>
        </is>
      </c>
      <c r="W86" s="83" t="inlineStr">
        <is>
          <t>Condition d'affichage</t>
        </is>
      </c>
    </row>
    <row r="87" ht="35.05" customHeight="1" s="53">
      <c r="A87" s="81" t="inlineStr">
        <is>
          <t>COM-23.04</t>
        </is>
      </c>
      <c r="B87" s="67" t="inlineStr">
        <is>
          <t>COM-23</t>
        </is>
      </c>
      <c r="C87" s="95">
        <f>IFERROR(INDEX(Thèmes!$D$2:$D$190,MATCH(B87,Thèmes!$A$2:$A$190,0)),"")</f>
        <v/>
      </c>
      <c r="D87" s="68" t="inlineStr">
        <is>
          <t>—</t>
        </is>
      </c>
      <c r="E87" s="68" t="inlineStr">
        <is>
          <t>Messages → demandes commerciales</t>
        </is>
      </c>
      <c r="F87" s="68" t="inlineStr">
        <is>
          <t>%</t>
        </is>
      </c>
      <c r="G87" s="96" t="inlineStr">
        <is>
          <t>Calculée</t>
        </is>
      </c>
      <c r="H87" s="67" t="inlineStr">
        <is>
          <t>—</t>
        </is>
      </c>
      <c r="I87" s="68" t="inlineStr">
        <is>
          <t>—</t>
        </is>
      </c>
      <c r="J87" s="68" t="inlineStr">
        <is>
          <t>—</t>
        </is>
      </c>
      <c r="K87" s="67" t="inlineStr">
        <is>
          <t>●</t>
        </is>
      </c>
      <c r="L87" s="67" t="inlineStr">
        <is>
          <t>●</t>
        </is>
      </c>
      <c r="M87" s="67" t="inlineStr">
        <is>
          <t>●</t>
        </is>
      </c>
      <c r="N87" s="67" t="inlineStr">
        <is>
          <t>●</t>
        </is>
      </c>
      <c r="O87" s="67" t="inlineStr">
        <is>
          <t>●</t>
        </is>
      </c>
      <c r="P87" s="67" t="inlineStr">
        <is>
          <t>●</t>
        </is>
      </c>
      <c r="Q87" s="67" t="inlineStr">
        <is>
          <t>●</t>
        </is>
      </c>
      <c r="R87" s="67" t="inlineStr">
        <is>
          <t>●</t>
        </is>
      </c>
      <c r="S87" s="68" t="inlineStr">
        <is>
          <t>Parcours</t>
        </is>
      </c>
      <c r="T87" s="68" t="inlineStr">
        <is>
          <t>Demandes commerciales ÷ messages reçus</t>
        </is>
      </c>
      <c r="U87" s="68" t="inlineStr">
        <is>
          <t>COM-23.01</t>
        </is>
      </c>
      <c r="V87" s="68" t="inlineStr">
        <is>
          <t>XC12, DC04</t>
        </is>
      </c>
      <c r="W87" s="83" t="n"/>
    </row>
    <row r="88" ht="35.05" customHeight="1" s="53">
      <c r="A88" s="81" t="inlineStr">
        <is>
          <t>COM-23.05</t>
        </is>
      </c>
      <c r="B88" s="67" t="inlineStr">
        <is>
          <t>COM-23</t>
        </is>
      </c>
      <c r="C88" s="95">
        <f>IFERROR(INDEX(Thèmes!$D$2:$D$190,MATCH(B88,Thèmes!$A$2:$A$190,0)),"")</f>
        <v/>
      </c>
      <c r="D88" s="68" t="inlineStr">
        <is>
          <t>—</t>
        </is>
      </c>
      <c r="E88" s="68" t="inlineStr">
        <is>
          <t>Conversations commerciales → rendez-vous → ventes</t>
        </is>
      </c>
      <c r="F88" s="68" t="inlineStr">
        <is>
          <t>%</t>
        </is>
      </c>
      <c r="G88" s="96" t="inlineStr">
        <is>
          <t>Calculée</t>
        </is>
      </c>
      <c r="H88" s="67" t="inlineStr">
        <is>
          <t>—</t>
        </is>
      </c>
      <c r="I88" s="68" t="inlineStr">
        <is>
          <t>—</t>
        </is>
      </c>
      <c r="J88" s="68" t="inlineStr">
        <is>
          <t>—</t>
        </is>
      </c>
      <c r="K88" s="67" t="inlineStr">
        <is>
          <t>●</t>
        </is>
      </c>
      <c r="L88" s="67" t="inlineStr">
        <is>
          <t>●</t>
        </is>
      </c>
      <c r="M88" s="67" t="inlineStr">
        <is>
          <t>●</t>
        </is>
      </c>
      <c r="N88" s="67" t="inlineStr">
        <is>
          <t>●</t>
        </is>
      </c>
      <c r="O88" s="67" t="inlineStr">
        <is>
          <t>●</t>
        </is>
      </c>
      <c r="P88" s="67" t="inlineStr">
        <is>
          <t>●</t>
        </is>
      </c>
      <c r="Q88" s="67" t="inlineStr">
        <is>
          <t>●</t>
        </is>
      </c>
      <c r="R88" s="67" t="inlineStr">
        <is>
          <t>●</t>
        </is>
      </c>
      <c r="S88" s="68" t="inlineStr">
        <is>
          <t>Cible</t>
        </is>
      </c>
      <c r="T88" s="68" t="inlineStr">
        <is>
          <t>Rendez-vous ÷ demandes commerciales ; ventes ÷ demandes commerciales</t>
        </is>
      </c>
      <c r="U88" s="68" t="inlineStr">
        <is>
          <t>COM-23.03, COM-23.01</t>
        </is>
      </c>
      <c r="V88" s="68" t="inlineStr">
        <is>
          <t>COM-23.06, XC12</t>
        </is>
      </c>
      <c r="W88" s="83" t="n"/>
    </row>
    <row r="89" ht="23.85" customHeight="1" s="53">
      <c r="A89" s="81" t="inlineStr">
        <is>
          <t>COM-23.06</t>
        </is>
      </c>
      <c r="B89" s="67" t="inlineStr">
        <is>
          <t>COM-23</t>
        </is>
      </c>
      <c r="C89" s="95">
        <f>IFERROR(INDEX(Thèmes!$D$2:$D$190,MATCH(B89,Thèmes!$A$2:$A$190,0)),"")</f>
        <v/>
      </c>
      <c r="D89" s="68" t="inlineStr">
        <is>
          <t>—</t>
        </is>
      </c>
      <c r="E89" s="68" t="inlineStr">
        <is>
          <t>CA perdu par an sur les messages commerciaux sans réponse</t>
        </is>
      </c>
      <c r="F89" s="68" t="inlineStr">
        <is>
          <t>€</t>
        </is>
      </c>
      <c r="G89" s="96" t="inlineStr">
        <is>
          <t>Calculée</t>
        </is>
      </c>
      <c r="H89" s="67" t="inlineStr">
        <is>
          <t>—</t>
        </is>
      </c>
      <c r="I89" s="68" t="inlineStr">
        <is>
          <t>—</t>
        </is>
      </c>
      <c r="J89" s="68" t="inlineStr">
        <is>
          <t>—</t>
        </is>
      </c>
      <c r="K89" s="67" t="inlineStr">
        <is>
          <t>●</t>
        </is>
      </c>
      <c r="L89" s="67" t="inlineStr">
        <is>
          <t>●</t>
        </is>
      </c>
      <c r="M89" s="67" t="inlineStr">
        <is>
          <t>●</t>
        </is>
      </c>
      <c r="N89" s="67" t="inlineStr">
        <is>
          <t>●</t>
        </is>
      </c>
      <c r="O89" s="67" t="inlineStr">
        <is>
          <t>●</t>
        </is>
      </c>
      <c r="P89" s="67" t="inlineStr">
        <is>
          <t>●</t>
        </is>
      </c>
      <c r="Q89" s="67" t="inlineStr">
        <is>
          <t>●</t>
        </is>
      </c>
      <c r="R89" s="67" t="n"/>
      <c r="S89" s="68" t="inlineStr">
        <is>
          <t>Perte</t>
        </is>
      </c>
      <c r="T89" s="68" t="inlineStr">
        <is>
          <t>Demandes commerciales × part « jamais » × taux de vente des conversations × panier × 12</t>
        </is>
      </c>
      <c r="U89" s="68" t="inlineStr">
        <is>
          <t>COM-23.01, COM-23.02, COM-23.05, ACQ-15.06</t>
        </is>
      </c>
      <c r="V89" s="68" t="inlineStr">
        <is>
          <t>XC12, DC14</t>
        </is>
      </c>
      <c r="W89" s="83" t="n"/>
    </row>
    <row r="90" ht="35.05" customHeight="1" s="53">
      <c r="A90" s="85" t="inlineStr">
        <is>
          <t>COM-24.01</t>
        </is>
      </c>
      <c r="B90" s="89" t="inlineStr">
        <is>
          <t>COM-24</t>
        </is>
      </c>
      <c r="C90" s="97">
        <f>IFERROR(INDEX(Thèmes!$D$2:$D$190,MATCH(B90,Thèmes!$A$2:$A$190,0)),"")</f>
        <v/>
      </c>
      <c r="D90" s="86" t="inlineStr">
        <is>
          <t>C10 · Votre stratégie et votre organisation</t>
        </is>
      </c>
      <c r="E90" s="86" t="inlineStr">
        <is>
          <t>Objectif principal de votre communication : trouver des clients, vous faire connaître, fidéliser, recruter</t>
        </is>
      </c>
      <c r="F90" s="86" t="inlineStr">
        <is>
          <t>Choix</t>
        </is>
      </c>
      <c r="G90" s="89" t="inlineStr">
        <is>
          <t>Demandée</t>
        </is>
      </c>
      <c r="H90" s="89" t="inlineStr">
        <is>
          <t>Essentiel</t>
        </is>
      </c>
      <c r="I90" s="86" t="inlineStr">
        <is>
          <t>—</t>
        </is>
      </c>
      <c r="J90" s="86" t="inlineStr">
        <is>
          <t>—</t>
        </is>
      </c>
      <c r="K90" s="89" t="inlineStr">
        <is>
          <t>●</t>
        </is>
      </c>
      <c r="L90" s="89" t="inlineStr">
        <is>
          <t>●</t>
        </is>
      </c>
      <c r="M90" s="89" t="inlineStr">
        <is>
          <t>●</t>
        </is>
      </c>
      <c r="N90" s="89" t="inlineStr">
        <is>
          <t>●</t>
        </is>
      </c>
      <c r="O90" s="89" t="inlineStr">
        <is>
          <t>●</t>
        </is>
      </c>
      <c r="P90" s="89" t="inlineStr">
        <is>
          <t>●</t>
        </is>
      </c>
      <c r="Q90" s="89" t="inlineStr">
        <is>
          <t>●</t>
        </is>
      </c>
      <c r="R90" s="89" t="inlineStr">
        <is>
          <t>●</t>
        </is>
      </c>
      <c r="S90" s="86" t="inlineStr">
        <is>
          <t>Cible</t>
        </is>
      </c>
      <c r="T90" s="86" t="inlineStr">
        <is>
          <t>—</t>
        </is>
      </c>
      <c r="U90" s="86" t="inlineStr">
        <is>
          <t>—</t>
        </is>
      </c>
      <c r="V90" s="86" t="inlineStr">
        <is>
          <t>COM-24.02</t>
        </is>
      </c>
      <c r="W90" s="91" t="n"/>
    </row>
    <row r="91" ht="23.85" customHeight="1" s="53">
      <c r="A91" s="81" t="inlineStr">
        <is>
          <t>COM-24.02</t>
        </is>
      </c>
      <c r="B91" s="67" t="inlineStr">
        <is>
          <t>COM-24</t>
        </is>
      </c>
      <c r="C91" s="95">
        <f>IFERROR(INDEX(Thèmes!$D$2:$D$190,MATCH(B91,Thèmes!$A$2:$A$190,0)),"")</f>
        <v/>
      </c>
      <c r="D91" s="68" t="inlineStr">
        <is>
          <t>—</t>
        </is>
      </c>
      <c r="E91" s="68" t="inlineStr">
        <is>
          <t>Objectif et dispositif cohérents ?</t>
        </is>
      </c>
      <c r="F91" s="68" t="inlineStr">
        <is>
          <t>Oui / non</t>
        </is>
      </c>
      <c r="G91" s="96" t="inlineStr">
        <is>
          <t>Calculée</t>
        </is>
      </c>
      <c r="H91" s="67" t="inlineStr">
        <is>
          <t>—</t>
        </is>
      </c>
      <c r="I91" s="68" t="inlineStr">
        <is>
          <t>—</t>
        </is>
      </c>
      <c r="J91" s="68" t="inlineStr">
        <is>
          <t>—</t>
        </is>
      </c>
      <c r="K91" s="67" t="inlineStr">
        <is>
          <t>●</t>
        </is>
      </c>
      <c r="L91" s="67" t="inlineStr">
        <is>
          <t>●</t>
        </is>
      </c>
      <c r="M91" s="67" t="inlineStr">
        <is>
          <t>●</t>
        </is>
      </c>
      <c r="N91" s="67" t="inlineStr">
        <is>
          <t>●</t>
        </is>
      </c>
      <c r="O91" s="67" t="inlineStr">
        <is>
          <t>●</t>
        </is>
      </c>
      <c r="P91" s="67" t="inlineStr">
        <is>
          <t>●</t>
        </is>
      </c>
      <c r="Q91" s="67" t="inlineStr">
        <is>
          <t>●</t>
        </is>
      </c>
      <c r="R91" s="67" t="inlineStr">
        <is>
          <t>●</t>
        </is>
      </c>
      <c r="S91" s="68" t="inlineStr">
        <is>
          <t>Problème</t>
        </is>
      </c>
      <c r="T91" s="68" t="inlineStr">
        <is>
          <t>Objectif « trouver des clients » sans appel à l'action, sans offre d'appel et sans suivi des demandes = incohérent</t>
        </is>
      </c>
      <c r="U91" s="68" t="inlineStr">
        <is>
          <t>COM-24.01, COM-21.01, COM-20.01, COM-43.02</t>
        </is>
      </c>
      <c r="V91" s="68" t="inlineStr">
        <is>
          <t>XC28</t>
        </is>
      </c>
      <c r="W91" s="83" t="n"/>
    </row>
    <row r="92" ht="68.65000000000001" customHeight="1" s="53">
      <c r="A92" s="85" t="inlineStr">
        <is>
          <t>COM-25.01</t>
        </is>
      </c>
      <c r="B92" s="89" t="inlineStr">
        <is>
          <t>COM-25</t>
        </is>
      </c>
      <c r="C92" s="97">
        <f>IFERROR(INDEX(Thèmes!$D$2:$D$190,MATCH(B92,Thèmes!$A$2:$A$190,0)),"")</f>
        <v/>
      </c>
      <c r="D92" s="86" t="inlineStr">
        <is>
          <t>C10 · Votre stratégie et votre organisation</t>
        </is>
      </c>
      <c r="E92" s="86" t="inlineStr">
        <is>
          <t>Les 2 ou 3 sujets dont vous parlez le plus souvent</t>
        </is>
      </c>
      <c r="F92" s="86" t="inlineStr">
        <is>
          <t>Texte court</t>
        </is>
      </c>
      <c r="G92" s="89" t="inlineStr">
        <is>
          <t>Demandée</t>
        </is>
      </c>
      <c r="H92" s="89" t="inlineStr">
        <is>
          <t>Approfondi</t>
        </is>
      </c>
      <c r="I92" s="100" t="inlineStr">
        <is>
          <t>D21 · si vous publiez déjà</t>
        </is>
      </c>
      <c r="J92" s="86" t="inlineStr">
        <is>
          <t>—</t>
        </is>
      </c>
      <c r="K92" s="89" t="inlineStr">
        <is>
          <t>●</t>
        </is>
      </c>
      <c r="L92" s="89" t="inlineStr">
        <is>
          <t>●</t>
        </is>
      </c>
      <c r="M92" s="89" t="inlineStr">
        <is>
          <t>●</t>
        </is>
      </c>
      <c r="N92" s="89" t="inlineStr">
        <is>
          <t>●</t>
        </is>
      </c>
      <c r="O92" s="89" t="inlineStr">
        <is>
          <t>●</t>
        </is>
      </c>
      <c r="P92" s="89" t="inlineStr">
        <is>
          <t>●</t>
        </is>
      </c>
      <c r="Q92" s="89" t="inlineStr">
        <is>
          <t>●</t>
        </is>
      </c>
      <c r="R92" s="89" t="inlineStr">
        <is>
          <t>●</t>
        </is>
      </c>
      <c r="S92" s="86" t="inlineStr">
        <is>
          <t>Levier</t>
        </is>
      </c>
      <c r="T92" s="86" t="inlineStr">
        <is>
          <t>—</t>
        </is>
      </c>
      <c r="U92" s="86" t="inlineStr">
        <is>
          <t>—</t>
        </is>
      </c>
      <c r="V92" s="86" t="inlineStr">
        <is>
          <t>Lue par l'IA pour adapter le conseil</t>
        </is>
      </c>
      <c r="W92" s="91" t="n"/>
    </row>
    <row r="93" ht="35.05" customHeight="1" s="53">
      <c r="A93" s="98" t="inlineStr">
        <is>
          <t>COM-26.01</t>
        </is>
      </c>
      <c r="B93" s="89" t="inlineStr">
        <is>
          <t>COM-26</t>
        </is>
      </c>
      <c r="C93" s="97">
        <f>IFERROR(INDEX(Thèmes!$D$2:$D$190,MATCH(B93,Thèmes!$A$2:$A$190,0)),"")</f>
        <v/>
      </c>
      <c r="D93" s="86" t="inlineStr">
        <is>
          <t>C13 · Vos publications (connexion ou saisie)</t>
        </is>
      </c>
      <c r="E93" s="86" t="inlineStr">
        <is>
          <t>Publications des 3 derniers mois, par réseau, par format (vidéo courte, vidéo longue, carrousel, photo, texte, story) et par type (commercial, pédagogique, preuve ou cas client, coulisses, actualité, dirigeant, avant / après, marque employeur) — déclencheur D63</t>
        </is>
      </c>
      <c r="F93" s="86" t="inlineStr">
        <is>
          <t>Tableau : Publications (lignes fixe: Vidéo courte / Vidéo longue / Carrousel / Photo / Texte / Story)</t>
        </is>
      </c>
      <c r="G93" s="89" t="inlineStr">
        <is>
          <t>Demandée</t>
        </is>
      </c>
      <c r="H93" s="89" t="inlineStr">
        <is>
          <t>Essentiel</t>
        </is>
      </c>
      <c r="I93" s="100" t="inlineStr">
        <is>
          <t>D21 · si vous publiez déjà</t>
        </is>
      </c>
      <c r="J93" s="86" t="inlineStr">
        <is>
          <t>Période adaptée : depuis l'ouverture du compte si moins de 3 mois</t>
        </is>
      </c>
      <c r="K93" s="89" t="inlineStr">
        <is>
          <t>●</t>
        </is>
      </c>
      <c r="L93" s="89" t="inlineStr">
        <is>
          <t>●</t>
        </is>
      </c>
      <c r="M93" s="89" t="inlineStr">
        <is>
          <t>●</t>
        </is>
      </c>
      <c r="N93" s="89" t="inlineStr">
        <is>
          <t>●</t>
        </is>
      </c>
      <c r="O93" s="89" t="inlineStr">
        <is>
          <t>●</t>
        </is>
      </c>
      <c r="P93" s="89" t="inlineStr">
        <is>
          <t>●</t>
        </is>
      </c>
      <c r="Q93" s="89" t="inlineStr">
        <is>
          <t>●</t>
        </is>
      </c>
      <c r="R93" s="89" t="inlineStr">
        <is>
          <t>●</t>
        </is>
      </c>
      <c r="S93" s="86" t="inlineStr">
        <is>
          <t>Mesure</t>
        </is>
      </c>
      <c r="T93" s="86" t="inlineStr">
        <is>
          <t>Saisie par le dirigeant tant qu'aucune connexion n'existe. Quand la connexion existera : Lu sur les profils connectés ou collés ; le type est repéré par l'IA</t>
        </is>
      </c>
      <c r="U93" s="86" t="inlineStr">
        <is>
          <t>—</t>
        </is>
      </c>
      <c r="V93" s="86" t="inlineStr">
        <is>
          <t>COM-27.01</t>
        </is>
      </c>
      <c r="W93" s="91" t="inlineStr">
        <is>
          <t>Mode : Importée → Demandée (le dirigeant la saisit) · Format de réponse · Libellé (« Donnée »)</t>
        </is>
      </c>
    </row>
    <row r="94" ht="147" customHeight="1" s="53">
      <c r="A94" s="85" t="inlineStr">
        <is>
          <t>COM-27.01</t>
        </is>
      </c>
      <c r="B94" s="89" t="inlineStr">
        <is>
          <t>COM-27</t>
        </is>
      </c>
      <c r="C94" s="97">
        <f>IFERROR(INDEX(Thèmes!$D$2:$D$190,MATCH(B94,Thèmes!$A$2:$A$190,0)),"")</f>
        <v/>
      </c>
      <c r="D94" s="86" t="inlineStr">
        <is>
          <t>—</t>
        </is>
      </c>
      <c r="E94" s="86" t="inlineStr">
        <is>
          <t>Mix éditorial réel par format et par type</t>
        </is>
      </c>
      <c r="F94" s="86" t="inlineStr">
        <is>
          <t>%</t>
        </is>
      </c>
      <c r="G94" s="102" t="inlineStr">
        <is>
          <t>Calculée</t>
        </is>
      </c>
      <c r="H94" s="89" t="inlineStr">
        <is>
          <t>—</t>
        </is>
      </c>
      <c r="I94" s="86" t="inlineStr">
        <is>
          <t>—</t>
        </is>
      </c>
      <c r="J94" s="86" t="inlineStr">
        <is>
          <t>—</t>
        </is>
      </c>
      <c r="K94" s="89" t="inlineStr">
        <is>
          <t>●</t>
        </is>
      </c>
      <c r="L94" s="89" t="inlineStr">
        <is>
          <t>●</t>
        </is>
      </c>
      <c r="M94" s="89" t="inlineStr">
        <is>
          <t>●</t>
        </is>
      </c>
      <c r="N94" s="89" t="inlineStr">
        <is>
          <t>●</t>
        </is>
      </c>
      <c r="O94" s="89" t="inlineStr">
        <is>
          <t>●</t>
        </is>
      </c>
      <c r="P94" s="89" t="inlineStr">
        <is>
          <t>●</t>
        </is>
      </c>
      <c r="Q94" s="89" t="inlineStr">
        <is>
          <t>●</t>
        </is>
      </c>
      <c r="R94" s="89" t="inlineStr">
        <is>
          <t>●</t>
        </is>
      </c>
      <c r="S94" s="86" t="inlineStr">
        <is>
          <t>Mesure</t>
        </is>
      </c>
      <c r="T94" s="86" t="inlineStr">
        <is>
          <t>Répartition des publications des 3 derniers mois</t>
        </is>
      </c>
      <c r="U94" s="86" t="inlineStr">
        <is>
          <t>COM-26.01</t>
        </is>
      </c>
      <c r="V94" s="86" t="inlineStr">
        <is>
          <t>COM-40.01, XC04</t>
        </is>
      </c>
      <c r="W94" s="91" t="n"/>
    </row>
    <row r="95" ht="23.85" customHeight="1" s="53">
      <c r="A95" s="92" t="inlineStr">
        <is>
          <t>COM-27.02</t>
        </is>
      </c>
      <c r="B95" s="67" t="inlineStr">
        <is>
          <t>COM-27</t>
        </is>
      </c>
      <c r="C95" s="95">
        <f>IFERROR(INDEX(Thèmes!$D$2:$D$190,MATCH(B95,Thèmes!$A$2:$A$190,0)),"")</f>
        <v/>
      </c>
      <c r="D95" s="68" t="inlineStr">
        <is>
          <t>—</t>
        </is>
      </c>
      <c r="E95" s="68" t="inlineStr">
        <is>
          <t>Répartition des publications par étape du funnel : se faire connaître, prouver, faire agir (calculée à partir des publications quand elles sont connectées)</t>
        </is>
      </c>
      <c r="F95" s="68" t="inlineStr">
        <is>
          <t>Tableau : Part des publications (lignes fixe: Vous faire connaître : conseils, coulisses, actualité, humour / Montrer que votre travail est bon : avis, réalisations, avant-après, cas clients / Donner envie d'agir : offre, promotion, invitation à vous contacter)</t>
        </is>
      </c>
      <c r="G95" s="67" t="inlineStr">
        <is>
          <t>Demandée</t>
        </is>
      </c>
      <c r="H95" s="67" t="inlineStr">
        <is>
          <t>Essentiel</t>
        </is>
      </c>
      <c r="I95" s="99" t="inlineStr">
        <is>
          <t>D21 · si vous publiez déjà</t>
        </is>
      </c>
      <c r="J95" s="68" t="inlineStr">
        <is>
          <t>Période adaptée : depuis la création si moins de 3 mois</t>
        </is>
      </c>
      <c r="K95" s="67" t="inlineStr">
        <is>
          <t>●</t>
        </is>
      </c>
      <c r="L95" s="67" t="inlineStr">
        <is>
          <t>●</t>
        </is>
      </c>
      <c r="M95" s="67" t="inlineStr">
        <is>
          <t>●</t>
        </is>
      </c>
      <c r="N95" s="67" t="inlineStr">
        <is>
          <t>●</t>
        </is>
      </c>
      <c r="O95" s="67" t="inlineStr">
        <is>
          <t>●</t>
        </is>
      </c>
      <c r="P95" s="67" t="inlineStr">
        <is>
          <t>●</t>
        </is>
      </c>
      <c r="Q95" s="67" t="inlineStr">
        <is>
          <t>●</t>
        </is>
      </c>
      <c r="R95" s="67" t="inlineStr">
        <is>
          <t>●</t>
        </is>
      </c>
      <c r="S95" s="68" t="inlineStr">
        <is>
          <t>—</t>
        </is>
      </c>
      <c r="T95" s="68" t="inlineStr">
        <is>
          <t>—</t>
        </is>
      </c>
      <c r="U95" s="68" t="inlineStr">
        <is>
          <t>—</t>
        </is>
      </c>
      <c r="V95" s="68" t="inlineStr">
        <is>
          <t>—</t>
        </is>
      </c>
      <c r="W95" s="83" t="inlineStr">
        <is>
          <t>Nouveau</t>
        </is>
      </c>
    </row>
    <row r="96" ht="23.85" customHeight="1" s="53">
      <c r="A96" s="85" t="inlineStr">
        <is>
          <t>COM-28.01</t>
        </is>
      </c>
      <c r="B96" s="89" t="inlineStr">
        <is>
          <t>COM-28</t>
        </is>
      </c>
      <c r="C96" s="97">
        <f>IFERROR(INDEX(Thèmes!$D$2:$D$190,MATCH(B96,Thèmes!$A$2:$A$190,0)),"")</f>
        <v/>
      </c>
      <c r="D96" s="86" t="inlineStr">
        <is>
          <t>C10 · Votre stratégie et votre organisation</t>
        </is>
      </c>
      <c r="E96" s="86" t="inlineStr">
        <is>
          <t>Calendrier de publication : écrit et suivi, existe mais pas suivi, aucun</t>
        </is>
      </c>
      <c r="F96" s="86" t="inlineStr">
        <is>
          <t>Choix</t>
        </is>
      </c>
      <c r="G96" s="89" t="inlineStr">
        <is>
          <t>Demandée</t>
        </is>
      </c>
      <c r="H96" s="89" t="inlineStr">
        <is>
          <t>Essentiel</t>
        </is>
      </c>
      <c r="I96" s="100" t="inlineStr">
        <is>
          <t>D21 · si vous publiez déjà</t>
        </is>
      </c>
      <c r="J96" s="86" t="inlineStr">
        <is>
          <t>—</t>
        </is>
      </c>
      <c r="K96" s="89" t="inlineStr">
        <is>
          <t>●</t>
        </is>
      </c>
      <c r="L96" s="89" t="inlineStr">
        <is>
          <t>●</t>
        </is>
      </c>
      <c r="M96" s="89" t="inlineStr">
        <is>
          <t>●</t>
        </is>
      </c>
      <c r="N96" s="89" t="inlineStr">
        <is>
          <t>●</t>
        </is>
      </c>
      <c r="O96" s="89" t="inlineStr">
        <is>
          <t>●</t>
        </is>
      </c>
      <c r="P96" s="89" t="inlineStr">
        <is>
          <t>●</t>
        </is>
      </c>
      <c r="Q96" s="89" t="inlineStr">
        <is>
          <t>●</t>
        </is>
      </c>
      <c r="R96" s="89" t="inlineStr">
        <is>
          <t>●</t>
        </is>
      </c>
      <c r="S96" s="86" t="inlineStr">
        <is>
          <t>Levier</t>
        </is>
      </c>
      <c r="T96" s="86" t="inlineStr">
        <is>
          <t>—</t>
        </is>
      </c>
      <c r="U96" s="86" t="inlineStr">
        <is>
          <t>—</t>
        </is>
      </c>
      <c r="V96" s="86" t="inlineStr">
        <is>
          <t>XC17, DC05</t>
        </is>
      </c>
      <c r="W96" s="91" t="n"/>
    </row>
    <row r="97" ht="23.85" customHeight="1" s="53">
      <c r="A97" s="85" t="inlineStr">
        <is>
          <t>COM-29.01</t>
        </is>
      </c>
      <c r="B97" s="89" t="inlineStr">
        <is>
          <t>COM-29</t>
        </is>
      </c>
      <c r="C97" s="97">
        <f>IFERROR(INDEX(Thèmes!$D$2:$D$190,MATCH(B97,Thèmes!$A$2:$A$190,0)),"")</f>
        <v/>
      </c>
      <c r="D97" s="86" t="inlineStr">
        <is>
          <t>C10 · Votre stratégie et votre organisation</t>
        </is>
      </c>
      <c r="E97" s="86" t="inlineStr">
        <is>
          <t>Concurrents dont vous suivez la communication, et ce qui marche chez eux selon vous</t>
        </is>
      </c>
      <c r="F97" s="86" t="inlineStr">
        <is>
          <t>Texte court</t>
        </is>
      </c>
      <c r="G97" s="89" t="inlineStr">
        <is>
          <t>Demandée</t>
        </is>
      </c>
      <c r="H97" s="89" t="inlineStr">
        <is>
          <t>Approfondi</t>
        </is>
      </c>
      <c r="I97" s="86" t="inlineStr">
        <is>
          <t>—</t>
        </is>
      </c>
      <c r="J97" s="86" t="inlineStr">
        <is>
          <t>—</t>
        </is>
      </c>
      <c r="K97" s="89" t="inlineStr">
        <is>
          <t>●</t>
        </is>
      </c>
      <c r="L97" s="89" t="inlineStr">
        <is>
          <t>●</t>
        </is>
      </c>
      <c r="M97" s="89" t="inlineStr">
        <is>
          <t>●</t>
        </is>
      </c>
      <c r="N97" s="89" t="inlineStr">
        <is>
          <t>●</t>
        </is>
      </c>
      <c r="O97" s="89" t="inlineStr">
        <is>
          <t>●</t>
        </is>
      </c>
      <c r="P97" s="89" t="inlineStr">
        <is>
          <t>●</t>
        </is>
      </c>
      <c r="Q97" s="89" t="inlineStr">
        <is>
          <t>●</t>
        </is>
      </c>
      <c r="R97" s="89" t="inlineStr">
        <is>
          <t>●</t>
        </is>
      </c>
      <c r="S97" s="86" t="inlineStr">
        <is>
          <t>Levier</t>
        </is>
      </c>
      <c r="T97" s="86" t="inlineStr">
        <is>
          <t>—</t>
        </is>
      </c>
      <c r="U97" s="86" t="inlineStr">
        <is>
          <t>—</t>
        </is>
      </c>
      <c r="V97" s="86" t="inlineStr">
        <is>
          <t>Lue par l'IA pour adapter le conseil</t>
        </is>
      </c>
      <c r="W97" s="91" t="n"/>
    </row>
    <row r="98" ht="57.45" customHeight="1" s="53">
      <c r="A98" s="85" t="inlineStr">
        <is>
          <t>COM-30.01</t>
        </is>
      </c>
      <c r="B98" s="89" t="inlineStr">
        <is>
          <t>COM-30</t>
        </is>
      </c>
      <c r="C98" s="97">
        <f>IFERROR(INDEX(Thèmes!$D$2:$D$190,MATCH(B98,Thèmes!$A$2:$A$190,0)),"")</f>
        <v/>
      </c>
      <c r="D98" s="86" t="inlineStr">
        <is>
          <t>—</t>
        </is>
      </c>
      <c r="E98" s="86" t="inlineStr">
        <is>
          <t>Qui produit le contenu : vous, un salarié, un prestataire</t>
        </is>
      </c>
      <c r="F98" s="86" t="inlineStr">
        <is>
          <t>Choix</t>
        </is>
      </c>
      <c r="G98" s="102" t="inlineStr">
        <is>
          <t>Calculée</t>
        </is>
      </c>
      <c r="H98" s="89" t="inlineStr">
        <is>
          <t>—</t>
        </is>
      </c>
      <c r="I98" s="86" t="inlineStr">
        <is>
          <t>—</t>
        </is>
      </c>
      <c r="J98" s="86" t="inlineStr">
        <is>
          <t>—</t>
        </is>
      </c>
      <c r="K98" s="89" t="inlineStr">
        <is>
          <t>●</t>
        </is>
      </c>
      <c r="L98" s="89" t="inlineStr">
        <is>
          <t>●</t>
        </is>
      </c>
      <c r="M98" s="89" t="inlineStr">
        <is>
          <t>●</t>
        </is>
      </c>
      <c r="N98" s="89" t="inlineStr">
        <is>
          <t>●</t>
        </is>
      </c>
      <c r="O98" s="89" t="inlineStr">
        <is>
          <t>●</t>
        </is>
      </c>
      <c r="P98" s="89" t="inlineStr">
        <is>
          <t>●</t>
        </is>
      </c>
      <c r="Q98" s="89" t="inlineStr">
        <is>
          <t>●</t>
        </is>
      </c>
      <c r="R98" s="89" t="inlineStr">
        <is>
          <t>●</t>
        </is>
      </c>
      <c r="S98" s="86" t="inlineStr">
        <is>
          <t>Capacité</t>
        </is>
      </c>
      <c r="T98" s="86" t="inlineStr">
        <is>
          <t>Repris de la répartition des heures et du tableau des réseaux</t>
        </is>
      </c>
      <c r="U98" s="86" t="inlineStr">
        <is>
          <t>COM-31.02, COM-10.01</t>
        </is>
      </c>
      <c r="V98" s="86" t="inlineStr">
        <is>
          <t>Affichée dans le rapport</t>
        </is>
      </c>
      <c r="W98" s="91" t="n"/>
    </row>
    <row r="99" ht="35.05" customHeight="1" s="53">
      <c r="A99" s="98" t="inlineStr">
        <is>
          <t>COM-31.01</t>
        </is>
      </c>
      <c r="B99" s="89" t="inlineStr">
        <is>
          <t>COM-31</t>
        </is>
      </c>
      <c r="C99" s="97">
        <f>IFERROR(INDEX(Thèmes!$D$2:$D$190,MATCH(B99,Thèmes!$A$2:$A$190,0)),"")</f>
        <v/>
      </c>
      <c r="D99" s="86" t="inlineStr">
        <is>
          <t>C11 · Votre temps (tableau par tâche)</t>
        </is>
      </c>
      <c r="E99" s="86" t="inlineStr">
        <is>
          <t>Heures par semaine consacrées à la communication, par tâche : idées et rédaction ; visuels, tournage, montage ; publication et programmation ; réponses aux commentaires, messages et avis ; emails et site ; statistiques et prestataires — déclencheur D60</t>
        </is>
      </c>
      <c r="F99" s="86" t="inlineStr">
        <is>
          <t>Tableau 6 lignes (heures)</t>
        </is>
      </c>
      <c r="G99" s="89" t="inlineStr">
        <is>
          <t>Demandée</t>
        </is>
      </c>
      <c r="H99" s="89" t="inlineStr">
        <is>
          <t>Essentiel</t>
        </is>
      </c>
      <c r="I99" s="86" t="inlineStr">
        <is>
          <t>—</t>
        </is>
      </c>
      <c r="J99" s="86" t="inlineStr">
        <is>
          <t>—</t>
        </is>
      </c>
      <c r="K99" s="89" t="inlineStr">
        <is>
          <t>●</t>
        </is>
      </c>
      <c r="L99" s="89" t="inlineStr">
        <is>
          <t>●</t>
        </is>
      </c>
      <c r="M99" s="89" t="inlineStr">
        <is>
          <t>●</t>
        </is>
      </c>
      <c r="N99" s="89" t="inlineStr">
        <is>
          <t>●</t>
        </is>
      </c>
      <c r="O99" s="89" t="inlineStr">
        <is>
          <t>●</t>
        </is>
      </c>
      <c r="P99" s="89" t="inlineStr">
        <is>
          <t>●</t>
        </is>
      </c>
      <c r="Q99" s="89" t="inlineStr">
        <is>
          <t>●</t>
        </is>
      </c>
      <c r="R99" s="89" t="inlineStr">
        <is>
          <t>●</t>
        </is>
      </c>
      <c r="S99" s="86" t="inlineStr">
        <is>
          <t>Capacité</t>
        </is>
      </c>
      <c r="T99" s="86" t="inlineStr">
        <is>
          <t>—</t>
        </is>
      </c>
      <c r="U99" s="86" t="inlineStr">
        <is>
          <t>—</t>
        </is>
      </c>
      <c r="V99" s="86" t="inlineStr">
        <is>
          <t>COM-31.05</t>
        </is>
      </c>
      <c r="W99" s="91" t="inlineStr">
        <is>
          <t>Libellé (« Donnée »)</t>
        </is>
      </c>
    </row>
    <row r="100" ht="23.85" customHeight="1" s="53">
      <c r="A100" s="94" t="inlineStr">
        <is>
          <t>COM-31.02</t>
        </is>
      </c>
      <c r="B100" s="67" t="inlineStr">
        <is>
          <t>COM-31</t>
        </is>
      </c>
      <c r="C100" s="95">
        <f>IFERROR(INDEX(Thèmes!$D$2:$D$190,MATCH(B100,Thèmes!$A$2:$A$190,0)),"")</f>
        <v/>
      </c>
      <c r="D100" s="68" t="inlineStr">
        <is>
          <t>C11 · Votre temps (tableau par tâche)</t>
        </is>
      </c>
      <c r="E100" s="68" t="inlineStr">
        <is>
          <t>Répartition de ces heures : vous, salariés, freelance ou agence</t>
        </is>
      </c>
      <c r="F100" s="68" t="inlineStr">
        <is>
          <t>% (3 colonnes)</t>
        </is>
      </c>
      <c r="G100" s="67" t="inlineStr">
        <is>
          <t>Demandée</t>
        </is>
      </c>
      <c r="H100" s="67" t="inlineStr">
        <is>
          <t>Essentiel</t>
        </is>
      </c>
      <c r="I100" s="99" t="inlineStr">
        <is>
          <t>D60 · si vous consacrez du temps à la communication</t>
        </is>
      </c>
      <c r="J100" s="68" t="inlineStr">
        <is>
          <t>—</t>
        </is>
      </c>
      <c r="K100" s="67" t="inlineStr">
        <is>
          <t>●</t>
        </is>
      </c>
      <c r="L100" s="67" t="inlineStr">
        <is>
          <t>●</t>
        </is>
      </c>
      <c r="M100" s="67" t="inlineStr">
        <is>
          <t>●</t>
        </is>
      </c>
      <c r="N100" s="67" t="inlineStr">
        <is>
          <t>●</t>
        </is>
      </c>
      <c r="O100" s="67" t="inlineStr">
        <is>
          <t>●</t>
        </is>
      </c>
      <c r="P100" s="67" t="inlineStr">
        <is>
          <t>●</t>
        </is>
      </c>
      <c r="Q100" s="67" t="inlineStr">
        <is>
          <t>●</t>
        </is>
      </c>
      <c r="R100" s="67" t="inlineStr">
        <is>
          <t>●</t>
        </is>
      </c>
      <c r="S100" s="68" t="inlineStr">
        <is>
          <t>Capacité</t>
        </is>
      </c>
      <c r="T100" s="68" t="inlineStr">
        <is>
          <t>—</t>
        </is>
      </c>
      <c r="U100" s="68" t="inlineStr">
        <is>
          <t>—</t>
        </is>
      </c>
      <c r="V100" s="68" t="inlineStr">
        <is>
          <t>COM-30.01</t>
        </is>
      </c>
      <c r="W100" s="83" t="inlineStr">
        <is>
          <t>Condition d'affichage</t>
        </is>
      </c>
    </row>
    <row r="101" ht="23.85" customHeight="1" s="53">
      <c r="A101" s="81" t="inlineStr">
        <is>
          <t>COM-31.03</t>
        </is>
      </c>
      <c r="B101" s="67" t="inlineStr">
        <is>
          <t>COM-31</t>
        </is>
      </c>
      <c r="C101" s="95">
        <f>IFERROR(INDEX(Thèmes!$D$2:$D$190,MATCH(B101,Thèmes!$A$2:$A$190,0)),"")</f>
        <v/>
      </c>
      <c r="D101" s="68" t="inlineStr">
        <is>
          <t>C11 · Votre temps (tableau par tâche)</t>
        </is>
      </c>
      <c r="E101" s="68" t="inlineStr">
        <is>
          <t>Répartition de ces heures par réseau</t>
        </is>
      </c>
      <c r="F101" s="68" t="inlineStr">
        <is>
          <t>% par réseau</t>
        </is>
      </c>
      <c r="G101" s="67" t="inlineStr">
        <is>
          <t>Demandée</t>
        </is>
      </c>
      <c r="H101" s="67" t="inlineStr">
        <is>
          <t>Essentiel</t>
        </is>
      </c>
      <c r="I101" s="99" t="inlineStr">
        <is>
          <t>D22 · une ligne par réseau utilisé</t>
        </is>
      </c>
      <c r="J101" s="68" t="inlineStr">
        <is>
          <t>—</t>
        </is>
      </c>
      <c r="K101" s="67" t="inlineStr">
        <is>
          <t>●</t>
        </is>
      </c>
      <c r="L101" s="67" t="inlineStr">
        <is>
          <t>●</t>
        </is>
      </c>
      <c r="M101" s="67" t="inlineStr">
        <is>
          <t>●</t>
        </is>
      </c>
      <c r="N101" s="67" t="inlineStr">
        <is>
          <t>●</t>
        </is>
      </c>
      <c r="O101" s="67" t="inlineStr">
        <is>
          <t>●</t>
        </is>
      </c>
      <c r="P101" s="67" t="inlineStr">
        <is>
          <t>●</t>
        </is>
      </c>
      <c r="Q101" s="67" t="inlineStr">
        <is>
          <t>●</t>
        </is>
      </c>
      <c r="R101" s="67" t="inlineStr">
        <is>
          <t>●</t>
        </is>
      </c>
      <c r="S101" s="68" t="inlineStr">
        <is>
          <t>Levier</t>
        </is>
      </c>
      <c r="T101" s="68" t="inlineStr">
        <is>
          <t>—</t>
        </is>
      </c>
      <c r="U101" s="68" t="inlineStr">
        <is>
          <t>—</t>
        </is>
      </c>
      <c r="V101" s="68" t="inlineStr">
        <is>
          <t>XC02, DC03, DC11</t>
        </is>
      </c>
      <c r="W101" s="83" t="n"/>
    </row>
    <row r="102" ht="23.85" customHeight="1" s="53">
      <c r="A102" s="81" t="inlineStr">
        <is>
          <t>COM-31.04</t>
        </is>
      </c>
      <c r="B102" s="67" t="inlineStr">
        <is>
          <t>COM-31</t>
        </is>
      </c>
      <c r="C102" s="95">
        <f>IFERROR(INDEX(Thèmes!$D$2:$D$190,MATCH(B102,Thèmes!$A$2:$A$190,0)),"")</f>
        <v/>
      </c>
      <c r="D102" s="68" t="inlineStr">
        <is>
          <t>C11 · Votre temps (tableau par tâche)</t>
        </is>
      </c>
      <c r="E102" s="68" t="inlineStr">
        <is>
          <t>Répartition de ces heures par format (vidéo, carrousel, photo, texte)</t>
        </is>
      </c>
      <c r="F102" s="68" t="inlineStr">
        <is>
          <t>% par format</t>
        </is>
      </c>
      <c r="G102" s="67" t="inlineStr">
        <is>
          <t>Demandée</t>
        </is>
      </c>
      <c r="H102" s="67" t="inlineStr">
        <is>
          <t>Approfondi</t>
        </is>
      </c>
      <c r="I102" s="99" t="inlineStr">
        <is>
          <t>D21 · si vous publiez déjà</t>
        </is>
      </c>
      <c r="J102" s="68" t="inlineStr">
        <is>
          <t>—</t>
        </is>
      </c>
      <c r="K102" s="67" t="inlineStr">
        <is>
          <t>●</t>
        </is>
      </c>
      <c r="L102" s="67" t="inlineStr">
        <is>
          <t>●</t>
        </is>
      </c>
      <c r="M102" s="67" t="inlineStr">
        <is>
          <t>●</t>
        </is>
      </c>
      <c r="N102" s="67" t="inlineStr">
        <is>
          <t>●</t>
        </is>
      </c>
      <c r="O102" s="67" t="inlineStr">
        <is>
          <t>●</t>
        </is>
      </c>
      <c r="P102" s="67" t="inlineStr">
        <is>
          <t>●</t>
        </is>
      </c>
      <c r="Q102" s="67" t="inlineStr">
        <is>
          <t>●</t>
        </is>
      </c>
      <c r="R102" s="67" t="inlineStr">
        <is>
          <t>●</t>
        </is>
      </c>
      <c r="S102" s="68" t="inlineStr">
        <is>
          <t>Levier</t>
        </is>
      </c>
      <c r="T102" s="68" t="inlineStr">
        <is>
          <t>—</t>
        </is>
      </c>
      <c r="U102" s="68" t="inlineStr">
        <is>
          <t>—</t>
        </is>
      </c>
      <c r="V102" s="68" t="inlineStr">
        <is>
          <t>COM-41.01, XC03, DC11</t>
        </is>
      </c>
      <c r="W102" s="83" t="n"/>
    </row>
    <row r="103" ht="15" customHeight="1" s="53">
      <c r="A103" s="81" t="inlineStr">
        <is>
          <t>COM-31.05</t>
        </is>
      </c>
      <c r="B103" s="67" t="inlineStr">
        <is>
          <t>COM-31</t>
        </is>
      </c>
      <c r="C103" s="95">
        <f>IFERROR(INDEX(Thèmes!$D$2:$D$190,MATCH(B103,Thèmes!$A$2:$A$190,0)),"")</f>
        <v/>
      </c>
      <c r="D103" s="68" t="inlineStr">
        <is>
          <t>—</t>
        </is>
      </c>
      <c r="E103" s="68" t="inlineStr">
        <is>
          <t>Heures de communication par semaine</t>
        </is>
      </c>
      <c r="F103" s="68" t="inlineStr">
        <is>
          <t>Heures</t>
        </is>
      </c>
      <c r="G103" s="96" t="inlineStr">
        <is>
          <t>Calculée</t>
        </is>
      </c>
      <c r="H103" s="67" t="inlineStr">
        <is>
          <t>—</t>
        </is>
      </c>
      <c r="I103" s="68" t="inlineStr">
        <is>
          <t>—</t>
        </is>
      </c>
      <c r="J103" s="68" t="inlineStr">
        <is>
          <t>—</t>
        </is>
      </c>
      <c r="K103" s="67" t="inlineStr">
        <is>
          <t>●</t>
        </is>
      </c>
      <c r="L103" s="67" t="inlineStr">
        <is>
          <t>●</t>
        </is>
      </c>
      <c r="M103" s="67" t="inlineStr">
        <is>
          <t>●</t>
        </is>
      </c>
      <c r="N103" s="67" t="inlineStr">
        <is>
          <t>●</t>
        </is>
      </c>
      <c r="O103" s="67" t="inlineStr">
        <is>
          <t>●</t>
        </is>
      </c>
      <c r="P103" s="67" t="inlineStr">
        <is>
          <t>●</t>
        </is>
      </c>
      <c r="Q103" s="67" t="inlineStr">
        <is>
          <t>●</t>
        </is>
      </c>
      <c r="R103" s="67" t="inlineStr">
        <is>
          <t>●</t>
        </is>
      </c>
      <c r="S103" s="68" t="inlineStr">
        <is>
          <t>Mesure</t>
        </is>
      </c>
      <c r="T103" s="68" t="inlineStr">
        <is>
          <t>Somme du tableau</t>
        </is>
      </c>
      <c r="U103" s="68" t="inlineStr">
        <is>
          <t>COM-31.01</t>
        </is>
      </c>
      <c r="V103" s="68" t="inlineStr">
        <is>
          <t>COM-31.06, COM-31.07, COM-31.08, XC01</t>
        </is>
      </c>
      <c r="W103" s="83" t="n"/>
    </row>
    <row r="104" ht="23.85" customHeight="1" s="53">
      <c r="A104" s="81" t="inlineStr">
        <is>
          <t>COM-31.06</t>
        </is>
      </c>
      <c r="B104" s="67" t="inlineStr">
        <is>
          <t>COM-31</t>
        </is>
      </c>
      <c r="C104" s="95">
        <f>IFERROR(INDEX(Thèmes!$D$2:$D$190,MATCH(B104,Thèmes!$A$2:$A$190,0)),"")</f>
        <v/>
      </c>
      <c r="D104" s="68" t="inlineStr">
        <is>
          <t>—</t>
        </is>
      </c>
      <c r="E104" s="68" t="inlineStr">
        <is>
          <t>Publications produites par heure</t>
        </is>
      </c>
      <c r="F104" s="68" t="inlineStr">
        <is>
          <t>Nombre</t>
        </is>
      </c>
      <c r="G104" s="96" t="inlineStr">
        <is>
          <t>Calculée</t>
        </is>
      </c>
      <c r="H104" s="67" t="inlineStr">
        <is>
          <t>—</t>
        </is>
      </c>
      <c r="I104" s="68" t="inlineStr">
        <is>
          <t>—</t>
        </is>
      </c>
      <c r="J104" s="68" t="inlineStr">
        <is>
          <t>—</t>
        </is>
      </c>
      <c r="K104" s="67" t="inlineStr">
        <is>
          <t>●</t>
        </is>
      </c>
      <c r="L104" s="67" t="inlineStr">
        <is>
          <t>●</t>
        </is>
      </c>
      <c r="M104" s="67" t="inlineStr">
        <is>
          <t>●</t>
        </is>
      </c>
      <c r="N104" s="67" t="inlineStr">
        <is>
          <t>●</t>
        </is>
      </c>
      <c r="O104" s="67" t="inlineStr">
        <is>
          <t>●</t>
        </is>
      </c>
      <c r="P104" s="67" t="inlineStr">
        <is>
          <t>●</t>
        </is>
      </c>
      <c r="Q104" s="67" t="inlineStr">
        <is>
          <t>●</t>
        </is>
      </c>
      <c r="R104" s="67" t="inlineStr">
        <is>
          <t>●</t>
        </is>
      </c>
      <c r="S104" s="68" t="inlineStr">
        <is>
          <t>Cible</t>
        </is>
      </c>
      <c r="T104" s="68" t="inlineStr">
        <is>
          <t>Publications par mois ÷ (heures × 4,33)</t>
        </is>
      </c>
      <c r="U104" s="68" t="inlineStr">
        <is>
          <t>COM-10.01, COM-31.05</t>
        </is>
      </c>
      <c r="V104" s="68" t="inlineStr">
        <is>
          <t>XC21</t>
        </is>
      </c>
      <c r="W104" s="83" t="n"/>
    </row>
    <row r="105" ht="23.85" customHeight="1" s="53">
      <c r="A105" s="81" t="inlineStr">
        <is>
          <t>COM-31.07</t>
        </is>
      </c>
      <c r="B105" s="67" t="inlineStr">
        <is>
          <t>COM-31</t>
        </is>
      </c>
      <c r="C105" s="95">
        <f>IFERROR(INDEX(Thèmes!$D$2:$D$190,MATCH(B105,Thèmes!$A$2:$A$190,0)),"")</f>
        <v/>
      </c>
      <c r="D105" s="68" t="inlineStr">
        <is>
          <t>—</t>
        </is>
      </c>
      <c r="E105" s="68" t="inlineStr">
        <is>
          <t>Demandes et clients obtenus par heure de communication</t>
        </is>
      </c>
      <c r="F105" s="68" t="inlineStr">
        <is>
          <t>Nombre</t>
        </is>
      </c>
      <c r="G105" s="96" t="inlineStr">
        <is>
          <t>Calculée</t>
        </is>
      </c>
      <c r="H105" s="67" t="inlineStr">
        <is>
          <t>—</t>
        </is>
      </c>
      <c r="I105" s="68" t="inlineStr">
        <is>
          <t>—</t>
        </is>
      </c>
      <c r="J105" s="68" t="inlineStr">
        <is>
          <t>—</t>
        </is>
      </c>
      <c r="K105" s="67" t="inlineStr">
        <is>
          <t>●</t>
        </is>
      </c>
      <c r="L105" s="67" t="inlineStr">
        <is>
          <t>●</t>
        </is>
      </c>
      <c r="M105" s="67" t="inlineStr">
        <is>
          <t>●</t>
        </is>
      </c>
      <c r="N105" s="67" t="inlineStr">
        <is>
          <t>●</t>
        </is>
      </c>
      <c r="O105" s="67" t="inlineStr">
        <is>
          <t>●</t>
        </is>
      </c>
      <c r="P105" s="67" t="inlineStr">
        <is>
          <t>●</t>
        </is>
      </c>
      <c r="Q105" s="67" t="inlineStr">
        <is>
          <t>●</t>
        </is>
      </c>
      <c r="R105" s="67" t="inlineStr">
        <is>
          <t>●</t>
        </is>
      </c>
      <c r="S105" s="68" t="inlineStr">
        <is>
          <t>Levier</t>
        </is>
      </c>
      <c r="T105" s="68" t="inlineStr">
        <is>
          <t>Demandes et clients venant de la communication ÷ heures par mois</t>
        </is>
      </c>
      <c r="U105" s="68" t="inlineStr">
        <is>
          <t>COM-22.02, COM-31.05</t>
        </is>
      </c>
      <c r="V105" s="68" t="inlineStr">
        <is>
          <t>XC21</t>
        </is>
      </c>
      <c r="W105" s="83" t="n"/>
    </row>
    <row r="106" ht="79.84999999999999" customHeight="1" s="53">
      <c r="A106" s="81" t="inlineStr">
        <is>
          <t>COM-31.08</t>
        </is>
      </c>
      <c r="B106" s="67" t="inlineStr">
        <is>
          <t>COM-31</t>
        </is>
      </c>
      <c r="C106" s="95">
        <f>IFERROR(INDEX(Thèmes!$D$2:$D$190,MATCH(B106,Thèmes!$A$2:$A$190,0)),"")</f>
        <v/>
      </c>
      <c r="D106" s="68" t="inlineStr">
        <is>
          <t>—</t>
        </is>
      </c>
      <c r="E106" s="68" t="inlineStr">
        <is>
          <t>Valeur du temps consacré à la communication</t>
        </is>
      </c>
      <c r="F106" s="68" t="inlineStr">
        <is>
          <t>€ par mois</t>
        </is>
      </c>
      <c r="G106" s="96" t="inlineStr">
        <is>
          <t>Calculée</t>
        </is>
      </c>
      <c r="H106" s="67" t="inlineStr">
        <is>
          <t>—</t>
        </is>
      </c>
      <c r="I106" s="68" t="inlineStr">
        <is>
          <t>—</t>
        </is>
      </c>
      <c r="J106" s="68" t="inlineStr">
        <is>
          <t>—</t>
        </is>
      </c>
      <c r="K106" s="67" t="inlineStr">
        <is>
          <t>●</t>
        </is>
      </c>
      <c r="L106" s="67" t="inlineStr">
        <is>
          <t>●</t>
        </is>
      </c>
      <c r="M106" s="67" t="inlineStr">
        <is>
          <t>●</t>
        </is>
      </c>
      <c r="N106" s="67" t="inlineStr">
        <is>
          <t>●</t>
        </is>
      </c>
      <c r="O106" s="67" t="inlineStr">
        <is>
          <t>●</t>
        </is>
      </c>
      <c r="P106" s="67" t="inlineStr">
        <is>
          <t>●</t>
        </is>
      </c>
      <c r="Q106" s="67" t="inlineStr">
        <is>
          <t>●</t>
        </is>
      </c>
      <c r="R106" s="67" t="n"/>
      <c r="S106" s="68" t="inlineStr">
        <is>
          <t>Perte</t>
        </is>
      </c>
      <c r="T106" s="68" t="inlineStr">
        <is>
          <t>Heures × coût d'une heure (agent Finance) ou CA par heure du dirigeant</t>
        </is>
      </c>
      <c r="U106" s="68" t="inlineStr">
        <is>
          <t>COM-31.05, FIN-07.12, FIN-07.13</t>
        </is>
      </c>
      <c r="V106" s="68" t="inlineStr">
        <is>
          <t>COM-32.06, XC21</t>
        </is>
      </c>
      <c r="W106" s="83" t="n"/>
    </row>
    <row r="107" ht="57.45" customHeight="1" s="53">
      <c r="A107" s="98" t="inlineStr">
        <is>
          <t>COM-32.01</t>
        </is>
      </c>
      <c r="B107" s="89" t="inlineStr">
        <is>
          <t>COM-32</t>
        </is>
      </c>
      <c r="C107" s="97">
        <f>IFERROR(INDEX(Thèmes!$D$2:$D$190,MATCH(B107,Thèmes!$A$2:$A$190,0)),"")</f>
        <v/>
      </c>
      <c r="D107" s="86" t="inlineStr">
        <is>
          <t>A08 · Votre budget marketing</t>
        </is>
      </c>
      <c r="E107" s="86" t="inlineStr">
        <is>
          <t>Création de contenu, agence et outils marketing par mois — partagée avec ACQ-07.03, ACQ-07.01 et ACQ-07.04 (un champ pour chacune) : posée ici seulement si l'agent Acquisition ne l'a pas fait</t>
        </is>
      </c>
      <c r="F107" s="86" t="inlineStr">
        <is>
          <t>Plusieurs champs : Création de contenu : photographe, vidéaste, graphiste · Agence ou prestataire marketing · Outils marketing</t>
        </is>
      </c>
      <c r="G107" s="88" t="inlineStr">
        <is>
          <t>Partagée</t>
        </is>
      </c>
      <c r="H107" s="89" t="inlineStr">
        <is>
          <t>Essentiel</t>
        </is>
      </c>
      <c r="I107" s="86" t="inlineStr">
        <is>
          <t>—</t>
        </is>
      </c>
      <c r="J107" s="86" t="inlineStr">
        <is>
          <t>—</t>
        </is>
      </c>
      <c r="K107" s="89" t="inlineStr">
        <is>
          <t>●</t>
        </is>
      </c>
      <c r="L107" s="89" t="inlineStr">
        <is>
          <t>●</t>
        </is>
      </c>
      <c r="M107" s="89" t="inlineStr">
        <is>
          <t>●</t>
        </is>
      </c>
      <c r="N107" s="89" t="inlineStr">
        <is>
          <t>●</t>
        </is>
      </c>
      <c r="O107" s="89" t="inlineStr">
        <is>
          <t>●</t>
        </is>
      </c>
      <c r="P107" s="89" t="inlineStr">
        <is>
          <t>●</t>
        </is>
      </c>
      <c r="Q107" s="89" t="inlineStr">
        <is>
          <t>●</t>
        </is>
      </c>
      <c r="R107" s="89" t="inlineStr">
        <is>
          <t>●</t>
        </is>
      </c>
      <c r="S107" s="86" t="inlineStr">
        <is>
          <t>Perte</t>
        </is>
      </c>
      <c r="T107" s="86" t="inlineStr">
        <is>
          <t>Posée une seule fois, par le premier agent souscrit qui en a besoin (ACQ-07.03, ACQ-07.01, ACQ-07.04), sinon ici</t>
        </is>
      </c>
      <c r="U107" s="86" t="inlineStr">
        <is>
          <t>ACQ-07.03, ACQ-07.01, ACQ-07.04</t>
        </is>
      </c>
      <c r="V107" s="86" t="inlineStr">
        <is>
          <t>COM-32.04</t>
        </is>
      </c>
      <c r="W107" s="91" t="inlineStr">
        <is>
          <t>Format de réponse (la banque l'emporte) · Libellé (« Donnée »)</t>
        </is>
      </c>
    </row>
    <row r="108" ht="46.25" customHeight="1" s="53">
      <c r="A108" s="81" t="inlineStr">
        <is>
          <t>COM-32.02</t>
        </is>
      </c>
      <c r="B108" s="67" t="inlineStr">
        <is>
          <t>COM-32</t>
        </is>
      </c>
      <c r="C108" s="95">
        <f>IFERROR(INDEX(Thèmes!$D$2:$D$190,MATCH(B108,Thèmes!$A$2:$A$190,0)),"")</f>
        <v/>
      </c>
      <c r="D108" s="68" t="inlineStr">
        <is>
          <t>C12 · Votre budget communication (tableau)</t>
        </is>
      </c>
      <c r="E108" s="68" t="inlineStr">
        <is>
          <t>Autres dépenses de communication par mois : community manager, influence, impression (flyers, cartes), autres. La création de contenu, l'agence et les outils (banque d'images comprise) sont dans les postes partagés</t>
        </is>
      </c>
      <c r="F108" s="68" t="inlineStr">
        <is>
          <t>Tableau par poste (€)</t>
        </is>
      </c>
      <c r="G108" s="67" t="inlineStr">
        <is>
          <t>Demandée</t>
        </is>
      </c>
      <c r="H108" s="67" t="inlineStr">
        <is>
          <t>Essentiel</t>
        </is>
      </c>
      <c r="I108" s="68" t="inlineStr">
        <is>
          <t>—</t>
        </is>
      </c>
      <c r="J108" s="68" t="inlineStr">
        <is>
          <t>Aujourd'hui</t>
        </is>
      </c>
      <c r="K108" s="67" t="inlineStr">
        <is>
          <t>●</t>
        </is>
      </c>
      <c r="L108" s="67" t="inlineStr">
        <is>
          <t>●</t>
        </is>
      </c>
      <c r="M108" s="67" t="inlineStr">
        <is>
          <t>●</t>
        </is>
      </c>
      <c r="N108" s="67" t="inlineStr">
        <is>
          <t>●</t>
        </is>
      </c>
      <c r="O108" s="67" t="inlineStr">
        <is>
          <t>●</t>
        </is>
      </c>
      <c r="P108" s="67" t="inlineStr">
        <is>
          <t>●</t>
        </is>
      </c>
      <c r="Q108" s="67" t="inlineStr">
        <is>
          <t>●</t>
        </is>
      </c>
      <c r="R108" s="67" t="inlineStr">
        <is>
          <t>●</t>
        </is>
      </c>
      <c r="S108" s="68" t="inlineStr">
        <is>
          <t>Perte</t>
        </is>
      </c>
      <c r="T108" s="68" t="inlineStr">
        <is>
          <t>—</t>
        </is>
      </c>
      <c r="U108" s="68" t="inlineStr">
        <is>
          <t>—</t>
        </is>
      </c>
      <c r="V108" s="68" t="inlineStr">
        <is>
          <t>COM-32.04</t>
        </is>
      </c>
      <c r="W108" s="83" t="n"/>
    </row>
    <row r="109" ht="23.85" customHeight="1" s="53">
      <c r="A109" s="94" t="inlineStr">
        <is>
          <t>COM-32.03</t>
        </is>
      </c>
      <c r="B109" s="67" t="inlineStr">
        <is>
          <t>COM-32</t>
        </is>
      </c>
      <c r="C109" s="95">
        <f>IFERROR(INDEX(Thèmes!$D$2:$D$190,MATCH(B109,Thèmes!$A$2:$A$190,0)),"")</f>
        <v/>
      </c>
      <c r="D109" s="68" t="inlineStr">
        <is>
          <t>C12 · Votre budget communication (tableau)</t>
        </is>
      </c>
      <c r="E109" s="68" t="inlineStr">
        <is>
          <t>Dépenses d'il y a 12 mois sur les seuls postes propres à la Comm (community manager, influence, impression) ; contenu, agence, outils et publicité d'il y a 12 mois = ACQ-07.05, partagée</t>
        </is>
      </c>
      <c r="F109" s="68" t="inlineStr">
        <is>
          <t>€</t>
        </is>
      </c>
      <c r="G109" s="67" t="inlineStr">
        <is>
          <t>Demandée</t>
        </is>
      </c>
      <c r="H109" s="67" t="inlineStr">
        <is>
          <t>Approfondi</t>
        </is>
      </c>
      <c r="I109" s="68" t="inlineStr">
        <is>
          <t>—</t>
        </is>
      </c>
      <c r="J109" s="68" t="inlineStr">
        <is>
          <t>Il y a 12 mois (masquée avant 12 mois d'existence)</t>
        </is>
      </c>
      <c r="K109" s="67" t="inlineStr">
        <is>
          <t>●</t>
        </is>
      </c>
      <c r="L109" s="67" t="inlineStr">
        <is>
          <t>●</t>
        </is>
      </c>
      <c r="M109" s="67" t="inlineStr">
        <is>
          <t>●</t>
        </is>
      </c>
      <c r="N109" s="67" t="inlineStr">
        <is>
          <t>●</t>
        </is>
      </c>
      <c r="O109" s="67" t="inlineStr">
        <is>
          <t>●</t>
        </is>
      </c>
      <c r="P109" s="67" t="inlineStr">
        <is>
          <t>●</t>
        </is>
      </c>
      <c r="Q109" s="67" t="inlineStr">
        <is>
          <t>●</t>
        </is>
      </c>
      <c r="R109" s="67" t="inlineStr">
        <is>
          <t>●</t>
        </is>
      </c>
      <c r="S109" s="68" t="inlineStr">
        <is>
          <t>Problème</t>
        </is>
      </c>
      <c r="T109" s="68" t="inlineStr">
        <is>
          <t>—</t>
        </is>
      </c>
      <c r="U109" s="68" t="inlineStr">
        <is>
          <t>—</t>
        </is>
      </c>
      <c r="V109" s="68" t="inlineStr">
        <is>
          <t>COM-32.07</t>
        </is>
      </c>
      <c r="W109" s="83" t="inlineStr">
        <is>
          <t>Libellé (« Donnée »)</t>
        </is>
      </c>
    </row>
    <row r="110" ht="15" customHeight="1" s="53">
      <c r="A110" s="81" t="inlineStr">
        <is>
          <t>COM-32.04</t>
        </is>
      </c>
      <c r="B110" s="67" t="inlineStr">
        <is>
          <t>COM-32</t>
        </is>
      </c>
      <c r="C110" s="95">
        <f>IFERROR(INDEX(Thèmes!$D$2:$D$190,MATCH(B110,Thèmes!$A$2:$A$190,0)),"")</f>
        <v/>
      </c>
      <c r="D110" s="68" t="inlineStr">
        <is>
          <t>—</t>
        </is>
      </c>
      <c r="E110" s="68" t="inlineStr">
        <is>
          <t>Budget communication total par mois</t>
        </is>
      </c>
      <c r="F110" s="68" t="inlineStr">
        <is>
          <t>€</t>
        </is>
      </c>
      <c r="G110" s="96" t="inlineStr">
        <is>
          <t>Calculée</t>
        </is>
      </c>
      <c r="H110" s="67" t="inlineStr">
        <is>
          <t>—</t>
        </is>
      </c>
      <c r="I110" s="68" t="inlineStr">
        <is>
          <t>—</t>
        </is>
      </c>
      <c r="J110" s="68" t="inlineStr">
        <is>
          <t>—</t>
        </is>
      </c>
      <c r="K110" s="67" t="inlineStr">
        <is>
          <t>●</t>
        </is>
      </c>
      <c r="L110" s="67" t="inlineStr">
        <is>
          <t>●</t>
        </is>
      </c>
      <c r="M110" s="67" t="inlineStr">
        <is>
          <t>●</t>
        </is>
      </c>
      <c r="N110" s="67" t="inlineStr">
        <is>
          <t>●</t>
        </is>
      </c>
      <c r="O110" s="67" t="inlineStr">
        <is>
          <t>●</t>
        </is>
      </c>
      <c r="P110" s="67" t="inlineStr">
        <is>
          <t>●</t>
        </is>
      </c>
      <c r="Q110" s="67" t="inlineStr">
        <is>
          <t>●</t>
        </is>
      </c>
      <c r="R110" s="67" t="inlineStr">
        <is>
          <t>●</t>
        </is>
      </c>
      <c r="S110" s="68" t="inlineStr">
        <is>
          <t>Mesure</t>
        </is>
      </c>
      <c r="T110" s="68" t="inlineStr">
        <is>
          <t>Postes partagés + autres postes</t>
        </is>
      </c>
      <c r="U110" s="68" t="inlineStr">
        <is>
          <t>ACQ-07.03, ACQ-07.01, ACQ-07.04, COM-32.02</t>
        </is>
      </c>
      <c r="V110" s="68" t="inlineStr">
        <is>
          <t>COM-32.05, COM-32.06, COM-32.07</t>
        </is>
      </c>
      <c r="W110" s="83" t="n"/>
    </row>
    <row r="111" ht="23.85" customHeight="1" s="53">
      <c r="A111" s="81" t="inlineStr">
        <is>
          <t>COM-32.05</t>
        </is>
      </c>
      <c r="B111" s="67" t="inlineStr">
        <is>
          <t>COM-32</t>
        </is>
      </c>
      <c r="C111" s="95">
        <f>IFERROR(INDEX(Thèmes!$D$2:$D$190,MATCH(B111,Thèmes!$A$2:$A$190,0)),"")</f>
        <v/>
      </c>
      <c r="D111" s="68" t="inlineStr">
        <is>
          <t>—</t>
        </is>
      </c>
      <c r="E111" s="68" t="inlineStr">
        <is>
          <t>Coût par contenu publié</t>
        </is>
      </c>
      <c r="F111" s="68" t="inlineStr">
        <is>
          <t>€</t>
        </is>
      </c>
      <c r="G111" s="96" t="inlineStr">
        <is>
          <t>Calculée</t>
        </is>
      </c>
      <c r="H111" s="67" t="inlineStr">
        <is>
          <t>—</t>
        </is>
      </c>
      <c r="I111" s="68" t="inlineStr">
        <is>
          <t>—</t>
        </is>
      </c>
      <c r="J111" s="68" t="inlineStr">
        <is>
          <t>—</t>
        </is>
      </c>
      <c r="K111" s="67" t="inlineStr">
        <is>
          <t>●</t>
        </is>
      </c>
      <c r="L111" s="67" t="inlineStr">
        <is>
          <t>●</t>
        </is>
      </c>
      <c r="M111" s="67" t="inlineStr">
        <is>
          <t>●</t>
        </is>
      </c>
      <c r="N111" s="67" t="inlineStr">
        <is>
          <t>●</t>
        </is>
      </c>
      <c r="O111" s="67" t="inlineStr">
        <is>
          <t>●</t>
        </is>
      </c>
      <c r="P111" s="67" t="inlineStr">
        <is>
          <t>●</t>
        </is>
      </c>
      <c r="Q111" s="67" t="inlineStr">
        <is>
          <t>●</t>
        </is>
      </c>
      <c r="R111" s="67" t="inlineStr">
        <is>
          <t>●</t>
        </is>
      </c>
      <c r="S111" s="68" t="inlineStr">
        <is>
          <t>Cible</t>
        </is>
      </c>
      <c r="T111" s="68" t="inlineStr">
        <is>
          <t>Budget ÷ publications du mois</t>
        </is>
      </c>
      <c r="U111" s="68" t="inlineStr">
        <is>
          <t>COM-32.04, COM-10.01</t>
        </is>
      </c>
      <c r="V111" s="68" t="inlineStr">
        <is>
          <t>XC22</t>
        </is>
      </c>
      <c r="W111" s="83" t="n"/>
    </row>
    <row r="112" ht="23.85" customHeight="1" s="53">
      <c r="A112" s="81" t="inlineStr">
        <is>
          <t>COM-32.06</t>
        </is>
      </c>
      <c r="B112" s="67" t="inlineStr">
        <is>
          <t>COM-32</t>
        </is>
      </c>
      <c r="C112" s="95">
        <f>IFERROR(INDEX(Thèmes!$D$2:$D$190,MATCH(B112,Thèmes!$A$2:$A$190,0)),"")</f>
        <v/>
      </c>
      <c r="D112" s="68" t="inlineStr">
        <is>
          <t>—</t>
        </is>
      </c>
      <c r="E112" s="68" t="inlineStr">
        <is>
          <t>Coût par demande et par client venant de la communication (temps compris)</t>
        </is>
      </c>
      <c r="F112" s="68" t="inlineStr">
        <is>
          <t>€</t>
        </is>
      </c>
      <c r="G112" s="96" t="inlineStr">
        <is>
          <t>Calculée</t>
        </is>
      </c>
      <c r="H112" s="67" t="inlineStr">
        <is>
          <t>—</t>
        </is>
      </c>
      <c r="I112" s="68" t="inlineStr">
        <is>
          <t>—</t>
        </is>
      </c>
      <c r="J112" s="68" t="inlineStr">
        <is>
          <t>—</t>
        </is>
      </c>
      <c r="K112" s="67" t="inlineStr">
        <is>
          <t>●</t>
        </is>
      </c>
      <c r="L112" s="67" t="inlineStr">
        <is>
          <t>●</t>
        </is>
      </c>
      <c r="M112" s="67" t="inlineStr">
        <is>
          <t>●</t>
        </is>
      </c>
      <c r="N112" s="67" t="inlineStr">
        <is>
          <t>●</t>
        </is>
      </c>
      <c r="O112" s="67" t="inlineStr">
        <is>
          <t>●</t>
        </is>
      </c>
      <c r="P112" s="67" t="inlineStr">
        <is>
          <t>●</t>
        </is>
      </c>
      <c r="Q112" s="67" t="inlineStr">
        <is>
          <t>●</t>
        </is>
      </c>
      <c r="R112" s="67" t="n"/>
      <c r="S112" s="68" t="inlineStr">
        <is>
          <t>Levier</t>
        </is>
      </c>
      <c r="T112" s="68" t="inlineStr">
        <is>
          <t>(Budget + valeur du temps) ÷ demandes, puis ÷ clients</t>
        </is>
      </c>
      <c r="U112" s="68" t="inlineStr">
        <is>
          <t>COM-32.04, COM-31.08, COM-22.02</t>
        </is>
      </c>
      <c r="V112" s="68" t="inlineStr">
        <is>
          <t>XC22, DC12</t>
        </is>
      </c>
      <c r="W112" s="83" t="n"/>
    </row>
    <row r="113" ht="46.25" customHeight="1" s="53">
      <c r="A113" s="81" t="inlineStr">
        <is>
          <t>COM-32.07</t>
        </is>
      </c>
      <c r="B113" s="67" t="inlineStr">
        <is>
          <t>COM-32</t>
        </is>
      </c>
      <c r="C113" s="95">
        <f>IFERROR(INDEX(Thèmes!$D$2:$D$190,MATCH(B113,Thèmes!$A$2:$A$190,0)),"")</f>
        <v/>
      </c>
      <c r="D113" s="68" t="inlineStr">
        <is>
          <t>—</t>
        </is>
      </c>
      <c r="E113" s="68" t="inlineStr">
        <is>
          <t>Évolution du budget sur 12 mois, face à l'évolution des demandes</t>
        </is>
      </c>
      <c r="F113" s="68" t="inlineStr">
        <is>
          <t>%</t>
        </is>
      </c>
      <c r="G113" s="96" t="inlineStr">
        <is>
          <t>Calculée</t>
        </is>
      </c>
      <c r="H113" s="67" t="inlineStr">
        <is>
          <t>—</t>
        </is>
      </c>
      <c r="I113" s="68" t="inlineStr">
        <is>
          <t>—</t>
        </is>
      </c>
      <c r="J113" s="68" t="inlineStr">
        <is>
          <t>—</t>
        </is>
      </c>
      <c r="K113" s="67" t="inlineStr">
        <is>
          <t>●</t>
        </is>
      </c>
      <c r="L113" s="67" t="inlineStr">
        <is>
          <t>●</t>
        </is>
      </c>
      <c r="M113" s="67" t="inlineStr">
        <is>
          <t>●</t>
        </is>
      </c>
      <c r="N113" s="67" t="inlineStr">
        <is>
          <t>●</t>
        </is>
      </c>
      <c r="O113" s="67" t="inlineStr">
        <is>
          <t>●</t>
        </is>
      </c>
      <c r="P113" s="67" t="inlineStr">
        <is>
          <t>●</t>
        </is>
      </c>
      <c r="Q113" s="67" t="inlineStr">
        <is>
          <t>●</t>
        </is>
      </c>
      <c r="R113" s="67" t="inlineStr">
        <is>
          <t>●</t>
        </is>
      </c>
      <c r="S113" s="68" t="inlineStr">
        <is>
          <t>Problème</t>
        </is>
      </c>
      <c r="T113" s="68" t="inlineStr">
        <is>
          <t>Budget marketing et communication par mois aujourd'hui (ACQ-07.06 + COM-32.02) comparé à il y a 12 mois (ACQ-07.05 + COM-32.03). Avant : le budget actuel sans la publicité était comparé au budget passé avec la publicité.</t>
        </is>
      </c>
      <c r="U113" s="68" t="inlineStr">
        <is>
          <t>ACQ-07.06, COM-32.02, ACQ-07.05, COM-32.03, ACQ-02.06</t>
        </is>
      </c>
      <c r="V113" s="68" t="inlineStr">
        <is>
          <t>XC22, DC12</t>
        </is>
      </c>
      <c r="W113" s="83" t="n"/>
    </row>
    <row r="114" ht="23.85" customHeight="1" s="53">
      <c r="A114" s="98" t="inlineStr">
        <is>
          <t>COM-33.01</t>
        </is>
      </c>
      <c r="B114" s="89" t="inlineStr">
        <is>
          <t>COM-33</t>
        </is>
      </c>
      <c r="C114" s="97">
        <f>IFERROR(INDEX(Thèmes!$D$2:$D$190,MATCH(B114,Thèmes!$A$2:$A$190,0)),"")</f>
        <v/>
      </c>
      <c r="D114" s="86" t="inlineStr">
        <is>
          <t>C13 · Vos publications (connexion ou saisie)</t>
        </is>
      </c>
      <c r="E114" s="86" t="inlineStr">
        <is>
          <t>Régularité par réseau : semaines publiées sur 12 et plus longue pause (remplace la saisie des dates et COM-10.02 quand le réseau n'est pas connecté)</t>
        </is>
      </c>
      <c r="F114" s="86" t="inlineStr">
        <is>
          <t>Tableau : Semaines avec une publication · Plus longue pause (lignes cadrage: D22)</t>
        </is>
      </c>
      <c r="G114" s="89" t="inlineStr">
        <is>
          <t>Demandée</t>
        </is>
      </c>
      <c r="H114" s="89" t="inlineStr">
        <is>
          <t>Essentiel</t>
        </is>
      </c>
      <c r="I114" s="100" t="inlineStr">
        <is>
          <t>D21 · si vous publiez déjà</t>
        </is>
      </c>
      <c r="J114" s="86" t="inlineStr">
        <is>
          <t>Période adaptée : depuis l'ouverture du compte si moins de 3 mois</t>
        </is>
      </c>
      <c r="K114" s="89" t="inlineStr">
        <is>
          <t>●</t>
        </is>
      </c>
      <c r="L114" s="89" t="inlineStr">
        <is>
          <t>●</t>
        </is>
      </c>
      <c r="M114" s="89" t="inlineStr">
        <is>
          <t>●</t>
        </is>
      </c>
      <c r="N114" s="89" t="inlineStr">
        <is>
          <t>●</t>
        </is>
      </c>
      <c r="O114" s="89" t="inlineStr">
        <is>
          <t>●</t>
        </is>
      </c>
      <c r="P114" s="89" t="inlineStr">
        <is>
          <t>●</t>
        </is>
      </c>
      <c r="Q114" s="89" t="inlineStr">
        <is>
          <t>●</t>
        </is>
      </c>
      <c r="R114" s="89" t="inlineStr">
        <is>
          <t>●</t>
        </is>
      </c>
      <c r="S114" s="86" t="inlineStr">
        <is>
          <t>Mesure</t>
        </is>
      </c>
      <c r="T114" s="86" t="inlineStr">
        <is>
          <t>Saisie par le dirigeant tant qu'aucune connexion n'existe. Quand la connexion existera : Lu sur les profils connectés ; sinon : semaines sans publication</t>
        </is>
      </c>
      <c r="U114" s="86" t="inlineStr">
        <is>
          <t>—</t>
        </is>
      </c>
      <c r="V114" s="86" t="inlineStr">
        <is>
          <t>COM-33.02, COM-33.03</t>
        </is>
      </c>
      <c r="W114" s="91" t="inlineStr">
        <is>
          <t>Mode : Importée → Demandée (le dirigeant la saisit) · Format de réponse · Libellé (« Donnée »)</t>
        </is>
      </c>
    </row>
    <row r="115" ht="23.85" customHeight="1" s="53">
      <c r="A115" s="81" t="inlineStr">
        <is>
          <t>COM-33.02</t>
        </is>
      </c>
      <c r="B115" s="67" t="inlineStr">
        <is>
          <t>COM-33</t>
        </is>
      </c>
      <c r="C115" s="95">
        <f>IFERROR(INDEX(Thèmes!$D$2:$D$190,MATCH(B115,Thèmes!$A$2:$A$190,0)),"")</f>
        <v/>
      </c>
      <c r="D115" s="68" t="inlineStr">
        <is>
          <t>—</t>
        </is>
      </c>
      <c r="E115" s="68" t="inlineStr">
        <is>
          <t>Régularité : semaines avec au moins une publication ÷ semaines analysées</t>
        </is>
      </c>
      <c r="F115" s="68" t="inlineStr">
        <is>
          <t>%</t>
        </is>
      </c>
      <c r="G115" s="96" t="inlineStr">
        <is>
          <t>Calculée</t>
        </is>
      </c>
      <c r="H115" s="67" t="inlineStr">
        <is>
          <t>—</t>
        </is>
      </c>
      <c r="I115" s="68" t="inlineStr">
        <is>
          <t>—</t>
        </is>
      </c>
      <c r="J115" s="68" t="inlineStr">
        <is>
          <t>—</t>
        </is>
      </c>
      <c r="K115" s="67" t="inlineStr">
        <is>
          <t>●</t>
        </is>
      </c>
      <c r="L115" s="67" t="inlineStr">
        <is>
          <t>●</t>
        </is>
      </c>
      <c r="M115" s="67" t="inlineStr">
        <is>
          <t>●</t>
        </is>
      </c>
      <c r="N115" s="67" t="inlineStr">
        <is>
          <t>●</t>
        </is>
      </c>
      <c r="O115" s="67" t="inlineStr">
        <is>
          <t>●</t>
        </is>
      </c>
      <c r="P115" s="67" t="inlineStr">
        <is>
          <t>●</t>
        </is>
      </c>
      <c r="Q115" s="67" t="inlineStr">
        <is>
          <t>●</t>
        </is>
      </c>
      <c r="R115" s="67" t="inlineStr">
        <is>
          <t>●</t>
        </is>
      </c>
      <c r="S115" s="68" t="inlineStr">
        <is>
          <t>Cible</t>
        </is>
      </c>
      <c r="T115" s="68" t="inlineStr">
        <is>
          <t>Semaines publiées ÷ semaines de la période</t>
        </is>
      </c>
      <c r="U115" s="68" t="inlineStr">
        <is>
          <t>COM-33.01, COM-10.02</t>
        </is>
      </c>
      <c r="V115" s="68" t="inlineStr">
        <is>
          <t>XC16, DC05</t>
        </is>
      </c>
      <c r="W115" s="83" t="n"/>
    </row>
    <row r="116" ht="23.85" customHeight="1" s="53">
      <c r="A116" s="81" t="inlineStr">
        <is>
          <t>COM-33.03</t>
        </is>
      </c>
      <c r="B116" s="67" t="inlineStr">
        <is>
          <t>COM-33</t>
        </is>
      </c>
      <c r="C116" s="95">
        <f>IFERROR(INDEX(Thèmes!$D$2:$D$190,MATCH(B116,Thèmes!$A$2:$A$190,0)),"")</f>
        <v/>
      </c>
      <c r="D116" s="68" t="inlineStr">
        <is>
          <t>—</t>
        </is>
      </c>
      <c r="E116" s="68" t="inlineStr">
        <is>
          <t>Durée moyenne entre deux publications, et plus longue interruption</t>
        </is>
      </c>
      <c r="F116" s="68" t="inlineStr">
        <is>
          <t>Jours</t>
        </is>
      </c>
      <c r="G116" s="96" t="inlineStr">
        <is>
          <t>Calculée</t>
        </is>
      </c>
      <c r="H116" s="67" t="inlineStr">
        <is>
          <t>—</t>
        </is>
      </c>
      <c r="I116" s="68" t="inlineStr">
        <is>
          <t>—</t>
        </is>
      </c>
      <c r="J116" s="68" t="inlineStr">
        <is>
          <t>—</t>
        </is>
      </c>
      <c r="K116" s="67" t="inlineStr">
        <is>
          <t>●</t>
        </is>
      </c>
      <c r="L116" s="67" t="inlineStr">
        <is>
          <t>●</t>
        </is>
      </c>
      <c r="M116" s="67" t="inlineStr">
        <is>
          <t>●</t>
        </is>
      </c>
      <c r="N116" s="67" t="inlineStr">
        <is>
          <t>●</t>
        </is>
      </c>
      <c r="O116" s="67" t="inlineStr">
        <is>
          <t>●</t>
        </is>
      </c>
      <c r="P116" s="67" t="inlineStr">
        <is>
          <t>●</t>
        </is>
      </c>
      <c r="Q116" s="67" t="inlineStr">
        <is>
          <t>●</t>
        </is>
      </c>
      <c r="R116" s="67" t="inlineStr">
        <is>
          <t>●</t>
        </is>
      </c>
      <c r="S116" s="68" t="inlineStr">
        <is>
          <t>Problème</t>
        </is>
      </c>
      <c r="T116" s="68" t="inlineStr">
        <is>
          <t>Écart moyen et écart maximal entre deux dates</t>
        </is>
      </c>
      <c r="U116" s="68" t="inlineStr">
        <is>
          <t>COM-33.01</t>
        </is>
      </c>
      <c r="V116" s="68" t="inlineStr">
        <is>
          <t>XC16, DC05</t>
        </is>
      </c>
      <c r="W116" s="83" t="n"/>
    </row>
    <row r="117" ht="23.85" customHeight="1" s="53">
      <c r="A117" s="85" t="inlineStr">
        <is>
          <t>COM-34.01</t>
        </is>
      </c>
      <c r="B117" s="89" t="inlineStr">
        <is>
          <t>COM-34</t>
        </is>
      </c>
      <c r="C117" s="97">
        <f>IFERROR(INDEX(Thèmes!$D$2:$D$190,MATCH(B117,Thèmes!$A$2:$A$190,0)),"")</f>
        <v/>
      </c>
      <c r="D117" s="86" t="inlineStr">
        <is>
          <t>C10 · Votre stratégie et votre organisation</t>
        </is>
      </c>
      <c r="E117" s="86" t="inlineStr">
        <is>
          <t>Un même contenu est décliné sur plusieurs réseaux ou formats : souvent, parfois, jamais</t>
        </is>
      </c>
      <c r="F117" s="86" t="inlineStr">
        <is>
          <t>Choix</t>
        </is>
      </c>
      <c r="G117" s="89" t="inlineStr">
        <is>
          <t>Demandée</t>
        </is>
      </c>
      <c r="H117" s="89" t="inlineStr">
        <is>
          <t>Essentiel</t>
        </is>
      </c>
      <c r="I117" s="100" t="inlineStr">
        <is>
          <t>D21 · si vous publiez déjà</t>
        </is>
      </c>
      <c r="J117" s="86" t="inlineStr">
        <is>
          <t>—</t>
        </is>
      </c>
      <c r="K117" s="89" t="inlineStr">
        <is>
          <t>●</t>
        </is>
      </c>
      <c r="L117" s="89" t="inlineStr">
        <is>
          <t>●</t>
        </is>
      </c>
      <c r="M117" s="89" t="inlineStr">
        <is>
          <t>●</t>
        </is>
      </c>
      <c r="N117" s="89" t="inlineStr">
        <is>
          <t>●</t>
        </is>
      </c>
      <c r="O117" s="89" t="inlineStr">
        <is>
          <t>●</t>
        </is>
      </c>
      <c r="P117" s="89" t="inlineStr">
        <is>
          <t>●</t>
        </is>
      </c>
      <c r="Q117" s="89" t="inlineStr">
        <is>
          <t>●</t>
        </is>
      </c>
      <c r="R117" s="89" t="inlineStr">
        <is>
          <t>●</t>
        </is>
      </c>
      <c r="S117" s="86" t="inlineStr">
        <is>
          <t>Levier</t>
        </is>
      </c>
      <c r="T117" s="86" t="inlineStr">
        <is>
          <t>—</t>
        </is>
      </c>
      <c r="U117" s="86" t="inlineStr">
        <is>
          <t>—</t>
        </is>
      </c>
      <c r="V117" s="86" t="inlineStr">
        <is>
          <t>Notée directement (couleur du thème)</t>
        </is>
      </c>
      <c r="W117" s="91" t="n"/>
    </row>
    <row r="118" ht="46.25" customHeight="1" s="53">
      <c r="A118" s="81" t="inlineStr">
        <is>
          <t>COM-34.02</t>
        </is>
      </c>
      <c r="B118" s="67" t="inlineStr">
        <is>
          <t>COM-34</t>
        </is>
      </c>
      <c r="C118" s="95">
        <f>IFERROR(INDEX(Thèmes!$D$2:$D$190,MATCH(B118,Thèmes!$A$2:$A$190,0)),"")</f>
        <v/>
      </c>
      <c r="D118" s="68" t="inlineStr">
        <is>
          <t>C10 · Votre stratégie et votre organisation</t>
        </is>
      </c>
      <c r="E118" s="68" t="inlineStr">
        <is>
          <t>Contenus longs (vidéos, articles, webinaires) ou anciens contenus performants réutilisables</t>
        </is>
      </c>
      <c r="F118" s="68" t="inlineStr">
        <is>
          <t>Nombre</t>
        </is>
      </c>
      <c r="G118" s="67" t="inlineStr">
        <is>
          <t>Demandée</t>
        </is>
      </c>
      <c r="H118" s="67" t="inlineStr">
        <is>
          <t>Approfondi</t>
        </is>
      </c>
      <c r="I118" s="99" t="inlineStr">
        <is>
          <t>D21 · si vous publiez déjà</t>
        </is>
      </c>
      <c r="J118" s="68" t="inlineStr">
        <is>
          <t>—</t>
        </is>
      </c>
      <c r="K118" s="67" t="inlineStr">
        <is>
          <t>●</t>
        </is>
      </c>
      <c r="L118" s="67" t="inlineStr">
        <is>
          <t>●</t>
        </is>
      </c>
      <c r="M118" s="67" t="inlineStr">
        <is>
          <t>●</t>
        </is>
      </c>
      <c r="N118" s="67" t="inlineStr">
        <is>
          <t>●</t>
        </is>
      </c>
      <c r="O118" s="67" t="inlineStr">
        <is>
          <t>●</t>
        </is>
      </c>
      <c r="P118" s="67" t="inlineStr">
        <is>
          <t>●</t>
        </is>
      </c>
      <c r="Q118" s="67" t="inlineStr">
        <is>
          <t>●</t>
        </is>
      </c>
      <c r="R118" s="67" t="inlineStr">
        <is>
          <t>●</t>
        </is>
      </c>
      <c r="S118" s="68" t="inlineStr">
        <is>
          <t>Opportunité</t>
        </is>
      </c>
      <c r="T118" s="68" t="inlineStr">
        <is>
          <t>—</t>
        </is>
      </c>
      <c r="U118" s="68" t="inlineStr">
        <is>
          <t>—</t>
        </is>
      </c>
      <c r="V118" s="68" t="inlineStr">
        <is>
          <t>COM-34.03</t>
        </is>
      </c>
      <c r="W118" s="83" t="n"/>
    </row>
    <row r="119" ht="23.85" customHeight="1" s="53">
      <c r="A119" s="81" t="inlineStr">
        <is>
          <t>COM-34.03</t>
        </is>
      </c>
      <c r="B119" s="67" t="inlineStr">
        <is>
          <t>COM-34</t>
        </is>
      </c>
      <c r="C119" s="95">
        <f>IFERROR(INDEX(Thèmes!$D$2:$D$190,MATCH(B119,Thèmes!$A$2:$A$190,0)),"")</f>
        <v/>
      </c>
      <c r="D119" s="68" t="inlineStr">
        <is>
          <t>—</t>
        </is>
      </c>
      <c r="E119" s="68" t="inlineStr">
        <is>
          <t>Contenus réutilisables sans nouvelle production</t>
        </is>
      </c>
      <c r="F119" s="68" t="inlineStr">
        <is>
          <t>Liste et nombre</t>
        </is>
      </c>
      <c r="G119" s="96" t="inlineStr">
        <is>
          <t>Calculée</t>
        </is>
      </c>
      <c r="H119" s="67" t="inlineStr">
        <is>
          <t>—</t>
        </is>
      </c>
      <c r="I119" s="68" t="inlineStr">
        <is>
          <t>—</t>
        </is>
      </c>
      <c r="J119" s="68" t="inlineStr">
        <is>
          <t>—</t>
        </is>
      </c>
      <c r="K119" s="67" t="inlineStr">
        <is>
          <t>●</t>
        </is>
      </c>
      <c r="L119" s="67" t="inlineStr">
        <is>
          <t>●</t>
        </is>
      </c>
      <c r="M119" s="67" t="inlineStr">
        <is>
          <t>●</t>
        </is>
      </c>
      <c r="N119" s="67" t="inlineStr">
        <is>
          <t>●</t>
        </is>
      </c>
      <c r="O119" s="67" t="inlineStr">
        <is>
          <t>●</t>
        </is>
      </c>
      <c r="P119" s="67" t="inlineStr">
        <is>
          <t>●</t>
        </is>
      </c>
      <c r="Q119" s="67" t="inlineStr">
        <is>
          <t>●</t>
        </is>
      </c>
      <c r="R119" s="67" t="inlineStr">
        <is>
          <t>●</t>
        </is>
      </c>
      <c r="S119" s="68" t="inlineStr">
        <is>
          <t>Opportunité</t>
        </is>
      </c>
      <c r="T119" s="68" t="inlineStr">
        <is>
          <t>Repérés par l'IA : vidéos longues → extraits, cas clients → posts, questions fréquentes → contenus, témoignages et photos non publiés, anciens contenus performants à republier</t>
        </is>
      </c>
      <c r="U119" s="68" t="inlineStr">
        <is>
          <t>COM-09.01, COM-34.02, COM-39.01</t>
        </is>
      </c>
      <c r="V119" s="68" t="inlineStr">
        <is>
          <t>XC15</t>
        </is>
      </c>
      <c r="W119" s="83" t="n"/>
    </row>
    <row r="120" ht="35.05" customHeight="1" s="53">
      <c r="A120" s="85" t="inlineStr">
        <is>
          <t>COM-35.01</t>
        </is>
      </c>
      <c r="B120" s="89" t="inlineStr">
        <is>
          <t>COM-35</t>
        </is>
      </c>
      <c r="C120" s="97">
        <f>IFERROR(INDEX(Thèmes!$D$2:$D$190,MATCH(B120,Thèmes!$A$2:$A$190,0)),"")</f>
        <v/>
      </c>
      <c r="D120" s="86" t="inlineStr">
        <is>
          <t>C10 · Votre stratégie et votre organisation</t>
        </is>
      </c>
      <c r="E120" s="86" t="inlineStr">
        <is>
          <t>Contenus prêts d'avance (finalisés ou programmés), contenus à finaliser, idées notées</t>
        </is>
      </c>
      <c r="F120" s="86" t="inlineStr">
        <is>
          <t>3 nombres</t>
        </is>
      </c>
      <c r="G120" s="89" t="inlineStr">
        <is>
          <t>Demandée</t>
        </is>
      </c>
      <c r="H120" s="89" t="inlineStr">
        <is>
          <t>Essentiel</t>
        </is>
      </c>
      <c r="I120" s="100" t="inlineStr">
        <is>
          <t>D21 · si vous publiez déjà</t>
        </is>
      </c>
      <c r="J120" s="86" t="inlineStr">
        <is>
          <t>—</t>
        </is>
      </c>
      <c r="K120" s="89" t="inlineStr">
        <is>
          <t>●</t>
        </is>
      </c>
      <c r="L120" s="89" t="inlineStr">
        <is>
          <t>●</t>
        </is>
      </c>
      <c r="M120" s="89" t="inlineStr">
        <is>
          <t>●</t>
        </is>
      </c>
      <c r="N120" s="89" t="inlineStr">
        <is>
          <t>●</t>
        </is>
      </c>
      <c r="O120" s="89" t="inlineStr">
        <is>
          <t>●</t>
        </is>
      </c>
      <c r="P120" s="89" t="inlineStr">
        <is>
          <t>●</t>
        </is>
      </c>
      <c r="Q120" s="89" t="inlineStr">
        <is>
          <t>●</t>
        </is>
      </c>
      <c r="R120" s="89" t="inlineStr">
        <is>
          <t>●</t>
        </is>
      </c>
      <c r="S120" s="86" t="inlineStr">
        <is>
          <t>Capacité</t>
        </is>
      </c>
      <c r="T120" s="86" t="inlineStr">
        <is>
          <t>—</t>
        </is>
      </c>
      <c r="U120" s="86" t="inlineStr">
        <is>
          <t>—</t>
        </is>
      </c>
      <c r="V120" s="86" t="inlineStr">
        <is>
          <t>COM-35.03</t>
        </is>
      </c>
      <c r="W120" s="91" t="n"/>
    </row>
    <row r="121" ht="15" customHeight="1" s="53">
      <c r="A121" s="94" t="inlineStr">
        <is>
          <t>COM-35.02</t>
        </is>
      </c>
      <c r="B121" s="67" t="inlineStr">
        <is>
          <t>COM-35</t>
        </is>
      </c>
      <c r="C121" s="95">
        <f>IFERROR(INDEX(Thèmes!$D$2:$D$190,MATCH(B121,Thèmes!$A$2:$A$190,0)),"")</f>
        <v/>
      </c>
      <c r="D121" s="68" t="inlineStr">
        <is>
          <t>C10 · Votre stratégie et votre organisation</t>
        </is>
      </c>
      <c r="E121" s="68" t="inlineStr">
        <is>
          <t>Ressources disponibles pour produire (posée aussi dans le parcours mise en place : elle sert l'agent de création)</t>
        </is>
      </c>
      <c r="F121" s="68" t="inlineStr">
        <is>
          <t>Cases + nombre</t>
        </is>
      </c>
      <c r="G121" s="67" t="inlineStr">
        <is>
          <t>Demandée</t>
        </is>
      </c>
      <c r="H121" s="67" t="inlineStr">
        <is>
          <t>Essentiel</t>
        </is>
      </c>
      <c r="I121" s="68" t="inlineStr">
        <is>
          <t>—</t>
        </is>
      </c>
      <c r="J121" s="68" t="inlineStr">
        <is>
          <t>—</t>
        </is>
      </c>
      <c r="K121" s="67" t="inlineStr">
        <is>
          <t>●</t>
        </is>
      </c>
      <c r="L121" s="67" t="inlineStr">
        <is>
          <t>●</t>
        </is>
      </c>
      <c r="M121" s="67" t="inlineStr">
        <is>
          <t>●</t>
        </is>
      </c>
      <c r="N121" s="67" t="inlineStr">
        <is>
          <t>●</t>
        </is>
      </c>
      <c r="O121" s="67" t="inlineStr">
        <is>
          <t>●</t>
        </is>
      </c>
      <c r="P121" s="67" t="inlineStr">
        <is>
          <t>●</t>
        </is>
      </c>
      <c r="Q121" s="67" t="inlineStr">
        <is>
          <t>●</t>
        </is>
      </c>
      <c r="R121" s="67" t="inlineStr">
        <is>
          <t>●</t>
        </is>
      </c>
      <c r="S121" s="68" t="inlineStr">
        <is>
          <t>Capacité</t>
        </is>
      </c>
      <c r="T121" s="68" t="inlineStr">
        <is>
          <t>—</t>
        </is>
      </c>
      <c r="U121" s="68" t="inlineStr">
        <is>
          <t>—</t>
        </is>
      </c>
      <c r="V121" s="68" t="inlineStr">
        <is>
          <t>Lue par l'IA pour adapter le conseil</t>
        </is>
      </c>
      <c r="W121" s="83" t="inlineStr">
        <is>
          <t>Libellé (« Donnée ») · Condition d'affichage · Niveau</t>
        </is>
      </c>
    </row>
    <row r="122" ht="23.85" customHeight="1" s="53">
      <c r="A122" s="81" t="inlineStr">
        <is>
          <t>COM-35.03</t>
        </is>
      </c>
      <c r="B122" s="67" t="inlineStr">
        <is>
          <t>COM-35</t>
        </is>
      </c>
      <c r="C122" s="95">
        <f>IFERROR(INDEX(Thèmes!$D$2:$D$190,MATCH(B122,Thèmes!$A$2:$A$190,0)),"")</f>
        <v/>
      </c>
      <c r="D122" s="68" t="inlineStr">
        <is>
          <t>—</t>
        </is>
      </c>
      <c r="E122" s="68" t="inlineStr">
        <is>
          <t>Semaines de publication d'avance</t>
        </is>
      </c>
      <c r="F122" s="68" t="inlineStr">
        <is>
          <t>Semaines</t>
        </is>
      </c>
      <c r="G122" s="96" t="inlineStr">
        <is>
          <t>Calculée</t>
        </is>
      </c>
      <c r="H122" s="67" t="inlineStr">
        <is>
          <t>—</t>
        </is>
      </c>
      <c r="I122" s="68" t="inlineStr">
        <is>
          <t>—</t>
        </is>
      </c>
      <c r="J122" s="68" t="inlineStr">
        <is>
          <t>—</t>
        </is>
      </c>
      <c r="K122" s="67" t="inlineStr">
        <is>
          <t>●</t>
        </is>
      </c>
      <c r="L122" s="67" t="inlineStr">
        <is>
          <t>●</t>
        </is>
      </c>
      <c r="M122" s="67" t="inlineStr">
        <is>
          <t>●</t>
        </is>
      </c>
      <c r="N122" s="67" t="inlineStr">
        <is>
          <t>●</t>
        </is>
      </c>
      <c r="O122" s="67" t="inlineStr">
        <is>
          <t>●</t>
        </is>
      </c>
      <c r="P122" s="67" t="inlineStr">
        <is>
          <t>●</t>
        </is>
      </c>
      <c r="Q122" s="67" t="inlineStr">
        <is>
          <t>●</t>
        </is>
      </c>
      <c r="R122" s="67" t="inlineStr">
        <is>
          <t>●</t>
        </is>
      </c>
      <c r="S122" s="68" t="inlineStr">
        <is>
          <t>Capacité</t>
        </is>
      </c>
      <c r="T122" s="68" t="inlineStr">
        <is>
          <t>Contenus prêts ÷ publications par semaine</t>
        </is>
      </c>
      <c r="U122" s="68" t="inlineStr">
        <is>
          <t>COM-35.01, COM-10.01</t>
        </is>
      </c>
      <c r="V122" s="68" t="inlineStr">
        <is>
          <t>XC17, DC01</t>
        </is>
      </c>
      <c r="W122" s="83" t="n"/>
    </row>
    <row r="123" ht="57.45" customHeight="1" s="53">
      <c r="A123" s="85" t="inlineStr">
        <is>
          <t>COM-36.01</t>
        </is>
      </c>
      <c r="B123" s="89" t="inlineStr">
        <is>
          <t>COM-36</t>
        </is>
      </c>
      <c r="C123" s="97">
        <f>IFERROR(INDEX(Thèmes!$D$2:$D$190,MATCH(B123,Thèmes!$A$2:$A$190,0)),"")</f>
        <v/>
      </c>
      <c r="D123" s="86" t="inlineStr">
        <is>
          <t>—</t>
        </is>
      </c>
      <c r="E123" s="86" t="inlineStr">
        <is>
          <t>Taux d'engagement par réseau</t>
        </is>
      </c>
      <c r="F123" s="86" t="inlineStr">
        <is>
          <t>%</t>
        </is>
      </c>
      <c r="G123" s="102" t="inlineStr">
        <is>
          <t>Calculée</t>
        </is>
      </c>
      <c r="H123" s="89" t="inlineStr">
        <is>
          <t>—</t>
        </is>
      </c>
      <c r="I123" s="86" t="inlineStr">
        <is>
          <t>—</t>
        </is>
      </c>
      <c r="J123" s="86" t="inlineStr">
        <is>
          <t>—</t>
        </is>
      </c>
      <c r="K123" s="89" t="inlineStr">
        <is>
          <t>●</t>
        </is>
      </c>
      <c r="L123" s="89" t="inlineStr">
        <is>
          <t>●</t>
        </is>
      </c>
      <c r="M123" s="89" t="inlineStr">
        <is>
          <t>●</t>
        </is>
      </c>
      <c r="N123" s="89" t="inlineStr">
        <is>
          <t>●</t>
        </is>
      </c>
      <c r="O123" s="89" t="inlineStr">
        <is>
          <t>●</t>
        </is>
      </c>
      <c r="P123" s="89" t="inlineStr">
        <is>
          <t>●</t>
        </is>
      </c>
      <c r="Q123" s="89" t="inlineStr">
        <is>
          <t>●</t>
        </is>
      </c>
      <c r="R123" s="89" t="inlineStr">
        <is>
          <t>●</t>
        </is>
      </c>
      <c r="S123" s="86" t="inlineStr">
        <is>
          <t>Cible</t>
        </is>
      </c>
      <c r="T123" s="86" t="inlineStr">
        <is>
          <t>Réactions ÷ portée (à défaut ÷ abonnés, en le précisant)</t>
        </is>
      </c>
      <c r="U123" s="86" t="inlineStr">
        <is>
          <t>COM-18.01, COM-17.01</t>
        </is>
      </c>
      <c r="V123" s="86" t="inlineStr">
        <is>
          <t>XC19, DC02</t>
        </is>
      </c>
      <c r="W123" s="91" t="n"/>
    </row>
    <row r="124" ht="35.05" customHeight="1" s="53">
      <c r="A124" s="98" t="inlineStr">
        <is>
          <t>COM-37.01</t>
        </is>
      </c>
      <c r="B124" s="89" t="inlineStr">
        <is>
          <t>COM-37</t>
        </is>
      </c>
      <c r="C124" s="97">
        <f>IFERROR(INDEX(Thèmes!$D$2:$D$190,MATCH(B124,Thèmes!$A$2:$A$190,0)),"")</f>
        <v/>
      </c>
      <c r="D124" s="86" t="inlineStr">
        <is>
          <t>C07 · Audience et résultats par réseau (tableau)</t>
        </is>
      </c>
      <c r="E124" s="86" t="inlineStr">
        <is>
          <t>Abonnés de chaque réseau il y a 6 mois</t>
        </is>
      </c>
      <c r="F124" s="86" t="inlineStr">
        <is>
          <t>Tableau : Abonnés il y a 6 mois (lignes cadrage: D22)</t>
        </is>
      </c>
      <c r="G124" s="89" t="inlineStr">
        <is>
          <t>Demandée</t>
        </is>
      </c>
      <c r="H124" s="89" t="inlineStr">
        <is>
          <t>Essentiel</t>
        </is>
      </c>
      <c r="I124" s="100" t="inlineStr">
        <is>
          <t>D22 · une ligne par réseau utilisé</t>
        </is>
      </c>
      <c r="J124" s="86" t="inlineStr">
        <is>
          <t>Par réseau : seulement si le compte existait il y a 6 mois ; sinon abonnés à l'ouverture du compte</t>
        </is>
      </c>
      <c r="K124" s="89" t="inlineStr">
        <is>
          <t>●</t>
        </is>
      </c>
      <c r="L124" s="89" t="inlineStr">
        <is>
          <t>●</t>
        </is>
      </c>
      <c r="M124" s="89" t="inlineStr">
        <is>
          <t>●</t>
        </is>
      </c>
      <c r="N124" s="89" t="inlineStr">
        <is>
          <t>●</t>
        </is>
      </c>
      <c r="O124" s="89" t="inlineStr">
        <is>
          <t>●</t>
        </is>
      </c>
      <c r="P124" s="89" t="inlineStr">
        <is>
          <t>●</t>
        </is>
      </c>
      <c r="Q124" s="89" t="inlineStr">
        <is>
          <t>●</t>
        </is>
      </c>
      <c r="R124" s="89" t="inlineStr">
        <is>
          <t>●</t>
        </is>
      </c>
      <c r="S124" s="86" t="inlineStr">
        <is>
          <t>Problème</t>
        </is>
      </c>
      <c r="T124" s="86" t="inlineStr">
        <is>
          <t>Saisie par le dirigeant tant qu'aucune connexion n'existe. Quand la connexion existera : Seulement si le compte existait il y a 6 mois ; sinon abonnés à l'ouverture ou plus ancienne donnée connue, ou « je ne sais pas »</t>
        </is>
      </c>
      <c r="U124" s="86" t="inlineStr">
        <is>
          <t>—</t>
        </is>
      </c>
      <c r="V124" s="86" t="inlineStr">
        <is>
          <t>COM-37.02</t>
        </is>
      </c>
      <c r="W124" s="91" t="inlineStr">
        <is>
          <t>Mode : Importée → Demandée (le dirigeant la saisit) · Format de réponse</t>
        </is>
      </c>
    </row>
    <row r="125" ht="23.85" customHeight="1" s="53">
      <c r="A125" s="81" t="inlineStr">
        <is>
          <t>COM-37.02</t>
        </is>
      </c>
      <c r="B125" s="67" t="inlineStr">
        <is>
          <t>COM-37</t>
        </is>
      </c>
      <c r="C125" s="95">
        <f>IFERROR(INDEX(Thèmes!$D$2:$D$190,MATCH(B125,Thèmes!$A$2:$A$190,0)),"")</f>
        <v/>
      </c>
      <c r="D125" s="68" t="inlineStr">
        <is>
          <t>—</t>
        </is>
      </c>
      <c r="E125" s="68" t="inlineStr">
        <is>
          <t>Croissance de l'audience : nouveaux abonnés nets, en %, et par mois</t>
        </is>
      </c>
      <c r="F125" s="68" t="inlineStr">
        <is>
          <t>Nombre et %</t>
        </is>
      </c>
      <c r="G125" s="96" t="inlineStr">
        <is>
          <t>Calculée</t>
        </is>
      </c>
      <c r="H125" s="67" t="inlineStr">
        <is>
          <t>—</t>
        </is>
      </c>
      <c r="I125" s="68" t="inlineStr">
        <is>
          <t>—</t>
        </is>
      </c>
      <c r="J125" s="68" t="inlineStr">
        <is>
          <t>—</t>
        </is>
      </c>
      <c r="K125" s="67" t="inlineStr">
        <is>
          <t>●</t>
        </is>
      </c>
      <c r="L125" s="67" t="inlineStr">
        <is>
          <t>●</t>
        </is>
      </c>
      <c r="M125" s="67" t="inlineStr">
        <is>
          <t>●</t>
        </is>
      </c>
      <c r="N125" s="67" t="inlineStr">
        <is>
          <t>●</t>
        </is>
      </c>
      <c r="O125" s="67" t="inlineStr">
        <is>
          <t>●</t>
        </is>
      </c>
      <c r="P125" s="67" t="inlineStr">
        <is>
          <t>●</t>
        </is>
      </c>
      <c r="Q125" s="67" t="inlineStr">
        <is>
          <t>●</t>
        </is>
      </c>
      <c r="R125" s="67" t="inlineStr">
        <is>
          <t>●</t>
        </is>
      </c>
      <c r="S125" s="68" t="inlineStr">
        <is>
          <t>Problème</t>
        </is>
      </c>
      <c r="T125" s="68" t="inlineStr">
        <is>
          <t>(Abonnés actuels − abonnés de départ) ÷ abonnés de départ, puis ÷ nombre de mois</t>
        </is>
      </c>
      <c r="U125" s="68" t="inlineStr">
        <is>
          <t>COM-17.01, COM-37.01, COM-10.01</t>
        </is>
      </c>
      <c r="V125" s="68" t="inlineStr">
        <is>
          <t>XC07, XC18</t>
        </is>
      </c>
      <c r="W125" s="83" t="n"/>
    </row>
    <row r="126" ht="147" customHeight="1" s="53">
      <c r="A126" s="85" t="inlineStr">
        <is>
          <t>COM-38.01</t>
        </is>
      </c>
      <c r="B126" s="89" t="inlineStr">
        <is>
          <t>COM-38</t>
        </is>
      </c>
      <c r="C126" s="97">
        <f>IFERROR(INDEX(Thèmes!$D$2:$D$190,MATCH(B126,Thèmes!$A$2:$A$190,0)),"")</f>
        <v/>
      </c>
      <c r="D126" s="86" t="inlineStr">
        <is>
          <t>—</t>
        </is>
      </c>
      <c r="E126" s="86" t="inlineStr">
        <is>
          <t>Rendement de l'audience</t>
        </is>
      </c>
      <c r="F126" s="86" t="inlineStr">
        <is>
          <t>%</t>
        </is>
      </c>
      <c r="G126" s="102" t="inlineStr">
        <is>
          <t>Calculée</t>
        </is>
      </c>
      <c r="H126" s="89" t="inlineStr">
        <is>
          <t>—</t>
        </is>
      </c>
      <c r="I126" s="86" t="inlineStr">
        <is>
          <t>—</t>
        </is>
      </c>
      <c r="J126" s="86" t="inlineStr">
        <is>
          <t>—</t>
        </is>
      </c>
      <c r="K126" s="89" t="inlineStr">
        <is>
          <t>●</t>
        </is>
      </c>
      <c r="L126" s="89" t="inlineStr">
        <is>
          <t>●</t>
        </is>
      </c>
      <c r="M126" s="89" t="inlineStr">
        <is>
          <t>●</t>
        </is>
      </c>
      <c r="N126" s="89" t="inlineStr">
        <is>
          <t>●</t>
        </is>
      </c>
      <c r="O126" s="89" t="inlineStr">
        <is>
          <t>●</t>
        </is>
      </c>
      <c r="P126" s="89" t="inlineStr">
        <is>
          <t>●</t>
        </is>
      </c>
      <c r="Q126" s="89" t="inlineStr">
        <is>
          <t>●</t>
        </is>
      </c>
      <c r="R126" s="89" t="inlineStr">
        <is>
          <t>●</t>
        </is>
      </c>
      <c r="S126" s="86" t="inlineStr">
        <is>
          <t>Cible</t>
        </is>
      </c>
      <c r="T126" s="86" t="inlineStr">
        <is>
          <t>Demandes venant des réseaux ÷ abonnés</t>
        </is>
      </c>
      <c r="U126" s="86" t="inlineStr">
        <is>
          <t>COM-22.02, COM-17.01</t>
        </is>
      </c>
      <c r="V126" s="86" t="inlineStr">
        <is>
          <t>XC20, DC13</t>
        </is>
      </c>
      <c r="W126" s="91" t="n"/>
    </row>
    <row r="127" ht="91" customHeight="1" s="53">
      <c r="A127" s="98" t="inlineStr">
        <is>
          <t>COM-39.01</t>
        </is>
      </c>
      <c r="B127" s="89" t="inlineStr">
        <is>
          <t>COM-39</t>
        </is>
      </c>
      <c r="C127" s="97">
        <f>IFERROR(INDEX(Thèmes!$D$2:$D$190,MATCH(B127,Thèmes!$A$2:$A$190,0)),"")</f>
        <v/>
      </c>
      <c r="D127" s="86" t="inlineStr">
        <is>
          <t>C13 · Vos publications (connexion ou saisie)</t>
        </is>
      </c>
      <c r="E127" s="86" t="inlineStr">
        <is>
          <t>Résultats des 3 meilleures et 3 moins bonnes publications (les 10 dernières sont lues automatiquement si le réseau est connecté)</t>
        </is>
      </c>
      <c r="F127" s="86" t="inlineStr">
        <is>
          <t>Tableau : Réseau · Personnes touchées · Réactions · Visites du profil · Nouveaux abonnés · Clics · Messages ou demandes (lignes fixe: Meilleure 1 / Meilleure 2 / Meilleure 3 / Moins bonne 1 / Moins bonne 2 / Moins bonne 3)</t>
        </is>
      </c>
      <c r="G127" s="89" t="inlineStr">
        <is>
          <t>Demandée</t>
        </is>
      </c>
      <c r="H127" s="89" t="inlineStr">
        <is>
          <t>Essentiel</t>
        </is>
      </c>
      <c r="I127" s="100" t="inlineStr">
        <is>
          <t>D26 · saisie si les statistiques ne sont pas connectées</t>
        </is>
      </c>
      <c r="J127" s="86" t="inlineStr">
        <is>
          <t>—</t>
        </is>
      </c>
      <c r="K127" s="89" t="inlineStr">
        <is>
          <t>●</t>
        </is>
      </c>
      <c r="L127" s="89" t="inlineStr">
        <is>
          <t>●</t>
        </is>
      </c>
      <c r="M127" s="89" t="inlineStr">
        <is>
          <t>●</t>
        </is>
      </c>
      <c r="N127" s="89" t="inlineStr">
        <is>
          <t>●</t>
        </is>
      </c>
      <c r="O127" s="89" t="inlineStr">
        <is>
          <t>●</t>
        </is>
      </c>
      <c r="P127" s="89" t="inlineStr">
        <is>
          <t>●</t>
        </is>
      </c>
      <c r="Q127" s="89" t="inlineStr">
        <is>
          <t>●</t>
        </is>
      </c>
      <c r="R127" s="89" t="inlineStr">
        <is>
          <t>●</t>
        </is>
      </c>
      <c r="S127" s="86" t="inlineStr">
        <is>
          <t>Levier</t>
        </is>
      </c>
      <c r="T127" s="86" t="inlineStr">
        <is>
          <t>Saisie par le dirigeant tant qu'aucune connexion n'existe. Quand la connexion existera : Lu automatiquement si le réseau est connecté ; sinon saisi pour vos 3 meilleures et vos 3 moins bonnes publications seulement</t>
        </is>
      </c>
      <c r="U127" s="86" t="inlineStr">
        <is>
          <t>—</t>
        </is>
      </c>
      <c r="V127" s="86" t="inlineStr">
        <is>
          <t>COM-34.03, COM-39.04, COM-39.05, COM-39.06</t>
        </is>
      </c>
      <c r="W127" s="91" t="inlineStr">
        <is>
          <t>Mode : Importée → Demandée (le dirigeant la saisit) · Format de réponse · Libellé (« Donnée ») · Condition d'affichage</t>
        </is>
      </c>
    </row>
    <row r="128" ht="57.45" customHeight="1" s="53">
      <c r="A128" s="94" t="inlineStr">
        <is>
          <t>COM-39.02</t>
        </is>
      </c>
      <c r="B128" s="67" t="inlineStr">
        <is>
          <t>COM-39</t>
        </is>
      </c>
      <c r="C128" s="95">
        <f>IFERROR(INDEX(Thèmes!$D$2:$D$190,MATCH(B128,Thèmes!$A$2:$A$190,0)),"")</f>
        <v/>
      </c>
      <c r="D128" s="68" t="inlineStr">
        <is>
          <t>C13 · Vos publications (connexion ou saisie)</t>
        </is>
      </c>
      <c r="E128" s="68" t="inlineStr">
        <is>
          <t>Texte et visuel de ces publications</t>
        </is>
      </c>
      <c r="F128" s="68" t="inlineStr">
        <is>
          <t>Tableau : Texte · Lien (lignes fixe: Meilleure 1 / Meilleure 2 / Meilleure 3 / Moins bonne 1 / Moins bonne 2 / Moins bonne 3)</t>
        </is>
      </c>
      <c r="G128" s="67" t="inlineStr">
        <is>
          <t>Demandée</t>
        </is>
      </c>
      <c r="H128" s="67" t="inlineStr">
        <is>
          <t>Essentiel</t>
        </is>
      </c>
      <c r="I128" s="99" t="inlineStr">
        <is>
          <t>D21 · si vous publiez déjà</t>
        </is>
      </c>
      <c r="J128" s="68" t="inlineStr">
        <is>
          <t>—</t>
        </is>
      </c>
      <c r="K128" s="67" t="inlineStr">
        <is>
          <t>●</t>
        </is>
      </c>
      <c r="L128" s="67" t="inlineStr">
        <is>
          <t>●</t>
        </is>
      </c>
      <c r="M128" s="67" t="inlineStr">
        <is>
          <t>●</t>
        </is>
      </c>
      <c r="N128" s="67" t="inlineStr">
        <is>
          <t>●</t>
        </is>
      </c>
      <c r="O128" s="67" t="inlineStr">
        <is>
          <t>●</t>
        </is>
      </c>
      <c r="P128" s="67" t="inlineStr">
        <is>
          <t>●</t>
        </is>
      </c>
      <c r="Q128" s="67" t="inlineStr">
        <is>
          <t>●</t>
        </is>
      </c>
      <c r="R128" s="67" t="inlineStr">
        <is>
          <t>●</t>
        </is>
      </c>
      <c r="S128" s="68" t="inlineStr">
        <is>
          <t>Levier</t>
        </is>
      </c>
      <c r="T128" s="68" t="inlineStr">
        <is>
          <t>Saisie par le dirigeant tant qu'aucune connexion n'existe. Quand la connexion existera : Sert à la grille de qualité et au repérage du format, du sujet et de l'accroche</t>
        </is>
      </c>
      <c r="U128" s="68" t="inlineStr">
        <is>
          <t>—</t>
        </is>
      </c>
      <c r="V128" s="68" t="inlineStr">
        <is>
          <t>COM-06.01, COM-20.01, COM-39.04, COM-49.01, COM-50.01, COM-51.01, COM-52.01, COM-53.01, COM-54.01</t>
        </is>
      </c>
      <c r="W128" s="83" t="inlineStr">
        <is>
          <t>Mode : Importée → Demandée (le dirigeant la saisit) · Format de réponse</t>
        </is>
      </c>
    </row>
    <row r="129" ht="23.85" customHeight="1" s="53">
      <c r="A129" s="94" t="inlineStr">
        <is>
          <t>COM-39.03</t>
        </is>
      </c>
      <c r="B129" s="67" t="inlineStr">
        <is>
          <t>COM-39</t>
        </is>
      </c>
      <c r="C129" s="95">
        <f>IFERROR(INDEX(Thèmes!$D$2:$D$190,MATCH(B129,Thèmes!$A$2:$A$190,0)),"")</f>
        <v/>
      </c>
      <c r="D129" s="68" t="inlineStr">
        <is>
          <t>C13 · Vos publications (connexion ou saisie)</t>
        </is>
      </c>
      <c r="E129" s="68" t="inlineStr">
        <is>
          <t>Pour les vidéos : vues, durée moyenne de visionnage, part regardée jusqu'au bout</t>
        </is>
      </c>
      <c r="F129" s="68" t="inlineStr">
        <is>
          <t>Plusieurs champs : Vues par vidéo · Secondes regardées en moyenne · Part vue jusqu'au bout</t>
        </is>
      </c>
      <c r="G129" s="67" t="inlineStr">
        <is>
          <t>Demandée</t>
        </is>
      </c>
      <c r="H129" s="67" t="inlineStr">
        <is>
          <t>Approfondi</t>
        </is>
      </c>
      <c r="I129" s="99" t="inlineStr">
        <is>
          <t>D26 + D63 · si accès aux statistiques et vidéos publiées</t>
        </is>
      </c>
      <c r="J129" s="68" t="inlineStr">
        <is>
          <t>—</t>
        </is>
      </c>
      <c r="K129" s="67" t="inlineStr">
        <is>
          <t>●</t>
        </is>
      </c>
      <c r="L129" s="67" t="inlineStr">
        <is>
          <t>●</t>
        </is>
      </c>
      <c r="M129" s="67" t="inlineStr">
        <is>
          <t>●</t>
        </is>
      </c>
      <c r="N129" s="67" t="inlineStr">
        <is>
          <t>●</t>
        </is>
      </c>
      <c r="O129" s="67" t="inlineStr">
        <is>
          <t>●</t>
        </is>
      </c>
      <c r="P129" s="67" t="inlineStr">
        <is>
          <t>●</t>
        </is>
      </c>
      <c r="Q129" s="67" t="inlineStr">
        <is>
          <t>●</t>
        </is>
      </c>
      <c r="R129" s="67" t="inlineStr">
        <is>
          <t>●</t>
        </is>
      </c>
      <c r="S129" s="68" t="inlineStr">
        <is>
          <t>Levier</t>
        </is>
      </c>
      <c r="T129" s="68" t="inlineStr">
        <is>
          <t>Saisie par le dirigeant tant qu'aucune connexion n'existe. Quand la connexion existera : Statistiques des réseaux</t>
        </is>
      </c>
      <c r="U129" s="68" t="inlineStr">
        <is>
          <t>—</t>
        </is>
      </c>
      <c r="V129" s="68" t="inlineStr">
        <is>
          <t>Lue par l'IA pour adapter le conseil</t>
        </is>
      </c>
      <c r="W129" s="83" t="inlineStr">
        <is>
          <t>Mode : Importée → Demandée (le dirigeant la saisit) · Format de réponse · Condition d'affichage</t>
        </is>
      </c>
    </row>
    <row r="130" ht="23.85" customHeight="1" s="53">
      <c r="A130" s="81" t="inlineStr">
        <is>
          <t>COM-39.04</t>
        </is>
      </c>
      <c r="B130" s="67" t="inlineStr">
        <is>
          <t>COM-39</t>
        </is>
      </c>
      <c r="C130" s="95">
        <f>IFERROR(INDEX(Thèmes!$D$2:$D$190,MATCH(B130,Thèmes!$A$2:$A$190,0)),"")</f>
        <v/>
      </c>
      <c r="D130" s="68" t="inlineStr">
        <is>
          <t>—</t>
        </is>
      </c>
      <c r="E130" s="68" t="inlineStr">
        <is>
          <t>Format, sujet, accroche, durée, appel à l'action, date, heure et type de chaque publication</t>
        </is>
      </c>
      <c r="F130" s="68" t="inlineStr">
        <is>
          <t>Étiquettes</t>
        </is>
      </c>
      <c r="G130" s="96" t="inlineStr">
        <is>
          <t>Calculée</t>
        </is>
      </c>
      <c r="H130" s="67" t="inlineStr">
        <is>
          <t>—</t>
        </is>
      </c>
      <c r="I130" s="68" t="inlineStr">
        <is>
          <t>—</t>
        </is>
      </c>
      <c r="J130" s="68" t="inlineStr">
        <is>
          <t>—</t>
        </is>
      </c>
      <c r="K130" s="67" t="inlineStr">
        <is>
          <t>●</t>
        </is>
      </c>
      <c r="L130" s="67" t="inlineStr">
        <is>
          <t>●</t>
        </is>
      </c>
      <c r="M130" s="67" t="inlineStr">
        <is>
          <t>●</t>
        </is>
      </c>
      <c r="N130" s="67" t="inlineStr">
        <is>
          <t>●</t>
        </is>
      </c>
      <c r="O130" s="67" t="inlineStr">
        <is>
          <t>●</t>
        </is>
      </c>
      <c r="P130" s="67" t="inlineStr">
        <is>
          <t>●</t>
        </is>
      </c>
      <c r="Q130" s="67" t="inlineStr">
        <is>
          <t>●</t>
        </is>
      </c>
      <c r="R130" s="67" t="inlineStr">
        <is>
          <t>●</t>
        </is>
      </c>
      <c r="S130" s="68" t="inlineStr">
        <is>
          <t>Levier</t>
        </is>
      </c>
      <c r="T130" s="68" t="inlineStr">
        <is>
          <t>Repérés par l'IA dans les publications importées</t>
        </is>
      </c>
      <c r="U130" s="68" t="inlineStr">
        <is>
          <t>COM-39.02, COM-39.01</t>
        </is>
      </c>
      <c r="V130" s="68" t="inlineStr">
        <is>
          <t>COM-39.05, COM-39.06</t>
        </is>
      </c>
      <c r="W130" s="83" t="n"/>
    </row>
    <row r="131" ht="35.05" customHeight="1" s="53">
      <c r="A131" s="81" t="inlineStr">
        <is>
          <t>COM-39.05</t>
        </is>
      </c>
      <c r="B131" s="67" t="inlineStr">
        <is>
          <t>COM-39</t>
        </is>
      </c>
      <c r="C131" s="95">
        <f>IFERROR(INDEX(Thèmes!$D$2:$D$190,MATCH(B131,Thèmes!$A$2:$A$190,0)),"")</f>
        <v/>
      </c>
      <c r="D131" s="68" t="inlineStr">
        <is>
          <t>—</t>
        </is>
      </c>
      <c r="E131" s="68" t="inlineStr">
        <is>
          <t>Résultats moyens par format et par sujet : portée, engagement, clics, messages, contacts</t>
        </is>
      </c>
      <c r="F131" s="68" t="inlineStr">
        <is>
          <t>Tableau</t>
        </is>
      </c>
      <c r="G131" s="96" t="inlineStr">
        <is>
          <t>Calculée</t>
        </is>
      </c>
      <c r="H131" s="67" t="inlineStr">
        <is>
          <t>—</t>
        </is>
      </c>
      <c r="I131" s="68" t="inlineStr">
        <is>
          <t>—</t>
        </is>
      </c>
      <c r="J131" s="68" t="inlineStr">
        <is>
          <t>—</t>
        </is>
      </c>
      <c r="K131" s="67" t="inlineStr">
        <is>
          <t>●</t>
        </is>
      </c>
      <c r="L131" s="67" t="inlineStr">
        <is>
          <t>●</t>
        </is>
      </c>
      <c r="M131" s="67" t="inlineStr">
        <is>
          <t>●</t>
        </is>
      </c>
      <c r="N131" s="67" t="inlineStr">
        <is>
          <t>●</t>
        </is>
      </c>
      <c r="O131" s="67" t="inlineStr">
        <is>
          <t>●</t>
        </is>
      </c>
      <c r="P131" s="67" t="inlineStr">
        <is>
          <t>●</t>
        </is>
      </c>
      <c r="Q131" s="67" t="inlineStr">
        <is>
          <t>●</t>
        </is>
      </c>
      <c r="R131" s="67" t="inlineStr">
        <is>
          <t>●</t>
        </is>
      </c>
      <c r="S131" s="68" t="inlineStr">
        <is>
          <t>Levier</t>
        </is>
      </c>
      <c r="T131" s="68" t="inlineStr">
        <is>
          <t>Moyenne des statistiques regroupées par étiquette</t>
        </is>
      </c>
      <c r="U131" s="68" t="inlineStr">
        <is>
          <t>COM-39.01, COM-39.04</t>
        </is>
      </c>
      <c r="V131" s="68" t="inlineStr">
        <is>
          <t>COM-40.01, COM-41.01, XC03, XC05, DC01, DC11</t>
        </is>
      </c>
      <c r="W131" s="83" t="n"/>
    </row>
    <row r="132" ht="35.05" customHeight="1" s="53">
      <c r="A132" s="81" t="inlineStr">
        <is>
          <t>COM-39.06</t>
        </is>
      </c>
      <c r="B132" s="67" t="inlineStr">
        <is>
          <t>COM-39</t>
        </is>
      </c>
      <c r="C132" s="95">
        <f>IFERROR(INDEX(Thèmes!$D$2:$D$190,MATCH(B132,Thèmes!$A$2:$A$190,0)),"")</f>
        <v/>
      </c>
      <c r="D132" s="68" t="inlineStr">
        <is>
          <t>—</t>
        </is>
      </c>
      <c r="E132" s="68" t="inlineStr">
        <is>
          <t>Ce qu'ont en commun les meilleures publications</t>
        </is>
      </c>
      <c r="F132" s="68" t="inlineStr">
        <is>
          <t>Liste</t>
        </is>
      </c>
      <c r="G132" s="96" t="inlineStr">
        <is>
          <t>Calculée</t>
        </is>
      </c>
      <c r="H132" s="67" t="inlineStr">
        <is>
          <t>—</t>
        </is>
      </c>
      <c r="I132" s="68" t="inlineStr">
        <is>
          <t>—</t>
        </is>
      </c>
      <c r="J132" s="68" t="inlineStr">
        <is>
          <t>—</t>
        </is>
      </c>
      <c r="K132" s="67" t="inlineStr">
        <is>
          <t>●</t>
        </is>
      </c>
      <c r="L132" s="67" t="inlineStr">
        <is>
          <t>●</t>
        </is>
      </c>
      <c r="M132" s="67" t="inlineStr">
        <is>
          <t>●</t>
        </is>
      </c>
      <c r="N132" s="67" t="inlineStr">
        <is>
          <t>●</t>
        </is>
      </c>
      <c r="O132" s="67" t="inlineStr">
        <is>
          <t>●</t>
        </is>
      </c>
      <c r="P132" s="67" t="inlineStr">
        <is>
          <t>●</t>
        </is>
      </c>
      <c r="Q132" s="67" t="inlineStr">
        <is>
          <t>●</t>
        </is>
      </c>
      <c r="R132" s="67" t="inlineStr">
        <is>
          <t>●</t>
        </is>
      </c>
      <c r="S132" s="68" t="inlineStr">
        <is>
          <t>Levier</t>
        </is>
      </c>
      <c r="T132" s="68" t="inlineStr">
        <is>
          <t>Étiquettes les plus fréquentes parmi les publications du haut du classement (clics et contacts d'abord, portée ensuite)</t>
        </is>
      </c>
      <c r="U132" s="68" t="inlineStr">
        <is>
          <t>COM-39.01, COM-39.04</t>
        </is>
      </c>
      <c r="V132" s="68" t="inlineStr">
        <is>
          <t>XC04</t>
        </is>
      </c>
      <c r="W132" s="83" t="n"/>
    </row>
    <row r="133" ht="35.05" customHeight="1" s="53">
      <c r="A133" s="92" t="inlineStr">
        <is>
          <t>COM-39.07</t>
        </is>
      </c>
      <c r="B133" s="67" t="inlineStr">
        <is>
          <t>COM-39</t>
        </is>
      </c>
      <c r="C133" s="95">
        <f>IFERROR(INDEX(Thèmes!$D$2:$D$190,MATCH(B133,Thèmes!$A$2:$A$190,0)),"")</f>
        <v/>
      </c>
      <c r="D133" s="68" t="inlineStr">
        <is>
          <t>—</t>
        </is>
      </c>
      <c r="E133" s="68" t="inlineStr">
        <is>
          <t>Accès aux statistiques des publications — déclencheur D26 (connexion des comptes proposée à part par le moteur)</t>
        </is>
      </c>
      <c r="F133" s="68" t="inlineStr">
        <is>
          <t>Oui / non</t>
        </is>
      </c>
      <c r="G133" s="67" t="inlineStr">
        <is>
          <t>Demandée</t>
        </is>
      </c>
      <c r="H133" s="67" t="inlineStr">
        <is>
          <t>Essentiel</t>
        </is>
      </c>
      <c r="I133" s="99" t="inlineStr">
        <is>
          <t>D21 · si vous publiez déjà</t>
        </is>
      </c>
      <c r="J133" s="68" t="inlineStr">
        <is>
          <t>—</t>
        </is>
      </c>
      <c r="K133" s="67" t="inlineStr">
        <is>
          <t>●</t>
        </is>
      </c>
      <c r="L133" s="67" t="inlineStr">
        <is>
          <t>●</t>
        </is>
      </c>
      <c r="M133" s="67" t="inlineStr">
        <is>
          <t>●</t>
        </is>
      </c>
      <c r="N133" s="67" t="inlineStr">
        <is>
          <t>●</t>
        </is>
      </c>
      <c r="O133" s="67" t="inlineStr">
        <is>
          <t>●</t>
        </is>
      </c>
      <c r="P133" s="67" t="inlineStr">
        <is>
          <t>●</t>
        </is>
      </c>
      <c r="Q133" s="67" t="inlineStr">
        <is>
          <t>●</t>
        </is>
      </c>
      <c r="R133" s="67" t="inlineStr">
        <is>
          <t>●</t>
        </is>
      </c>
      <c r="S133" s="68" t="inlineStr">
        <is>
          <t>—</t>
        </is>
      </c>
      <c r="T133" s="68" t="inlineStr">
        <is>
          <t>—</t>
        </is>
      </c>
      <c r="U133" s="68" t="inlineStr">
        <is>
          <t>—</t>
        </is>
      </c>
      <c r="V133" s="68" t="inlineStr">
        <is>
          <t>—</t>
        </is>
      </c>
      <c r="W133" s="83" t="inlineStr">
        <is>
          <t>Nouveau</t>
        </is>
      </c>
    </row>
    <row r="134" ht="23.85" customHeight="1" s="53">
      <c r="A134" s="85" t="inlineStr">
        <is>
          <t>COM-40.01</t>
        </is>
      </c>
      <c r="B134" s="89" t="inlineStr">
        <is>
          <t>COM-40</t>
        </is>
      </c>
      <c r="C134" s="97">
        <f>IFERROR(INDEX(Thèmes!$D$2:$D$190,MATCH(B134,Thèmes!$A$2:$A$190,0)),"")</f>
        <v/>
      </c>
      <c r="D134" s="86" t="inlineStr">
        <is>
          <t>—</t>
        </is>
      </c>
      <c r="E134" s="86" t="inlineStr">
        <is>
          <t>Écart entre ce qui marche et ce qui est publié</t>
        </is>
      </c>
      <c r="F134" s="86" t="inlineStr">
        <is>
          <t>Points de %</t>
        </is>
      </c>
      <c r="G134" s="102" t="inlineStr">
        <is>
          <t>Calculée</t>
        </is>
      </c>
      <c r="H134" s="89" t="inlineStr">
        <is>
          <t>—</t>
        </is>
      </c>
      <c r="I134" s="86" t="inlineStr">
        <is>
          <t>—</t>
        </is>
      </c>
      <c r="J134" s="86" t="inlineStr">
        <is>
          <t>—</t>
        </is>
      </c>
      <c r="K134" s="89" t="inlineStr">
        <is>
          <t>●</t>
        </is>
      </c>
      <c r="L134" s="89" t="inlineStr">
        <is>
          <t>●</t>
        </is>
      </c>
      <c r="M134" s="89" t="inlineStr">
        <is>
          <t>●</t>
        </is>
      </c>
      <c r="N134" s="89" t="inlineStr">
        <is>
          <t>●</t>
        </is>
      </c>
      <c r="O134" s="89" t="inlineStr">
        <is>
          <t>●</t>
        </is>
      </c>
      <c r="P134" s="89" t="inlineStr">
        <is>
          <t>●</t>
        </is>
      </c>
      <c r="Q134" s="89" t="inlineStr">
        <is>
          <t>●</t>
        </is>
      </c>
      <c r="R134" s="89" t="inlineStr">
        <is>
          <t>●</t>
        </is>
      </c>
      <c r="S134" s="86" t="inlineStr">
        <is>
          <t>Levier</t>
        </is>
      </c>
      <c r="T134" s="86" t="inlineStr">
        <is>
          <t>Part du format ou sujet le plus performant dans les publications − sa part dans les résultats</t>
        </is>
      </c>
      <c r="U134" s="86" t="inlineStr">
        <is>
          <t>COM-39.05, COM-27.01</t>
        </is>
      </c>
      <c r="V134" s="86" t="inlineStr">
        <is>
          <t>XC04</t>
        </is>
      </c>
      <c r="W134" s="91" t="n"/>
    </row>
    <row r="135" ht="35.05" customHeight="1" s="53">
      <c r="A135" s="85" t="inlineStr">
        <is>
          <t>COM-41.01</t>
        </is>
      </c>
      <c r="B135" s="89" t="inlineStr">
        <is>
          <t>COM-41</t>
        </is>
      </c>
      <c r="C135" s="97">
        <f>IFERROR(INDEX(Thèmes!$D$2:$D$190,MATCH(B135,Thèmes!$A$2:$A$190,0)),"")</f>
        <v/>
      </c>
      <c r="D135" s="86" t="inlineStr">
        <is>
          <t>—</t>
        </is>
      </c>
      <c r="E135" s="86" t="inlineStr">
        <is>
          <t>Contenus produits en vain</t>
        </is>
      </c>
      <c r="F135" s="86" t="inlineStr">
        <is>
          <t>Liste et heures</t>
        </is>
      </c>
      <c r="G135" s="102" t="inlineStr">
        <is>
          <t>Calculée</t>
        </is>
      </c>
      <c r="H135" s="89" t="inlineStr">
        <is>
          <t>—</t>
        </is>
      </c>
      <c r="I135" s="86" t="inlineStr">
        <is>
          <t>—</t>
        </is>
      </c>
      <c r="J135" s="86" t="inlineStr">
        <is>
          <t>—</t>
        </is>
      </c>
      <c r="K135" s="89" t="inlineStr">
        <is>
          <t>●</t>
        </is>
      </c>
      <c r="L135" s="89" t="inlineStr">
        <is>
          <t>●</t>
        </is>
      </c>
      <c r="M135" s="89" t="inlineStr">
        <is>
          <t>●</t>
        </is>
      </c>
      <c r="N135" s="89" t="inlineStr">
        <is>
          <t>●</t>
        </is>
      </c>
      <c r="O135" s="89" t="inlineStr">
        <is>
          <t>●</t>
        </is>
      </c>
      <c r="P135" s="89" t="inlineStr">
        <is>
          <t>●</t>
        </is>
      </c>
      <c r="Q135" s="89" t="inlineStr">
        <is>
          <t>●</t>
        </is>
      </c>
      <c r="R135" s="89" t="inlineStr">
        <is>
          <t>●</t>
        </is>
      </c>
      <c r="S135" s="86" t="inlineStr">
        <is>
          <t>Perte</t>
        </is>
      </c>
      <c r="T135" s="86" t="inlineStr">
        <is>
          <t>Formats et sujets du bas du classement, avec le temps qu'ils consomment</t>
        </is>
      </c>
      <c r="U135" s="86" t="inlineStr">
        <is>
          <t>COM-39.05, COM-31.04</t>
        </is>
      </c>
      <c r="V135" s="86" t="inlineStr">
        <is>
          <t>XC03</t>
        </is>
      </c>
      <c r="W135" s="91" t="n"/>
    </row>
    <row r="136" ht="35.05" customHeight="1" s="53">
      <c r="A136" s="85" t="inlineStr">
        <is>
          <t>COM-42.01</t>
        </is>
      </c>
      <c r="B136" s="89" t="inlineStr">
        <is>
          <t>COM-42</t>
        </is>
      </c>
      <c r="C136" s="97">
        <f>IFERROR(INDEX(Thèmes!$D$2:$D$190,MATCH(B136,Thèmes!$A$2:$A$190,0)),"")</f>
        <v/>
      </c>
      <c r="D136" s="86" t="inlineStr">
        <is>
          <t>C10 · Votre stratégie et votre organisation</t>
        </is>
      </c>
      <c r="E136" s="86" t="inlineStr">
        <is>
          <t>Mentions de l'entreprise sans action de votre part sur 6 mois (articles, publications de clients, recommandations en ligne)</t>
        </is>
      </c>
      <c r="F136" s="86" t="inlineStr">
        <is>
          <t>Tranches : aucune · 1-3 · 4-10 · plus de 10 · je ne sais pas</t>
        </is>
      </c>
      <c r="G136" s="89" t="inlineStr">
        <is>
          <t>Demandée</t>
        </is>
      </c>
      <c r="H136" s="89" t="inlineStr">
        <is>
          <t>Approfondi</t>
        </is>
      </c>
      <c r="I136" s="86" t="inlineStr">
        <is>
          <t>—</t>
        </is>
      </c>
      <c r="J136" s="86" t="inlineStr">
        <is>
          <t>Période adaptée : depuis la création si moins de 6 mois</t>
        </is>
      </c>
      <c r="K136" s="89" t="inlineStr">
        <is>
          <t>●</t>
        </is>
      </c>
      <c r="L136" s="89" t="inlineStr">
        <is>
          <t>●</t>
        </is>
      </c>
      <c r="M136" s="89" t="inlineStr">
        <is>
          <t>●</t>
        </is>
      </c>
      <c r="N136" s="89" t="inlineStr">
        <is>
          <t>●</t>
        </is>
      </c>
      <c r="O136" s="89" t="inlineStr">
        <is>
          <t>●</t>
        </is>
      </c>
      <c r="P136" s="89" t="inlineStr">
        <is>
          <t>●</t>
        </is>
      </c>
      <c r="Q136" s="89" t="inlineStr">
        <is>
          <t>●</t>
        </is>
      </c>
      <c r="R136" s="89" t="inlineStr">
        <is>
          <t>●</t>
        </is>
      </c>
      <c r="S136" s="86" t="inlineStr">
        <is>
          <t>Mesure</t>
        </is>
      </c>
      <c r="T136" s="86" t="inlineStr">
        <is>
          <t>—</t>
        </is>
      </c>
      <c r="U136" s="86" t="inlineStr">
        <is>
          <t>—</t>
        </is>
      </c>
      <c r="V136" s="86" t="inlineStr">
        <is>
          <t>Lue par l'IA pour adapter le conseil</t>
        </is>
      </c>
      <c r="W136" s="91" t="n"/>
    </row>
    <row r="137" ht="35.05" customHeight="1" s="53">
      <c r="A137" s="94" t="inlineStr">
        <is>
          <t>COM-42.02</t>
        </is>
      </c>
      <c r="B137" s="67" t="inlineStr">
        <is>
          <t>COM-42</t>
        </is>
      </c>
      <c r="C137" s="95">
        <f>IFERROR(INDEX(Thèmes!$D$2:$D$190,MATCH(B137,Thèmes!$A$2:$A$190,0)),"")</f>
        <v/>
      </c>
      <c r="D137" s="68" t="inlineStr">
        <is>
          <t>C10 · Votre stratégie et votre organisation</t>
        </is>
      </c>
      <c r="E137" s="68" t="inlineStr">
        <is>
          <t>Publications de clients qui vous mentionnent, par mois</t>
        </is>
      </c>
      <c r="F137" s="68" t="inlineStr">
        <is>
          <t>Nombre</t>
        </is>
      </c>
      <c r="G137" s="67" t="inlineStr">
        <is>
          <t>Demandée</t>
        </is>
      </c>
      <c r="H137" s="67" t="inlineStr">
        <is>
          <t>Approfondi</t>
        </is>
      </c>
      <c r="I137" s="68" t="inlineStr">
        <is>
          <t>—</t>
        </is>
      </c>
      <c r="J137" s="68" t="inlineStr">
        <is>
          <t>—</t>
        </is>
      </c>
      <c r="K137" s="67" t="n"/>
      <c r="L137" s="67" t="inlineStr">
        <is>
          <t>●</t>
        </is>
      </c>
      <c r="M137" s="67" t="inlineStr">
        <is>
          <t>●</t>
        </is>
      </c>
      <c r="N137" s="67" t="inlineStr">
        <is>
          <t>●</t>
        </is>
      </c>
      <c r="O137" s="67" t="n"/>
      <c r="P137" s="67" t="n"/>
      <c r="Q137" s="67" t="n"/>
      <c r="R137" s="67" t="inlineStr">
        <is>
          <t>●</t>
        </is>
      </c>
      <c r="S137" s="68" t="inlineStr">
        <is>
          <t>Opportunité</t>
        </is>
      </c>
      <c r="T137" s="68" t="inlineStr">
        <is>
          <t>Saisie par le dirigeant tant qu'aucune connexion n'existe. Quand la connexion existera : Lu sur les réseaux connectés</t>
        </is>
      </c>
      <c r="U137" s="68" t="inlineStr">
        <is>
          <t>—</t>
        </is>
      </c>
      <c r="V137" s="68" t="inlineStr">
        <is>
          <t>Lue par l'IA pour adapter le conseil</t>
        </is>
      </c>
      <c r="W137" s="83" t="inlineStr">
        <is>
          <t>Mode : Importée → Demandée (le dirigeant la saisit)</t>
        </is>
      </c>
    </row>
    <row r="138" ht="46.25" customHeight="1" s="53">
      <c r="A138" s="85" t="inlineStr">
        <is>
          <t>COM-43.01</t>
        </is>
      </c>
      <c r="B138" s="89" t="inlineStr">
        <is>
          <t>COM-43</t>
        </is>
      </c>
      <c r="C138" s="97">
        <f>IFERROR(INDEX(Thèmes!$D$2:$D$190,MATCH(B138,Thèmes!$A$2:$A$190,0)),"")</f>
        <v/>
      </c>
      <c r="D138" s="86" t="inlineStr">
        <is>
          <t>A19 · Votre suivi commercial</t>
        </is>
      </c>
      <c r="E138" s="86" t="inlineStr">
        <is>
          <t>Fréquence à laquelle vous regardez vos statistiques de communication (ligne « communication » du tableau de suivi)</t>
        </is>
      </c>
      <c r="F138" s="86" t="inlineStr">
        <is>
          <t>Choix</t>
        </is>
      </c>
      <c r="G138" s="88" t="inlineStr">
        <is>
          <t>Partagée</t>
        </is>
      </c>
      <c r="H138" s="89" t="inlineStr">
        <is>
          <t>Essentiel</t>
        </is>
      </c>
      <c r="I138" s="86" t="inlineStr">
        <is>
          <t>—</t>
        </is>
      </c>
      <c r="J138" s="86" t="inlineStr">
        <is>
          <t>—</t>
        </is>
      </c>
      <c r="K138" s="89" t="inlineStr">
        <is>
          <t>●</t>
        </is>
      </c>
      <c r="L138" s="89" t="inlineStr">
        <is>
          <t>●</t>
        </is>
      </c>
      <c r="M138" s="89" t="inlineStr">
        <is>
          <t>●</t>
        </is>
      </c>
      <c r="N138" s="89" t="inlineStr">
        <is>
          <t>●</t>
        </is>
      </c>
      <c r="O138" s="89" t="inlineStr">
        <is>
          <t>●</t>
        </is>
      </c>
      <c r="P138" s="89" t="inlineStr">
        <is>
          <t>●</t>
        </is>
      </c>
      <c r="Q138" s="89" t="inlineStr">
        <is>
          <t>●</t>
        </is>
      </c>
      <c r="R138" s="89" t="inlineStr">
        <is>
          <t>●</t>
        </is>
      </c>
      <c r="S138" s="86" t="inlineStr">
        <is>
          <t>Levier</t>
        </is>
      </c>
      <c r="T138" s="86" t="inlineStr">
        <is>
          <t>Posée une seule fois, par le premier agent souscrit qui en a besoin (ACQ-20.02), sinon ici</t>
        </is>
      </c>
      <c r="U138" s="86" t="inlineStr">
        <is>
          <t>ACQ-20.02</t>
        </is>
      </c>
      <c r="V138" s="86" t="inlineStr">
        <is>
          <t>XC30, DC10</t>
        </is>
      </c>
      <c r="W138" s="91" t="n"/>
    </row>
    <row r="139" ht="15" customHeight="1" s="53">
      <c r="A139" s="81" t="inlineStr">
        <is>
          <t>COM-43.02</t>
        </is>
      </c>
      <c r="B139" s="67" t="inlineStr">
        <is>
          <t>COM-43</t>
        </is>
      </c>
      <c r="C139" s="95">
        <f>IFERROR(INDEX(Thèmes!$D$2:$D$190,MATCH(B139,Thèmes!$A$2:$A$190,0)),"")</f>
        <v/>
      </c>
      <c r="D139" s="68" t="inlineStr">
        <is>
          <t>—</t>
        </is>
      </c>
      <c r="E139" s="68" t="inlineStr">
        <is>
          <t>Pilotage de la communication</t>
        </is>
      </c>
      <c r="F139" s="68" t="inlineStr">
        <is>
          <t>% et liste</t>
        </is>
      </c>
      <c r="G139" s="96" t="inlineStr">
        <is>
          <t>Calculée</t>
        </is>
      </c>
      <c r="H139" s="67" t="inlineStr">
        <is>
          <t>—</t>
        </is>
      </c>
      <c r="I139" s="68" t="inlineStr">
        <is>
          <t>—</t>
        </is>
      </c>
      <c r="J139" s="68" t="inlineStr">
        <is>
          <t>—</t>
        </is>
      </c>
      <c r="K139" s="67" t="inlineStr">
        <is>
          <t>●</t>
        </is>
      </c>
      <c r="L139" s="67" t="inlineStr">
        <is>
          <t>●</t>
        </is>
      </c>
      <c r="M139" s="67" t="inlineStr">
        <is>
          <t>●</t>
        </is>
      </c>
      <c r="N139" s="67" t="inlineStr">
        <is>
          <t>●</t>
        </is>
      </c>
      <c r="O139" s="67" t="inlineStr">
        <is>
          <t>●</t>
        </is>
      </c>
      <c r="P139" s="67" t="inlineStr">
        <is>
          <t>●</t>
        </is>
      </c>
      <c r="Q139" s="67" t="inlineStr">
        <is>
          <t>●</t>
        </is>
      </c>
      <c r="R139" s="67" t="inlineStr">
        <is>
          <t>●</t>
        </is>
      </c>
      <c r="S139" s="68" t="inlineStr">
        <is>
          <t>Problème</t>
        </is>
      </c>
      <c r="T139" s="68" t="inlineStr">
        <is>
          <t>Réponses précises, estimées, « je ne sais pas » et « je ne suis pas cette donnée » sur la Comm, en distinguant activité (publications) et contribution commerciale (clics, contacts, clients)</t>
        </is>
      </c>
      <c r="U139" s="68" t="inlineStr">
        <is>
          <t>—</t>
        </is>
      </c>
      <c r="V139" s="68" t="inlineStr">
        <is>
          <t>COM-24.02, XC30, DC10</t>
        </is>
      </c>
      <c r="W139" s="83" t="n"/>
    </row>
    <row r="140" ht="35.05" customHeight="1" s="53">
      <c r="A140" s="92" t="inlineStr">
        <is>
          <t>COM-43.03</t>
        </is>
      </c>
      <c r="B140" s="67" t="inlineStr">
        <is>
          <t>COM-43</t>
        </is>
      </c>
      <c r="C140" s="95">
        <f>IFERROR(INDEX(Thèmes!$D$2:$D$190,MATCH(B140,Thèmes!$A$2:$A$190,0)),"")</f>
        <v/>
      </c>
      <c r="D140" s="68" t="inlineStr">
        <is>
          <t>—</t>
        </is>
      </c>
      <c r="E140" s="68" t="inlineStr">
        <is>
          <t>Moyens de savoir quels clients viennent des publications</t>
        </is>
      </c>
      <c r="F140" s="68" t="inlineStr">
        <is>
          <t>Cases à cocher</t>
        </is>
      </c>
      <c r="G140" s="67" t="inlineStr">
        <is>
          <t>Demandée</t>
        </is>
      </c>
      <c r="H140" s="67" t="inlineStr">
        <is>
          <t>Essentiel</t>
        </is>
      </c>
      <c r="I140" s="68" t="inlineStr">
        <is>
          <t>—</t>
        </is>
      </c>
      <c r="J140" s="68" t="inlineStr">
        <is>
          <t>—</t>
        </is>
      </c>
      <c r="K140" s="67" t="inlineStr">
        <is>
          <t>●</t>
        </is>
      </c>
      <c r="L140" s="67" t="inlineStr">
        <is>
          <t>●</t>
        </is>
      </c>
      <c r="M140" s="67" t="inlineStr">
        <is>
          <t>●</t>
        </is>
      </c>
      <c r="N140" s="67" t="inlineStr">
        <is>
          <t>●</t>
        </is>
      </c>
      <c r="O140" s="67" t="inlineStr">
        <is>
          <t>●</t>
        </is>
      </c>
      <c r="P140" s="67" t="inlineStr">
        <is>
          <t>●</t>
        </is>
      </c>
      <c r="Q140" s="67" t="inlineStr">
        <is>
          <t>●</t>
        </is>
      </c>
      <c r="R140" s="67" t="inlineStr">
        <is>
          <t>●</t>
        </is>
      </c>
      <c r="S140" s="68" t="inlineStr">
        <is>
          <t>—</t>
        </is>
      </c>
      <c r="T140" s="68" t="inlineStr">
        <is>
          <t>—</t>
        </is>
      </c>
      <c r="U140" s="68" t="inlineStr">
        <is>
          <t>—</t>
        </is>
      </c>
      <c r="V140" s="68" t="inlineStr">
        <is>
          <t>—</t>
        </is>
      </c>
      <c r="W140" s="83" t="inlineStr">
        <is>
          <t>Nouveau</t>
        </is>
      </c>
    </row>
    <row r="141" ht="35.05" customHeight="1" s="53">
      <c r="A141" s="98" t="inlineStr">
        <is>
          <t>COM-44.01</t>
        </is>
      </c>
      <c r="B141" s="89" t="inlineStr">
        <is>
          <t>COM-44</t>
        </is>
      </c>
      <c r="C141" s="97">
        <f>IFERROR(INDEX(Thèmes!$D$2:$D$190,MATCH(B141,Thèmes!$A$2:$A$190,0)),"")</f>
        <v/>
      </c>
      <c r="D141" s="86" t="inlineStr">
        <is>
          <t>A07 · Votre présence en ligne</t>
        </is>
      </c>
      <c r="E141" s="86" t="inlineStr">
        <is>
          <t>Avis Google : nombre, note, avis des 6 derniers mois — partagée avec ACQ-06.01 (la plateforme principale est ACQ-06.08) — déclencheur D61</t>
        </is>
      </c>
      <c r="F141" s="86" t="inlineStr">
        <is>
          <t>Nombres et note</t>
        </is>
      </c>
      <c r="G141" s="88" t="inlineStr">
        <is>
          <t>Partagée</t>
        </is>
      </c>
      <c r="H141" s="89" t="inlineStr">
        <is>
          <t>Essentiel</t>
        </is>
      </c>
      <c r="I141" s="86" t="inlineStr">
        <is>
          <t>—</t>
        </is>
      </c>
      <c r="J141" s="86" t="inlineStr">
        <is>
          <t>Période adaptée : depuis l'ouverture de la fiche si moins de 6 mois</t>
        </is>
      </c>
      <c r="K141" s="89" t="inlineStr">
        <is>
          <t>●</t>
        </is>
      </c>
      <c r="L141" s="89" t="inlineStr">
        <is>
          <t>●</t>
        </is>
      </c>
      <c r="M141" s="89" t="inlineStr">
        <is>
          <t>●</t>
        </is>
      </c>
      <c r="N141" s="89" t="inlineStr">
        <is>
          <t>●</t>
        </is>
      </c>
      <c r="O141" s="89" t="inlineStr">
        <is>
          <t>●</t>
        </is>
      </c>
      <c r="P141" s="89" t="inlineStr">
        <is>
          <t>●</t>
        </is>
      </c>
      <c r="Q141" s="89" t="inlineStr">
        <is>
          <t>●</t>
        </is>
      </c>
      <c r="R141" s="89" t="inlineStr">
        <is>
          <t>●</t>
        </is>
      </c>
      <c r="S141" s="86" t="inlineStr">
        <is>
          <t>Cible</t>
        </is>
      </c>
      <c r="T141" s="86" t="inlineStr">
        <is>
          <t>Posée une seule fois, par le premier agent souscrit qui en a besoin (ACQ-06.01, ACQ-06.02, ACQ-06.03, ACQ-06.08), sinon ici</t>
        </is>
      </c>
      <c r="U141" s="86" t="inlineStr">
        <is>
          <t>ACQ-06.01, ACQ-06.02, ACQ-06.03, ACQ-06.08</t>
        </is>
      </c>
      <c r="V141" s="86" t="inlineStr">
        <is>
          <t>COM-08.02, COM-09.06, COM-44.05, COM-46.03, COM-44.06</t>
        </is>
      </c>
      <c r="W141" s="91" t="inlineStr">
        <is>
          <t>Libellé (« Donnée »)</t>
        </is>
      </c>
    </row>
    <row r="142" ht="35.05" customHeight="1" s="53">
      <c r="A142" s="81" t="inlineStr">
        <is>
          <t>COM-44.02</t>
        </is>
      </c>
      <c r="B142" s="67" t="inlineStr">
        <is>
          <t>COM-44</t>
        </is>
      </c>
      <c r="C142" s="95">
        <f>IFERROR(INDEX(Thèmes!$D$2:$D$190,MATCH(B142,Thèmes!$A$2:$A$190,0)),"")</f>
        <v/>
      </c>
      <c r="D142" s="68" t="inlineStr">
        <is>
          <t>C05 · Votre fiche Google et vos avis</t>
        </is>
      </c>
      <c r="E142" s="68" t="inlineStr">
        <is>
          <t>Autres plateformes d'avis utilisées (Trustpilot, TripAdvisor, Facebook, plateforme du métier, marketplace) : nombre d'avis et note</t>
        </is>
      </c>
      <c r="F142" s="68" t="inlineStr">
        <is>
          <t>Tableau par plateforme</t>
        </is>
      </c>
      <c r="G142" s="67" t="inlineStr">
        <is>
          <t>Demandée</t>
        </is>
      </c>
      <c r="H142" s="67" t="inlineStr">
        <is>
          <t>Approfondi</t>
        </is>
      </c>
      <c r="I142" s="68" t="inlineStr">
        <is>
          <t>—</t>
        </is>
      </c>
      <c r="J142" s="68" t="inlineStr">
        <is>
          <t>—</t>
        </is>
      </c>
      <c r="K142" s="67" t="inlineStr">
        <is>
          <t>●</t>
        </is>
      </c>
      <c r="L142" s="67" t="inlineStr">
        <is>
          <t>●</t>
        </is>
      </c>
      <c r="M142" s="67" t="inlineStr">
        <is>
          <t>●</t>
        </is>
      </c>
      <c r="N142" s="67" t="inlineStr">
        <is>
          <t>●</t>
        </is>
      </c>
      <c r="O142" s="67" t="inlineStr">
        <is>
          <t>●</t>
        </is>
      </c>
      <c r="P142" s="67" t="inlineStr">
        <is>
          <t>●</t>
        </is>
      </c>
      <c r="Q142" s="67" t="inlineStr">
        <is>
          <t>●</t>
        </is>
      </c>
      <c r="R142" s="67" t="inlineStr">
        <is>
          <t>●</t>
        </is>
      </c>
      <c r="S142" s="68" t="inlineStr">
        <is>
          <t>Cible</t>
        </is>
      </c>
      <c r="T142" s="68" t="inlineStr">
        <is>
          <t>—</t>
        </is>
      </c>
      <c r="U142" s="68" t="inlineStr">
        <is>
          <t>—</t>
        </is>
      </c>
      <c r="V142" s="68" t="inlineStr">
        <is>
          <t>Lue par l'IA pour adapter le conseil</t>
        </is>
      </c>
      <c r="W142" s="83" t="n"/>
    </row>
    <row r="143" ht="46.25" customHeight="1" s="53">
      <c r="A143" s="94" t="inlineStr">
        <is>
          <t>COM-44.03</t>
        </is>
      </c>
      <c r="B143" s="67" t="inlineStr">
        <is>
          <t>COM-44</t>
        </is>
      </c>
      <c r="C143" s="95">
        <f>IFERROR(INDEX(Thèmes!$D$2:$D$190,MATCH(B143,Thèmes!$A$2:$A$190,0)),"")</f>
        <v/>
      </c>
      <c r="D143" s="68" t="inlineStr">
        <is>
          <t>C05 · Votre fiche Google et vos avis</t>
        </is>
      </c>
      <c r="E143" s="68" t="inlineStr">
        <is>
          <t>Répartition des avis : 5 étoiles, 4 étoiles, 3 et moins</t>
        </is>
      </c>
      <c r="F143" s="68" t="inlineStr">
        <is>
          <t>Plusieurs champs : 5 étoiles · 4 étoiles · 3 étoiles ou moins</t>
        </is>
      </c>
      <c r="G143" s="67" t="inlineStr">
        <is>
          <t>Demandée</t>
        </is>
      </c>
      <c r="H143" s="67" t="inlineStr">
        <is>
          <t>Approfondi</t>
        </is>
      </c>
      <c r="I143" s="99" t="inlineStr">
        <is>
          <t>D61 · si vous avez des avis</t>
        </is>
      </c>
      <c r="J143" s="68" t="inlineStr">
        <is>
          <t>—</t>
        </is>
      </c>
      <c r="K143" s="67" t="inlineStr">
        <is>
          <t>●</t>
        </is>
      </c>
      <c r="L143" s="67" t="inlineStr">
        <is>
          <t>●</t>
        </is>
      </c>
      <c r="M143" s="67" t="inlineStr">
        <is>
          <t>●</t>
        </is>
      </c>
      <c r="N143" s="67" t="inlineStr">
        <is>
          <t>●</t>
        </is>
      </c>
      <c r="O143" s="67" t="inlineStr">
        <is>
          <t>●</t>
        </is>
      </c>
      <c r="P143" s="67" t="inlineStr">
        <is>
          <t>●</t>
        </is>
      </c>
      <c r="Q143" s="67" t="inlineStr">
        <is>
          <t>●</t>
        </is>
      </c>
      <c r="R143" s="67" t="inlineStr">
        <is>
          <t>●</t>
        </is>
      </c>
      <c r="S143" s="68" t="inlineStr">
        <is>
          <t>Problème</t>
        </is>
      </c>
      <c r="T143" s="68" t="inlineStr">
        <is>
          <t>Saisie par le dirigeant tant qu'aucune connexion n'existe. Quand la connexion existera : Lu sur la fiche Google</t>
        </is>
      </c>
      <c r="U143" s="68" t="inlineStr">
        <is>
          <t>—</t>
        </is>
      </c>
      <c r="V143" s="68" t="inlineStr">
        <is>
          <t>Lue par l'IA pour adapter le conseil</t>
        </is>
      </c>
      <c r="W143" s="83" t="inlineStr">
        <is>
          <t>Mode : Importée → Demandée (le dirigeant la saisit) · Format de réponse · Condition d'affichage</t>
        </is>
      </c>
    </row>
    <row r="144" ht="35.05" customHeight="1" s="53">
      <c r="A144" s="94" t="inlineStr">
        <is>
          <t>COM-44.04</t>
        </is>
      </c>
      <c r="B144" s="67" t="inlineStr">
        <is>
          <t>COM-44</t>
        </is>
      </c>
      <c r="C144" s="95">
        <f>IFERROR(INDEX(Thèmes!$D$2:$D$190,MATCH(B144,Thèmes!$A$2:$A$190,0)),"")</f>
        <v/>
      </c>
      <c r="D144" s="68" t="inlineStr">
        <is>
          <t>C05 · Votre fiche Google et vos avis</t>
        </is>
      </c>
      <c r="E144" s="68" t="inlineStr">
        <is>
          <t>Texte des 20 derniers avis (fiche Google, boutique ou plateforme) : thèmes positifs, motifs négatifs, et témoignages réutilisables par l'agent de création</t>
        </is>
      </c>
      <c r="F144" s="68" t="inlineStr">
        <is>
          <t>Texte</t>
        </is>
      </c>
      <c r="G144" s="67" t="inlineStr">
        <is>
          <t>Demandée</t>
        </is>
      </c>
      <c r="H144" s="67" t="inlineStr">
        <is>
          <t>Approfondi</t>
        </is>
      </c>
      <c r="I144" s="99" t="inlineStr">
        <is>
          <t>D61 · si vous avez des avis</t>
        </is>
      </c>
      <c r="J144" s="68" t="inlineStr">
        <is>
          <t>—</t>
        </is>
      </c>
      <c r="K144" s="67" t="inlineStr">
        <is>
          <t>●</t>
        </is>
      </c>
      <c r="L144" s="67" t="inlineStr">
        <is>
          <t>●</t>
        </is>
      </c>
      <c r="M144" s="67" t="inlineStr">
        <is>
          <t>●</t>
        </is>
      </c>
      <c r="N144" s="67" t="inlineStr">
        <is>
          <t>●</t>
        </is>
      </c>
      <c r="O144" s="67" t="inlineStr">
        <is>
          <t>●</t>
        </is>
      </c>
      <c r="P144" s="67" t="inlineStr">
        <is>
          <t>●</t>
        </is>
      </c>
      <c r="Q144" s="67" t="inlineStr">
        <is>
          <t>●</t>
        </is>
      </c>
      <c r="R144" s="67" t="inlineStr">
        <is>
          <t>●</t>
        </is>
      </c>
      <c r="S144" s="68" t="inlineStr">
        <is>
          <t>Levier</t>
        </is>
      </c>
      <c r="T144" s="68" t="inlineStr">
        <is>
          <t>Saisie par le dirigeant tant qu'aucune connexion n'existe. Quand la connexion existera : Lu dans la boutique ou la plateforme d'avis si elle est connectée, sinon copier-coller des 20 derniers avis</t>
        </is>
      </c>
      <c r="U144" s="68" t="inlineStr">
        <is>
          <t>—</t>
        </is>
      </c>
      <c r="V144" s="68" t="inlineStr">
        <is>
          <t>COM-44.05</t>
        </is>
      </c>
      <c r="W144" s="83" t="inlineStr">
        <is>
          <t>Mode : Importée → Demandée (le dirigeant la saisit) · Format de réponse · Libellé (« Donnée ») · Condition d'affichage · Profils ou tailles concernés</t>
        </is>
      </c>
    </row>
    <row r="145" ht="23.85" customHeight="1" s="53">
      <c r="A145" s="81" t="inlineStr">
        <is>
          <t>COM-44.05</t>
        </is>
      </c>
      <c r="B145" s="67" t="inlineStr">
        <is>
          <t>COM-44</t>
        </is>
      </c>
      <c r="C145" s="95">
        <f>IFERROR(INDEX(Thèmes!$D$2:$D$190,MATCH(B145,Thèmes!$A$2:$A$190,0)),"")</f>
        <v/>
      </c>
      <c r="D145" s="68" t="inlineStr">
        <is>
          <t>—</t>
        </is>
      </c>
      <c r="E145" s="68" t="inlineStr">
        <is>
          <t>Thèmes positifs et motifs négatifs les plus cités</t>
        </is>
      </c>
      <c r="F145" s="68" t="inlineStr">
        <is>
          <t>Liste</t>
        </is>
      </c>
      <c r="G145" s="96" t="inlineStr">
        <is>
          <t>Calculée</t>
        </is>
      </c>
      <c r="H145" s="67" t="inlineStr">
        <is>
          <t>—</t>
        </is>
      </c>
      <c r="I145" s="68" t="inlineStr">
        <is>
          <t>—</t>
        </is>
      </c>
      <c r="J145" s="68" t="inlineStr">
        <is>
          <t>—</t>
        </is>
      </c>
      <c r="K145" s="67" t="inlineStr">
        <is>
          <t>●</t>
        </is>
      </c>
      <c r="L145" s="67" t="inlineStr">
        <is>
          <t>●</t>
        </is>
      </c>
      <c r="M145" s="67" t="inlineStr">
        <is>
          <t>●</t>
        </is>
      </c>
      <c r="N145" s="67" t="inlineStr">
        <is>
          <t>●</t>
        </is>
      </c>
      <c r="O145" s="67" t="inlineStr">
        <is>
          <t>●</t>
        </is>
      </c>
      <c r="P145" s="67" t="inlineStr">
        <is>
          <t>●</t>
        </is>
      </c>
      <c r="Q145" s="67" t="inlineStr">
        <is>
          <t>●</t>
        </is>
      </c>
      <c r="R145" s="67" t="inlineStr">
        <is>
          <t>●</t>
        </is>
      </c>
      <c r="S145" s="68" t="inlineStr">
        <is>
          <t>Levier</t>
        </is>
      </c>
      <c r="T145" s="68" t="inlineStr">
        <is>
          <t>Repérés par l'IA dans le texte des avis importés : fiche Google ; e-commerce : boutique ou plateforme principale</t>
        </is>
      </c>
      <c r="U145" s="68" t="inlineStr">
        <is>
          <t>ACQ-06.01, COM-44.04</t>
        </is>
      </c>
      <c r="V145" s="68" t="inlineStr">
        <is>
          <t>XC25</t>
        </is>
      </c>
      <c r="W145" s="83" t="n"/>
    </row>
    <row r="146" ht="35.05" customHeight="1" s="53">
      <c r="A146" s="81" t="inlineStr">
        <is>
          <t>COM-44.06</t>
        </is>
      </c>
      <c r="B146" s="67" t="inlineStr">
        <is>
          <t>COM-44</t>
        </is>
      </c>
      <c r="C146" s="95">
        <f>IFERROR(INDEX(Thèmes!$D$2:$D$190,MATCH(B146,Thèmes!$A$2:$A$190,0)),"")</f>
        <v/>
      </c>
      <c r="D146" s="68" t="inlineStr">
        <is>
          <t>—</t>
        </is>
      </c>
      <c r="E146" s="68" t="inlineStr">
        <is>
          <t>Nouveaux avis par mois</t>
        </is>
      </c>
      <c r="F146" s="68" t="inlineStr">
        <is>
          <t>Nombre</t>
        </is>
      </c>
      <c r="G146" s="96" t="inlineStr">
        <is>
          <t>Calculée</t>
        </is>
      </c>
      <c r="H146" s="67" t="inlineStr">
        <is>
          <t>—</t>
        </is>
      </c>
      <c r="I146" s="68" t="inlineStr">
        <is>
          <t>—</t>
        </is>
      </c>
      <c r="J146" s="68" t="inlineStr">
        <is>
          <t>—</t>
        </is>
      </c>
      <c r="K146" s="67" t="inlineStr">
        <is>
          <t>●</t>
        </is>
      </c>
      <c r="L146" s="67" t="inlineStr">
        <is>
          <t>●</t>
        </is>
      </c>
      <c r="M146" s="67" t="inlineStr">
        <is>
          <t>●</t>
        </is>
      </c>
      <c r="N146" s="67" t="inlineStr">
        <is>
          <t>●</t>
        </is>
      </c>
      <c r="O146" s="67" t="inlineStr">
        <is>
          <t>●</t>
        </is>
      </c>
      <c r="P146" s="67" t="inlineStr">
        <is>
          <t>●</t>
        </is>
      </c>
      <c r="Q146" s="67" t="inlineStr">
        <is>
          <t>●</t>
        </is>
      </c>
      <c r="R146" s="67" t="inlineStr">
        <is>
          <t>●</t>
        </is>
      </c>
      <c r="S146" s="68" t="inlineStr">
        <is>
          <t>Cible</t>
        </is>
      </c>
      <c r="T146" s="68" t="inlineStr">
        <is>
          <t>Avis des 6 derniers mois ÷ 6 (ou ÷ mois d'existence de la fiche)</t>
        </is>
      </c>
      <c r="U146" s="68" t="inlineStr">
        <is>
          <t>ACQ-06.03</t>
        </is>
      </c>
      <c r="V146" s="68" t="inlineStr">
        <is>
          <t>COM-44.07, XC24</t>
        </is>
      </c>
      <c r="W146" s="83" t="n"/>
    </row>
    <row r="147" ht="23.85" customHeight="1" s="53">
      <c r="A147" s="81" t="inlineStr">
        <is>
          <t>COM-44.07</t>
        </is>
      </c>
      <c r="B147" s="67" t="inlineStr">
        <is>
          <t>COM-44</t>
        </is>
      </c>
      <c r="C147" s="95">
        <f>IFERROR(INDEX(Thèmes!$D$2:$D$190,MATCH(B147,Thèmes!$A$2:$A$190,0)),"")</f>
        <v/>
      </c>
      <c r="D147" s="68" t="inlineStr">
        <is>
          <t>—</t>
        </is>
      </c>
      <c r="E147" s="68" t="inlineStr">
        <is>
          <t>Part des clients qui laissent un avis</t>
        </is>
      </c>
      <c r="F147" s="68" t="inlineStr">
        <is>
          <t>%</t>
        </is>
      </c>
      <c r="G147" s="96" t="inlineStr">
        <is>
          <t>Calculée</t>
        </is>
      </c>
      <c r="H147" s="67" t="inlineStr">
        <is>
          <t>—</t>
        </is>
      </c>
      <c r="I147" s="68" t="inlineStr">
        <is>
          <t>—</t>
        </is>
      </c>
      <c r="J147" s="68" t="inlineStr">
        <is>
          <t>—</t>
        </is>
      </c>
      <c r="K147" s="67" t="inlineStr">
        <is>
          <t>●</t>
        </is>
      </c>
      <c r="L147" s="67" t="inlineStr">
        <is>
          <t>●</t>
        </is>
      </c>
      <c r="M147" s="67" t="inlineStr">
        <is>
          <t>●</t>
        </is>
      </c>
      <c r="N147" s="67" t="inlineStr">
        <is>
          <t>●</t>
        </is>
      </c>
      <c r="O147" s="67" t="inlineStr">
        <is>
          <t>●</t>
        </is>
      </c>
      <c r="P147" s="67" t="inlineStr">
        <is>
          <t>●</t>
        </is>
      </c>
      <c r="Q147" s="67" t="inlineStr">
        <is>
          <t>●</t>
        </is>
      </c>
      <c r="R147" s="67" t="n"/>
      <c r="S147" s="68" t="inlineStr">
        <is>
          <t>Opportunité</t>
        </is>
      </c>
      <c r="T147" s="68" t="inlineStr">
        <is>
          <t>Nouveaux avis ÷ nouveaux clients ou ventes sur la même période</t>
        </is>
      </c>
      <c r="U147" s="68" t="inlineStr">
        <is>
          <t>COM-44.06, ACQ-11.01, ACQ-21.02, ACQ-11.06, ACQ-11.07, ACQ-11.14</t>
        </is>
      </c>
      <c r="V147" s="68" t="inlineStr">
        <is>
          <t>XC14, XC24, DC09</t>
        </is>
      </c>
      <c r="W147" s="83" t="n"/>
    </row>
    <row r="148" ht="23.85" customHeight="1" s="53">
      <c r="A148" s="98" t="inlineStr">
        <is>
          <t>COM-45.01</t>
        </is>
      </c>
      <c r="B148" s="89" t="inlineStr">
        <is>
          <t>COM-45</t>
        </is>
      </c>
      <c r="C148" s="97">
        <f>IFERROR(INDEX(Thèmes!$D$2:$D$190,MATCH(B148,Thèmes!$A$2:$A$190,0)),"")</f>
        <v/>
      </c>
      <c r="D148" s="86" t="inlineStr">
        <is>
          <t>C05 · Votre fiche Google et vos avis</t>
        </is>
      </c>
      <c r="E148" s="86" t="inlineStr">
        <is>
          <t>Demande d'avis — déclencheur D62</t>
        </is>
      </c>
      <c r="F148" s="86" t="inlineStr">
        <is>
          <t>Choix + choix</t>
        </is>
      </c>
      <c r="G148" s="89" t="inlineStr">
        <is>
          <t>Demandée</t>
        </is>
      </c>
      <c r="H148" s="89" t="inlineStr">
        <is>
          <t>Essentiel</t>
        </is>
      </c>
      <c r="I148" s="86" t="inlineStr">
        <is>
          <t>—</t>
        </is>
      </c>
      <c r="J148" s="86" t="inlineStr">
        <is>
          <t>—</t>
        </is>
      </c>
      <c r="K148" s="89" t="inlineStr">
        <is>
          <t>●</t>
        </is>
      </c>
      <c r="L148" s="89" t="inlineStr">
        <is>
          <t>●</t>
        </is>
      </c>
      <c r="M148" s="89" t="inlineStr">
        <is>
          <t>●</t>
        </is>
      </c>
      <c r="N148" s="89" t="inlineStr">
        <is>
          <t>●</t>
        </is>
      </c>
      <c r="O148" s="89" t="inlineStr">
        <is>
          <t>●</t>
        </is>
      </c>
      <c r="P148" s="89" t="inlineStr">
        <is>
          <t>●</t>
        </is>
      </c>
      <c r="Q148" s="89" t="inlineStr">
        <is>
          <t>●</t>
        </is>
      </c>
      <c r="R148" s="89" t="inlineStr">
        <is>
          <t>●</t>
        </is>
      </c>
      <c r="S148" s="86" t="inlineStr">
        <is>
          <t>Levier</t>
        </is>
      </c>
      <c r="T148" s="86" t="inlineStr">
        <is>
          <t>—</t>
        </is>
      </c>
      <c r="U148" s="86" t="inlineStr">
        <is>
          <t>—</t>
        </is>
      </c>
      <c r="V148" s="86" t="inlineStr">
        <is>
          <t>XC24</t>
        </is>
      </c>
      <c r="W148" s="91" t="inlineStr">
        <is>
          <t>Libellé (« Donnée »)</t>
        </is>
      </c>
    </row>
    <row r="149" ht="68.65000000000001" customHeight="1" s="53">
      <c r="A149" s="92" t="inlineStr">
        <is>
          <t>COM-45.02</t>
        </is>
      </c>
      <c r="B149" s="67" t="inlineStr">
        <is>
          <t>COM-45</t>
        </is>
      </c>
      <c r="C149" s="95">
        <f>IFERROR(INDEX(Thèmes!$D$2:$D$190,MATCH(B149,Thèmes!$A$2:$A$190,0)),"")</f>
        <v/>
      </c>
      <c r="D149" s="68" t="inlineStr">
        <is>
          <t>—</t>
        </is>
      </c>
      <c r="E149" s="68" t="inlineStr">
        <is>
          <t>Façon de demander un avis</t>
        </is>
      </c>
      <c r="F149" s="68" t="inlineStr">
        <is>
          <t>Cases à cocher</t>
        </is>
      </c>
      <c r="G149" s="67" t="inlineStr">
        <is>
          <t>Demandée</t>
        </is>
      </c>
      <c r="H149" s="67" t="inlineStr">
        <is>
          <t>Essentiel</t>
        </is>
      </c>
      <c r="I149" s="99" t="inlineStr">
        <is>
          <t>D62 · si vous demandez des avis</t>
        </is>
      </c>
      <c r="J149" s="68" t="inlineStr">
        <is>
          <t>—</t>
        </is>
      </c>
      <c r="K149" s="67" t="inlineStr">
        <is>
          <t>●</t>
        </is>
      </c>
      <c r="L149" s="67" t="inlineStr">
        <is>
          <t>●</t>
        </is>
      </c>
      <c r="M149" s="67" t="inlineStr">
        <is>
          <t>●</t>
        </is>
      </c>
      <c r="N149" s="67" t="inlineStr">
        <is>
          <t>●</t>
        </is>
      </c>
      <c r="O149" s="67" t="inlineStr">
        <is>
          <t>●</t>
        </is>
      </c>
      <c r="P149" s="67" t="inlineStr">
        <is>
          <t>●</t>
        </is>
      </c>
      <c r="Q149" s="67" t="inlineStr">
        <is>
          <t>●</t>
        </is>
      </c>
      <c r="R149" s="67" t="inlineStr">
        <is>
          <t>●</t>
        </is>
      </c>
      <c r="S149" s="68" t="inlineStr">
        <is>
          <t>—</t>
        </is>
      </c>
      <c r="T149" s="68" t="inlineStr">
        <is>
          <t>—</t>
        </is>
      </c>
      <c r="U149" s="68" t="inlineStr">
        <is>
          <t>—</t>
        </is>
      </c>
      <c r="V149" s="68" t="inlineStr">
        <is>
          <t>—</t>
        </is>
      </c>
      <c r="W149" s="83" t="inlineStr">
        <is>
          <t>Nouveau</t>
        </is>
      </c>
    </row>
    <row r="150" ht="23.85" customHeight="1" s="53">
      <c r="A150" s="98" t="inlineStr">
        <is>
          <t>COM-46.01</t>
        </is>
      </c>
      <c r="B150" s="89" t="inlineStr">
        <is>
          <t>COM-46</t>
        </is>
      </c>
      <c r="C150" s="97">
        <f>IFERROR(INDEX(Thèmes!$D$2:$D$190,MATCH(B150,Thèmes!$A$2:$A$190,0)),"")</f>
        <v/>
      </c>
      <c r="D150" s="86" t="inlineStr">
        <is>
          <t>C05 · Votre fiche Google et vos avis</t>
        </is>
      </c>
      <c r="E150" s="86" t="inlineStr">
        <is>
          <t>Avis ayant reçu une réponse (positifs, négatifs) et délai moyen de réponse</t>
        </is>
      </c>
      <c r="F150" s="86" t="inlineStr">
        <is>
          <t>Plusieurs champs : Avis positifs avec une réponse · Avis négatifs avec une réponse · Délai moyen de réponse</t>
        </is>
      </c>
      <c r="G150" s="89" t="inlineStr">
        <is>
          <t>Demandée</t>
        </is>
      </c>
      <c r="H150" s="89" t="inlineStr">
        <is>
          <t>Essentiel</t>
        </is>
      </c>
      <c r="I150" s="100" t="inlineStr">
        <is>
          <t>D61 · si vous avez des avis</t>
        </is>
      </c>
      <c r="J150" s="86" t="inlineStr">
        <is>
          <t>—</t>
        </is>
      </c>
      <c r="K150" s="89" t="inlineStr">
        <is>
          <t>●</t>
        </is>
      </c>
      <c r="L150" s="89" t="inlineStr">
        <is>
          <t>●</t>
        </is>
      </c>
      <c r="M150" s="89" t="inlineStr">
        <is>
          <t>●</t>
        </is>
      </c>
      <c r="N150" s="89" t="inlineStr">
        <is>
          <t>●</t>
        </is>
      </c>
      <c r="O150" s="89" t="inlineStr">
        <is>
          <t>●</t>
        </is>
      </c>
      <c r="P150" s="89" t="inlineStr">
        <is>
          <t>●</t>
        </is>
      </c>
      <c r="Q150" s="89" t="inlineStr">
        <is>
          <t>●</t>
        </is>
      </c>
      <c r="R150" s="89" t="inlineStr">
        <is>
          <t>●</t>
        </is>
      </c>
      <c r="S150" s="86" t="inlineStr">
        <is>
          <t>Problème</t>
        </is>
      </c>
      <c r="T150" s="86" t="inlineStr">
        <is>
          <t>Saisie par le dirigeant tant qu'aucune connexion n'existe. Quand la connexion existera : Lu sur la fiche Google ; sinon tranches</t>
        </is>
      </c>
      <c r="U150" s="86" t="inlineStr">
        <is>
          <t>—</t>
        </is>
      </c>
      <c r="V150" s="86" t="inlineStr">
        <is>
          <t>COM-46.03</t>
        </is>
      </c>
      <c r="W150" s="91" t="inlineStr">
        <is>
          <t>Mode : Importée → Demandée (le dirigeant la saisit) · Format de réponse · Condition d'affichage</t>
        </is>
      </c>
    </row>
    <row r="151" ht="23.85" customHeight="1" s="53">
      <c r="A151" s="94" t="inlineStr">
        <is>
          <t>COM-46.02</t>
        </is>
      </c>
      <c r="B151" s="67" t="inlineStr">
        <is>
          <t>COM-46</t>
        </is>
      </c>
      <c r="C151" s="95">
        <f>IFERROR(INDEX(Thèmes!$D$2:$D$190,MATCH(B151,Thèmes!$A$2:$A$190,0)),"")</f>
        <v/>
      </c>
      <c r="D151" s="68" t="inlineStr">
        <is>
          <t>C05 · Votre fiche Google et vos avis</t>
        </is>
      </c>
      <c r="E151" s="68" t="inlineStr">
        <is>
          <t>Qui répond aux avis, et existe-t-il une règle (délai, modèle de réponse) ?</t>
        </is>
      </c>
      <c r="F151" s="68" t="inlineStr">
        <is>
          <t>Choix + oui / non</t>
        </is>
      </c>
      <c r="G151" s="67" t="inlineStr">
        <is>
          <t>Demandée</t>
        </is>
      </c>
      <c r="H151" s="67" t="inlineStr">
        <is>
          <t>Essentiel</t>
        </is>
      </c>
      <c r="I151" s="99" t="inlineStr">
        <is>
          <t>D61 · si vous avez des avis</t>
        </is>
      </c>
      <c r="J151" s="68" t="inlineStr">
        <is>
          <t>—</t>
        </is>
      </c>
      <c r="K151" s="67" t="inlineStr">
        <is>
          <t>●</t>
        </is>
      </c>
      <c r="L151" s="67" t="inlineStr">
        <is>
          <t>●</t>
        </is>
      </c>
      <c r="M151" s="67" t="inlineStr">
        <is>
          <t>●</t>
        </is>
      </c>
      <c r="N151" s="67" t="inlineStr">
        <is>
          <t>●</t>
        </is>
      </c>
      <c r="O151" s="67" t="inlineStr">
        <is>
          <t>●</t>
        </is>
      </c>
      <c r="P151" s="67" t="inlineStr">
        <is>
          <t>●</t>
        </is>
      </c>
      <c r="Q151" s="67" t="inlineStr">
        <is>
          <t>●</t>
        </is>
      </c>
      <c r="R151" s="67" t="inlineStr">
        <is>
          <t>●</t>
        </is>
      </c>
      <c r="S151" s="68" t="inlineStr">
        <is>
          <t>Levier</t>
        </is>
      </c>
      <c r="T151" s="68" t="inlineStr">
        <is>
          <t>—</t>
        </is>
      </c>
      <c r="U151" s="68" t="inlineStr">
        <is>
          <t>—</t>
        </is>
      </c>
      <c r="V151" s="68" t="inlineStr">
        <is>
          <t>XC23</t>
        </is>
      </c>
      <c r="W151" s="83" t="inlineStr">
        <is>
          <t>Condition d'affichage</t>
        </is>
      </c>
    </row>
    <row r="152" ht="46.25" customHeight="1" s="53">
      <c r="A152" s="81" t="inlineStr">
        <is>
          <t>COM-46.03</t>
        </is>
      </c>
      <c r="B152" s="67" t="inlineStr">
        <is>
          <t>COM-46</t>
        </is>
      </c>
      <c r="C152" s="95">
        <f>IFERROR(INDEX(Thèmes!$D$2:$D$190,MATCH(B152,Thèmes!$A$2:$A$190,0)),"")</f>
        <v/>
      </c>
      <c r="D152" s="68" t="inlineStr">
        <is>
          <t>—</t>
        </is>
      </c>
      <c r="E152" s="68" t="inlineStr">
        <is>
          <t>Taux de réponse aux avis positifs et négatifs, et avis sans réponse</t>
        </is>
      </c>
      <c r="F152" s="68" t="inlineStr">
        <is>
          <t>% et nombre</t>
        </is>
      </c>
      <c r="G152" s="96" t="inlineStr">
        <is>
          <t>Calculée</t>
        </is>
      </c>
      <c r="H152" s="67" t="inlineStr">
        <is>
          <t>—</t>
        </is>
      </c>
      <c r="I152" s="68" t="inlineStr">
        <is>
          <t>—</t>
        </is>
      </c>
      <c r="J152" s="68" t="inlineStr">
        <is>
          <t>—</t>
        </is>
      </c>
      <c r="K152" s="67" t="inlineStr">
        <is>
          <t>●</t>
        </is>
      </c>
      <c r="L152" s="67" t="inlineStr">
        <is>
          <t>●</t>
        </is>
      </c>
      <c r="M152" s="67" t="inlineStr">
        <is>
          <t>●</t>
        </is>
      </c>
      <c r="N152" s="67" t="inlineStr">
        <is>
          <t>●</t>
        </is>
      </c>
      <c r="O152" s="67" t="inlineStr">
        <is>
          <t>●</t>
        </is>
      </c>
      <c r="P152" s="67" t="inlineStr">
        <is>
          <t>●</t>
        </is>
      </c>
      <c r="Q152" s="67" t="inlineStr">
        <is>
          <t>●</t>
        </is>
      </c>
      <c r="R152" s="67" t="inlineStr">
        <is>
          <t>●</t>
        </is>
      </c>
      <c r="S152" s="68" t="inlineStr">
        <is>
          <t>Cible</t>
        </is>
      </c>
      <c r="T152" s="68" t="inlineStr">
        <is>
          <t>Avis répondus ÷ avis reçus ; ancienneté des avis sans réponse</t>
        </is>
      </c>
      <c r="U152" s="68" t="inlineStr">
        <is>
          <t>COM-46.01, ACQ-06.01</t>
        </is>
      </c>
      <c r="V152" s="68" t="inlineStr">
        <is>
          <t>XC23</t>
        </is>
      </c>
      <c r="W152" s="83" t="n"/>
    </row>
    <row r="153" ht="23.85" customHeight="1" s="53">
      <c r="A153" s="85" t="inlineStr">
        <is>
          <t>COM-47.01</t>
        </is>
      </c>
      <c r="B153" s="89" t="inlineStr">
        <is>
          <t>COM-47</t>
        </is>
      </c>
      <c r="C153" s="97">
        <f>IFERROR(INDEX(Thèmes!$D$2:$D$190,MATCH(B153,Thèmes!$A$2:$A$190,0)),"")</f>
        <v/>
      </c>
      <c r="D153" s="86" t="inlineStr">
        <is>
          <t>C10 · Votre stratégie et votre organisation</t>
        </is>
      </c>
      <c r="E153" s="86" t="inlineStr">
        <is>
          <t>Part des commentaires qui reçoivent une réponse</t>
        </is>
      </c>
      <c r="F153" s="86" t="inlineStr">
        <is>
          <t>Tranches : presque tous · la moitié · peu · aucun · je ne sais pas</t>
        </is>
      </c>
      <c r="G153" s="89" t="inlineStr">
        <is>
          <t>Demandée</t>
        </is>
      </c>
      <c r="H153" s="89" t="inlineStr">
        <is>
          <t>Essentiel</t>
        </is>
      </c>
      <c r="I153" s="100" t="inlineStr">
        <is>
          <t>D21 · si vous publiez déjà</t>
        </is>
      </c>
      <c r="J153" s="86" t="inlineStr">
        <is>
          <t>—</t>
        </is>
      </c>
      <c r="K153" s="89" t="inlineStr">
        <is>
          <t>●</t>
        </is>
      </c>
      <c r="L153" s="89" t="inlineStr">
        <is>
          <t>●</t>
        </is>
      </c>
      <c r="M153" s="89" t="inlineStr">
        <is>
          <t>●</t>
        </is>
      </c>
      <c r="N153" s="89" t="inlineStr">
        <is>
          <t>●</t>
        </is>
      </c>
      <c r="O153" s="89" t="inlineStr">
        <is>
          <t>●</t>
        </is>
      </c>
      <c r="P153" s="89" t="inlineStr">
        <is>
          <t>●</t>
        </is>
      </c>
      <c r="Q153" s="89" t="inlineStr">
        <is>
          <t>●</t>
        </is>
      </c>
      <c r="R153" s="89" t="inlineStr">
        <is>
          <t>●</t>
        </is>
      </c>
      <c r="S153" s="86" t="inlineStr">
        <is>
          <t>Levier</t>
        </is>
      </c>
      <c r="T153" s="86" t="inlineStr">
        <is>
          <t>—</t>
        </is>
      </c>
      <c r="U153" s="86" t="inlineStr">
        <is>
          <t>—</t>
        </is>
      </c>
      <c r="V153" s="86" t="inlineStr">
        <is>
          <t>Notée directement (couleur du thème)</t>
        </is>
      </c>
      <c r="W153" s="91" t="n"/>
    </row>
    <row r="154" ht="35.05" customHeight="1" s="53">
      <c r="A154" s="85" t="inlineStr">
        <is>
          <t>COM-48.01</t>
        </is>
      </c>
      <c r="B154" s="89" t="inlineStr">
        <is>
          <t>COM-48</t>
        </is>
      </c>
      <c r="C154" s="97">
        <f>IFERROR(INDEX(Thèmes!$D$2:$D$190,MATCH(B154,Thèmes!$A$2:$A$190,0)),"")</f>
        <v/>
      </c>
      <c r="D154" s="86" t="inlineStr">
        <is>
          <t>C10 · Votre stratégie et votre organisation</t>
        </is>
      </c>
      <c r="E154" s="86" t="inlineStr">
        <is>
          <t>Relais qui ont parlé de vous : presse, associations, créateurs de contenu, autres entreprises</t>
        </is>
      </c>
      <c r="F154" s="86" t="inlineStr">
        <is>
          <t>Cases + nombre</t>
        </is>
      </c>
      <c r="G154" s="89" t="inlineStr">
        <is>
          <t>Demandée</t>
        </is>
      </c>
      <c r="H154" s="89" t="inlineStr">
        <is>
          <t>Approfondi</t>
        </is>
      </c>
      <c r="I154" s="86" t="inlineStr">
        <is>
          <t>—</t>
        </is>
      </c>
      <c r="J154" s="86" t="inlineStr">
        <is>
          <t>—</t>
        </is>
      </c>
      <c r="K154" s="89" t="inlineStr">
        <is>
          <t>●</t>
        </is>
      </c>
      <c r="L154" s="89" t="inlineStr">
        <is>
          <t>●</t>
        </is>
      </c>
      <c r="M154" s="89" t="inlineStr">
        <is>
          <t>●</t>
        </is>
      </c>
      <c r="N154" s="89" t="inlineStr">
        <is>
          <t>●</t>
        </is>
      </c>
      <c r="O154" s="89" t="inlineStr">
        <is>
          <t>●</t>
        </is>
      </c>
      <c r="P154" s="89" t="inlineStr">
        <is>
          <t>●</t>
        </is>
      </c>
      <c r="Q154" s="89" t="inlineStr">
        <is>
          <t>●</t>
        </is>
      </c>
      <c r="R154" s="89" t="inlineStr">
        <is>
          <t>●</t>
        </is>
      </c>
      <c r="S154" s="86" t="inlineStr">
        <is>
          <t>Opportunité</t>
        </is>
      </c>
      <c r="T154" s="86" t="inlineStr">
        <is>
          <t>—</t>
        </is>
      </c>
      <c r="U154" s="86" t="inlineStr">
        <is>
          <t>—</t>
        </is>
      </c>
      <c r="V154" s="86" t="inlineStr">
        <is>
          <t>Lue par l'IA pour adapter le conseil</t>
        </is>
      </c>
      <c r="W154" s="91" t="n"/>
    </row>
    <row r="155" ht="23.85" customHeight="1" s="53">
      <c r="A155" s="94" t="inlineStr">
        <is>
          <t>COM-48.02</t>
        </is>
      </c>
      <c r="B155" s="67" t="inlineStr">
        <is>
          <t>COM-48</t>
        </is>
      </c>
      <c r="C155" s="95">
        <f>IFERROR(INDEX(Thèmes!$D$2:$D$190,MATCH(B155,Thèmes!$A$2:$A$190,0)),"")</f>
        <v/>
      </c>
      <c r="D155" s="68" t="inlineStr">
        <is>
          <t>C10 · Votre stratégie et votre organisation</t>
        </is>
      </c>
      <c r="E155" s="68" t="inlineStr">
        <is>
          <t>Collaborations avec des créateurs et ventes suivies (le coût est la ligne « Influence » de COM-32.02)</t>
        </is>
      </c>
      <c r="F155" s="68" t="inlineStr">
        <is>
          <t>3 nombres</t>
        </is>
      </c>
      <c r="G155" s="67" t="inlineStr">
        <is>
          <t>Demandée</t>
        </is>
      </c>
      <c r="H155" s="67" t="inlineStr">
        <is>
          <t>Approfondi</t>
        </is>
      </c>
      <c r="I155" s="68" t="inlineStr">
        <is>
          <t>—</t>
        </is>
      </c>
      <c r="J155" s="68" t="inlineStr">
        <is>
          <t>Période adaptée : depuis la création si moins de 12 mois</t>
        </is>
      </c>
      <c r="K155" s="67" t="n"/>
      <c r="L155" s="67" t="inlineStr">
        <is>
          <t>●</t>
        </is>
      </c>
      <c r="M155" s="67" t="inlineStr">
        <is>
          <t>●</t>
        </is>
      </c>
      <c r="N155" s="67" t="inlineStr">
        <is>
          <t>●</t>
        </is>
      </c>
      <c r="O155" s="67" t="n"/>
      <c r="P155" s="67" t="n"/>
      <c r="Q155" s="67" t="n"/>
      <c r="R155" s="67" t="inlineStr">
        <is>
          <t>●</t>
        </is>
      </c>
      <c r="S155" s="68" t="inlineStr">
        <is>
          <t>Levier</t>
        </is>
      </c>
      <c r="T155" s="68" t="inlineStr">
        <is>
          <t>—</t>
        </is>
      </c>
      <c r="U155" s="68" t="inlineStr">
        <is>
          <t>—</t>
        </is>
      </c>
      <c r="V155" s="68" t="inlineStr">
        <is>
          <t>XC32</t>
        </is>
      </c>
      <c r="W155" s="83" t="inlineStr">
        <is>
          <t>Libellé (« Donnée »)</t>
        </is>
      </c>
    </row>
    <row r="156" ht="23.85" customHeight="1" s="53">
      <c r="A156" s="85" t="inlineStr">
        <is>
          <t>COM-49.01</t>
        </is>
      </c>
      <c r="B156" s="89" t="inlineStr">
        <is>
          <t>COM-49</t>
        </is>
      </c>
      <c r="C156" s="97">
        <f>IFERROR(INDEX(Thèmes!$D$2:$D$190,MATCH(B156,Thèmes!$A$2:$A$190,0)),"")</f>
        <v/>
      </c>
      <c r="D156" s="86" t="inlineStr">
        <is>
          <t>—</t>
        </is>
      </c>
      <c r="E156" s="86" t="inlineStr">
        <is>
          <t>Accroche : la première ligne ou les premières secondes arrêtent le défilement</t>
        </is>
      </c>
      <c r="F156" s="86" t="inlineStr">
        <is>
          <t>Oui / partiel / non par publication</t>
        </is>
      </c>
      <c r="G156" s="102" t="inlineStr">
        <is>
          <t>Calculée</t>
        </is>
      </c>
      <c r="H156" s="89" t="inlineStr">
        <is>
          <t>—</t>
        </is>
      </c>
      <c r="I156" s="86" t="inlineStr">
        <is>
          <t>—</t>
        </is>
      </c>
      <c r="J156" s="86" t="inlineStr">
        <is>
          <t>—</t>
        </is>
      </c>
      <c r="K156" s="89" t="inlineStr">
        <is>
          <t>●</t>
        </is>
      </c>
      <c r="L156" s="89" t="inlineStr">
        <is>
          <t>●</t>
        </is>
      </c>
      <c r="M156" s="89" t="inlineStr">
        <is>
          <t>●</t>
        </is>
      </c>
      <c r="N156" s="89" t="inlineStr">
        <is>
          <t>●</t>
        </is>
      </c>
      <c r="O156" s="89" t="inlineStr">
        <is>
          <t>●</t>
        </is>
      </c>
      <c r="P156" s="89" t="inlineStr">
        <is>
          <t>●</t>
        </is>
      </c>
      <c r="Q156" s="89" t="inlineStr">
        <is>
          <t>●</t>
        </is>
      </c>
      <c r="R156" s="89" t="inlineStr">
        <is>
          <t>●</t>
        </is>
      </c>
      <c r="S156" s="86" t="inlineStr">
        <is>
          <t>Problème</t>
        </is>
      </c>
      <c r="T156" s="86" t="inlineStr">
        <is>
          <t>Grille fixe appliquée par l'IA aux 10 dernières publications</t>
        </is>
      </c>
      <c r="U156" s="86" t="inlineStr">
        <is>
          <t>COM-39.02</t>
        </is>
      </c>
      <c r="V156" s="86" t="inlineStr">
        <is>
          <t>DC02</t>
        </is>
      </c>
      <c r="W156" s="91" t="n"/>
    </row>
    <row r="157" ht="15" customHeight="1" s="53">
      <c r="A157" s="85" t="inlineStr">
        <is>
          <t>COM-50.01</t>
        </is>
      </c>
      <c r="B157" s="89" t="inlineStr">
        <is>
          <t>COM-50</t>
        </is>
      </c>
      <c r="C157" s="97">
        <f>IFERROR(INDEX(Thèmes!$D$2:$D$190,MATCH(B157,Thèmes!$A$2:$A$190,0)),"")</f>
        <v/>
      </c>
      <c r="D157" s="86" t="inlineStr">
        <is>
          <t>—</t>
        </is>
      </c>
      <c r="E157" s="86" t="inlineStr">
        <is>
          <t>Angle client : la publication parle du client et de son problème</t>
        </is>
      </c>
      <c r="F157" s="86" t="inlineStr">
        <is>
          <t>Oui / partiel / non</t>
        </is>
      </c>
      <c r="G157" s="102" t="inlineStr">
        <is>
          <t>Calculée</t>
        </is>
      </c>
      <c r="H157" s="89" t="inlineStr">
        <is>
          <t>—</t>
        </is>
      </c>
      <c r="I157" s="86" t="inlineStr">
        <is>
          <t>—</t>
        </is>
      </c>
      <c r="J157" s="86" t="inlineStr">
        <is>
          <t>—</t>
        </is>
      </c>
      <c r="K157" s="89" t="inlineStr">
        <is>
          <t>●</t>
        </is>
      </c>
      <c r="L157" s="89" t="inlineStr">
        <is>
          <t>●</t>
        </is>
      </c>
      <c r="M157" s="89" t="inlineStr">
        <is>
          <t>●</t>
        </is>
      </c>
      <c r="N157" s="89" t="inlineStr">
        <is>
          <t>●</t>
        </is>
      </c>
      <c r="O157" s="89" t="inlineStr">
        <is>
          <t>●</t>
        </is>
      </c>
      <c r="P157" s="89" t="inlineStr">
        <is>
          <t>●</t>
        </is>
      </c>
      <c r="Q157" s="89" t="inlineStr">
        <is>
          <t>●</t>
        </is>
      </c>
      <c r="R157" s="89" t="inlineStr">
        <is>
          <t>●</t>
        </is>
      </c>
      <c r="S157" s="86" t="inlineStr">
        <is>
          <t>Problème</t>
        </is>
      </c>
      <c r="T157" s="86" t="inlineStr">
        <is>
          <t>Grille fixe appliquée par l'IA</t>
        </is>
      </c>
      <c r="U157" s="86" t="inlineStr">
        <is>
          <t>COM-39.02</t>
        </is>
      </c>
      <c r="V157" s="86" t="inlineStr">
        <is>
          <t>DC02</t>
        </is>
      </c>
      <c r="W157" s="91" t="n"/>
    </row>
    <row r="158" ht="15" customHeight="1" s="53">
      <c r="A158" s="85" t="inlineStr">
        <is>
          <t>COM-51.01</t>
        </is>
      </c>
      <c r="B158" s="89" t="inlineStr">
        <is>
          <t>COM-51</t>
        </is>
      </c>
      <c r="C158" s="97">
        <f>IFERROR(INDEX(Thèmes!$D$2:$D$190,MATCH(B158,Thèmes!$A$2:$A$190,0)),"")</f>
        <v/>
      </c>
      <c r="D158" s="86" t="inlineStr">
        <is>
          <t>—</t>
        </is>
      </c>
      <c r="E158" s="86" t="inlineStr">
        <is>
          <t>Bénéfice explicite pour le lecteur</t>
        </is>
      </c>
      <c r="F158" s="86" t="inlineStr">
        <is>
          <t>Oui / partiel / non</t>
        </is>
      </c>
      <c r="G158" s="102" t="inlineStr">
        <is>
          <t>Calculée</t>
        </is>
      </c>
      <c r="H158" s="89" t="inlineStr">
        <is>
          <t>—</t>
        </is>
      </c>
      <c r="I158" s="86" t="inlineStr">
        <is>
          <t>—</t>
        </is>
      </c>
      <c r="J158" s="86" t="inlineStr">
        <is>
          <t>—</t>
        </is>
      </c>
      <c r="K158" s="89" t="inlineStr">
        <is>
          <t>●</t>
        </is>
      </c>
      <c r="L158" s="89" t="inlineStr">
        <is>
          <t>●</t>
        </is>
      </c>
      <c r="M158" s="89" t="inlineStr">
        <is>
          <t>●</t>
        </is>
      </c>
      <c r="N158" s="89" t="inlineStr">
        <is>
          <t>●</t>
        </is>
      </c>
      <c r="O158" s="89" t="inlineStr">
        <is>
          <t>●</t>
        </is>
      </c>
      <c r="P158" s="89" t="inlineStr">
        <is>
          <t>●</t>
        </is>
      </c>
      <c r="Q158" s="89" t="inlineStr">
        <is>
          <t>●</t>
        </is>
      </c>
      <c r="R158" s="89" t="inlineStr">
        <is>
          <t>●</t>
        </is>
      </c>
      <c r="S158" s="86" t="inlineStr">
        <is>
          <t>Problème</t>
        </is>
      </c>
      <c r="T158" s="86" t="inlineStr">
        <is>
          <t>Grille fixe appliquée par l'IA</t>
        </is>
      </c>
      <c r="U158" s="86" t="inlineStr">
        <is>
          <t>COM-39.02</t>
        </is>
      </c>
      <c r="V158" s="86" t="inlineStr">
        <is>
          <t>DC02</t>
        </is>
      </c>
      <c r="W158" s="91" t="n"/>
    </row>
    <row r="159" ht="15" customHeight="1" s="53">
      <c r="A159" s="85" t="inlineStr">
        <is>
          <t>COM-52.01</t>
        </is>
      </c>
      <c r="B159" s="89" t="inlineStr">
        <is>
          <t>COM-52</t>
        </is>
      </c>
      <c r="C159" s="97">
        <f>IFERROR(INDEX(Thèmes!$D$2:$D$190,MATCH(B159,Thèmes!$A$2:$A$190,0)),"")</f>
        <v/>
      </c>
      <c r="D159" s="86" t="inlineStr">
        <is>
          <t>—</t>
        </is>
      </c>
      <c r="E159" s="86" t="inlineStr">
        <is>
          <t>Preuve : chiffre, exemple ou témoignage</t>
        </is>
      </c>
      <c r="F159" s="86" t="inlineStr">
        <is>
          <t>Oui / partiel / non</t>
        </is>
      </c>
      <c r="G159" s="102" t="inlineStr">
        <is>
          <t>Calculée</t>
        </is>
      </c>
      <c r="H159" s="89" t="inlineStr">
        <is>
          <t>—</t>
        </is>
      </c>
      <c r="I159" s="86" t="inlineStr">
        <is>
          <t>—</t>
        </is>
      </c>
      <c r="J159" s="86" t="inlineStr">
        <is>
          <t>—</t>
        </is>
      </c>
      <c r="K159" s="89" t="inlineStr">
        <is>
          <t>●</t>
        </is>
      </c>
      <c r="L159" s="89" t="inlineStr">
        <is>
          <t>●</t>
        </is>
      </c>
      <c r="M159" s="89" t="inlineStr">
        <is>
          <t>●</t>
        </is>
      </c>
      <c r="N159" s="89" t="inlineStr">
        <is>
          <t>●</t>
        </is>
      </c>
      <c r="O159" s="89" t="inlineStr">
        <is>
          <t>●</t>
        </is>
      </c>
      <c r="P159" s="89" t="inlineStr">
        <is>
          <t>●</t>
        </is>
      </c>
      <c r="Q159" s="89" t="inlineStr">
        <is>
          <t>●</t>
        </is>
      </c>
      <c r="R159" s="89" t="inlineStr">
        <is>
          <t>●</t>
        </is>
      </c>
      <c r="S159" s="86" t="inlineStr">
        <is>
          <t>Problème</t>
        </is>
      </c>
      <c r="T159" s="86" t="inlineStr">
        <is>
          <t>Grille fixe appliquée par l'IA</t>
        </is>
      </c>
      <c r="U159" s="86" t="inlineStr">
        <is>
          <t>COM-39.02</t>
        </is>
      </c>
      <c r="V159" s="86" t="inlineStr">
        <is>
          <t>DC09</t>
        </is>
      </c>
      <c r="W159" s="91" t="n"/>
    </row>
    <row r="160" ht="23.85" customHeight="1" s="53">
      <c r="A160" s="85" t="inlineStr">
        <is>
          <t>COM-53.01</t>
        </is>
      </c>
      <c r="B160" s="89" t="inlineStr">
        <is>
          <t>COM-53</t>
        </is>
      </c>
      <c r="C160" s="97">
        <f>IFERROR(INDEX(Thèmes!$D$2:$D$190,MATCH(B160,Thèmes!$A$2:$A$190,0)),"")</f>
        <v/>
      </c>
      <c r="D160" s="86" t="inlineStr">
        <is>
          <t>—</t>
        </is>
      </c>
      <c r="E160" s="86" t="inlineStr">
        <is>
          <t>Appel à l'action : la publication dit quoi faire ensuite</t>
        </is>
      </c>
      <c r="F160" s="86" t="inlineStr">
        <is>
          <t>Oui / partiel / non</t>
        </is>
      </c>
      <c r="G160" s="102" t="inlineStr">
        <is>
          <t>Calculée</t>
        </is>
      </c>
      <c r="H160" s="89" t="inlineStr">
        <is>
          <t>—</t>
        </is>
      </c>
      <c r="I160" s="86" t="inlineStr">
        <is>
          <t>—</t>
        </is>
      </c>
      <c r="J160" s="86" t="inlineStr">
        <is>
          <t>—</t>
        </is>
      </c>
      <c r="K160" s="89" t="inlineStr">
        <is>
          <t>●</t>
        </is>
      </c>
      <c r="L160" s="89" t="inlineStr">
        <is>
          <t>●</t>
        </is>
      </c>
      <c r="M160" s="89" t="inlineStr">
        <is>
          <t>●</t>
        </is>
      </c>
      <c r="N160" s="89" t="inlineStr">
        <is>
          <t>●</t>
        </is>
      </c>
      <c r="O160" s="89" t="inlineStr">
        <is>
          <t>●</t>
        </is>
      </c>
      <c r="P160" s="89" t="inlineStr">
        <is>
          <t>●</t>
        </is>
      </c>
      <c r="Q160" s="89" t="inlineStr">
        <is>
          <t>●</t>
        </is>
      </c>
      <c r="R160" s="89" t="inlineStr">
        <is>
          <t>●</t>
        </is>
      </c>
      <c r="S160" s="86" t="inlineStr">
        <is>
          <t>Problème</t>
        </is>
      </c>
      <c r="T160" s="86" t="inlineStr">
        <is>
          <t>Grille fixe appliquée par l'IA</t>
        </is>
      </c>
      <c r="U160" s="86" t="inlineStr">
        <is>
          <t>COM-39.02</t>
        </is>
      </c>
      <c r="V160" s="86" t="inlineStr">
        <is>
          <t>COM-20.01, XC06, DC08</t>
        </is>
      </c>
      <c r="W160" s="91" t="n"/>
    </row>
    <row r="161" ht="113.4" customHeight="1" s="53">
      <c r="A161" s="85" t="inlineStr">
        <is>
          <t>COM-54.01</t>
        </is>
      </c>
      <c r="B161" s="89" t="inlineStr">
        <is>
          <t>COM-54</t>
        </is>
      </c>
      <c r="C161" s="97">
        <f>IFERROR(INDEX(Thèmes!$D$2:$D$190,MATCH(B161,Thèmes!$A$2:$A$190,0)),"")</f>
        <v/>
      </c>
      <c r="D161" s="86" t="inlineStr">
        <is>
          <t>—</t>
        </is>
      </c>
      <c r="E161" s="86" t="inlineStr">
        <is>
          <t>Public visé : la publication s'adresse à la cible déclarée, pas à un autre public</t>
        </is>
      </c>
      <c r="F161" s="86" t="inlineStr">
        <is>
          <t>Oui / partiel / non</t>
        </is>
      </c>
      <c r="G161" s="102" t="inlineStr">
        <is>
          <t>Calculée</t>
        </is>
      </c>
      <c r="H161" s="89" t="inlineStr">
        <is>
          <t>—</t>
        </is>
      </c>
      <c r="I161" s="86" t="inlineStr">
        <is>
          <t>—</t>
        </is>
      </c>
      <c r="J161" s="86" t="inlineStr">
        <is>
          <t>—</t>
        </is>
      </c>
      <c r="K161" s="89" t="inlineStr">
        <is>
          <t>●</t>
        </is>
      </c>
      <c r="L161" s="89" t="inlineStr">
        <is>
          <t>●</t>
        </is>
      </c>
      <c r="M161" s="89" t="inlineStr">
        <is>
          <t>●</t>
        </is>
      </c>
      <c r="N161" s="89" t="inlineStr">
        <is>
          <t>●</t>
        </is>
      </c>
      <c r="O161" s="89" t="inlineStr">
        <is>
          <t>●</t>
        </is>
      </c>
      <c r="P161" s="89" t="inlineStr">
        <is>
          <t>●</t>
        </is>
      </c>
      <c r="Q161" s="89" t="inlineStr">
        <is>
          <t>●</t>
        </is>
      </c>
      <c r="R161" s="89" t="inlineStr">
        <is>
          <t>●</t>
        </is>
      </c>
      <c r="S161" s="86" t="inlineStr">
        <is>
          <t>Problème</t>
        </is>
      </c>
      <c r="T161" s="86" t="inlineStr">
        <is>
          <t>Grille fixe appliquée par l'IA. Le fond seulement : le ton est noté en COM-06</t>
        </is>
      </c>
      <c r="U161" s="86" t="inlineStr">
        <is>
          <t>COM-39.02, COM-02.01</t>
        </is>
      </c>
      <c r="V161" s="86" t="inlineStr">
        <is>
          <t>Affichée dans le rapport</t>
        </is>
      </c>
      <c r="W161" s="91" t="n"/>
    </row>
    <row r="162" ht="23.85" customHeight="1" s="53">
      <c r="A162" s="104" t="inlineStr">
        <is>
          <t>COM-55.01</t>
        </is>
      </c>
      <c r="B162" s="89" t="inlineStr">
        <is>
          <t>COM-55</t>
        </is>
      </c>
      <c r="C162" s="97">
        <f>IFERROR(INDEX(Thèmes!$D$2:$D$190,MATCH(B162,Thèmes!$A$2:$A$190,0)),"")</f>
        <v/>
      </c>
      <c r="D162" s="86" t="inlineStr">
        <is>
          <t>—</t>
        </is>
      </c>
      <c r="E162" s="86" t="inlineStr">
        <is>
          <t>Profil de chaque réseau : description claire, lien, bouton de contact, publications épinglées</t>
        </is>
      </c>
      <c r="F162" s="86" t="inlineStr">
        <is>
          <t>Tableau : Description claire : quoi, pour qui, où · Lien vers votre site ou votre prise de rendez-vous · Bouton de contact · Publications épinglées qui présentent votre offre (lignes cadrage: D22)</t>
        </is>
      </c>
      <c r="G162" s="89" t="inlineStr">
        <is>
          <t>Demandée</t>
        </is>
      </c>
      <c r="H162" s="89" t="inlineStr">
        <is>
          <t>Essentiel</t>
        </is>
      </c>
      <c r="I162" s="100" t="inlineStr">
        <is>
          <t>D21 · si vous publiez déjà</t>
        </is>
      </c>
      <c r="J162" s="86" t="inlineStr">
        <is>
          <t>—</t>
        </is>
      </c>
      <c r="K162" s="89" t="inlineStr">
        <is>
          <t>●</t>
        </is>
      </c>
      <c r="L162" s="89" t="inlineStr">
        <is>
          <t>●</t>
        </is>
      </c>
      <c r="M162" s="89" t="inlineStr">
        <is>
          <t>●</t>
        </is>
      </c>
      <c r="N162" s="89" t="inlineStr">
        <is>
          <t>●</t>
        </is>
      </c>
      <c r="O162" s="89" t="inlineStr">
        <is>
          <t>●</t>
        </is>
      </c>
      <c r="P162" s="89" t="inlineStr">
        <is>
          <t>●</t>
        </is>
      </c>
      <c r="Q162" s="89" t="inlineStr">
        <is>
          <t>●</t>
        </is>
      </c>
      <c r="R162" s="89" t="inlineStr">
        <is>
          <t>●</t>
        </is>
      </c>
      <c r="S162" s="86" t="inlineStr">
        <is>
          <t>—</t>
        </is>
      </c>
      <c r="T162" s="86" t="inlineStr">
        <is>
          <t>—</t>
        </is>
      </c>
      <c r="U162" s="86" t="inlineStr">
        <is>
          <t>—</t>
        </is>
      </c>
      <c r="V162" s="86" t="inlineStr">
        <is>
          <t>—</t>
        </is>
      </c>
      <c r="W162" s="91" t="inlineStr">
        <is>
          <t>Nouveau</t>
        </is>
      </c>
    </row>
    <row r="163" ht="23.85" customHeight="1" s="53">
      <c r="A163" s="104" t="inlineStr">
        <is>
          <t>COM-56.01</t>
        </is>
      </c>
      <c r="B163" s="89" t="inlineStr">
        <is>
          <t>COM-56</t>
        </is>
      </c>
      <c r="C163" s="97">
        <f>IFERROR(INDEX(Thèmes!$D$2:$D$190,MATCH(B163,Thèmes!$A$2:$A$190,0)),"")</f>
        <v/>
      </c>
      <c r="D163" s="86" t="inlineStr">
        <is>
          <t>—</t>
        </is>
      </c>
      <c r="E163" s="86" t="inlineStr">
        <is>
          <t>Comptes déjà ouverts, même abandonnés</t>
        </is>
      </c>
      <c r="F163" s="86" t="inlineStr">
        <is>
          <t>Cases à cocher</t>
        </is>
      </c>
      <c r="G163" s="89" t="inlineStr">
        <is>
          <t>Demandée</t>
        </is>
      </c>
      <c r="H163" s="89" t="inlineStr">
        <is>
          <t>Essentiel</t>
        </is>
      </c>
      <c r="I163" s="100" t="inlineStr">
        <is>
          <t>D21 · si vous ne publiez pas encore</t>
        </is>
      </c>
      <c r="J163" s="86" t="inlineStr">
        <is>
          <t>—</t>
        </is>
      </c>
      <c r="K163" s="89" t="inlineStr">
        <is>
          <t>●</t>
        </is>
      </c>
      <c r="L163" s="89" t="inlineStr">
        <is>
          <t>●</t>
        </is>
      </c>
      <c r="M163" s="89" t="inlineStr">
        <is>
          <t>●</t>
        </is>
      </c>
      <c r="N163" s="89" t="inlineStr">
        <is>
          <t>●</t>
        </is>
      </c>
      <c r="O163" s="89" t="inlineStr">
        <is>
          <t>●</t>
        </is>
      </c>
      <c r="P163" s="89" t="inlineStr">
        <is>
          <t>●</t>
        </is>
      </c>
      <c r="Q163" s="89" t="inlineStr">
        <is>
          <t>●</t>
        </is>
      </c>
      <c r="R163" s="89" t="inlineStr">
        <is>
          <t>●</t>
        </is>
      </c>
      <c r="S163" s="86" t="inlineStr">
        <is>
          <t>—</t>
        </is>
      </c>
      <c r="T163" s="86" t="inlineStr">
        <is>
          <t>—</t>
        </is>
      </c>
      <c r="U163" s="86" t="inlineStr">
        <is>
          <t>—</t>
        </is>
      </c>
      <c r="V163" s="86" t="inlineStr">
        <is>
          <t>—</t>
        </is>
      </c>
      <c r="W163" s="91" t="inlineStr">
        <is>
          <t>Nouveau</t>
        </is>
      </c>
    </row>
    <row r="164" ht="23.85" customHeight="1" s="53">
      <c r="A164" s="92" t="inlineStr">
        <is>
          <t>COM-56.02</t>
        </is>
      </c>
      <c r="B164" s="67" t="inlineStr">
        <is>
          <t>COM-56</t>
        </is>
      </c>
      <c r="C164" s="95">
        <f>IFERROR(INDEX(Thèmes!$D$2:$D$190,MATCH(B164,Thèmes!$A$2:$A$190,0)),"")</f>
        <v/>
      </c>
      <c r="D164" s="68" t="inlineStr">
        <is>
          <t>—</t>
        </is>
      </c>
      <c r="E164" s="68" t="inlineStr">
        <is>
          <t>Ce qui a empêché de publier jusqu'ici</t>
        </is>
      </c>
      <c r="F164" s="68" t="inlineStr">
        <is>
          <t>Cases à cocher</t>
        </is>
      </c>
      <c r="G164" s="67" t="inlineStr">
        <is>
          <t>Demandée</t>
        </is>
      </c>
      <c r="H164" s="67" t="inlineStr">
        <is>
          <t>Essentiel</t>
        </is>
      </c>
      <c r="I164" s="99" t="inlineStr">
        <is>
          <t>D21 · si vous ne publiez pas encore</t>
        </is>
      </c>
      <c r="J164" s="68" t="inlineStr">
        <is>
          <t>—</t>
        </is>
      </c>
      <c r="K164" s="67" t="inlineStr">
        <is>
          <t>●</t>
        </is>
      </c>
      <c r="L164" s="67" t="inlineStr">
        <is>
          <t>●</t>
        </is>
      </c>
      <c r="M164" s="67" t="inlineStr">
        <is>
          <t>●</t>
        </is>
      </c>
      <c r="N164" s="67" t="inlineStr">
        <is>
          <t>●</t>
        </is>
      </c>
      <c r="O164" s="67" t="inlineStr">
        <is>
          <t>●</t>
        </is>
      </c>
      <c r="P164" s="67" t="inlineStr">
        <is>
          <t>●</t>
        </is>
      </c>
      <c r="Q164" s="67" t="inlineStr">
        <is>
          <t>●</t>
        </is>
      </c>
      <c r="R164" s="67" t="inlineStr">
        <is>
          <t>●</t>
        </is>
      </c>
      <c r="S164" s="68" t="inlineStr">
        <is>
          <t>—</t>
        </is>
      </c>
      <c r="T164" s="68" t="inlineStr">
        <is>
          <t>—</t>
        </is>
      </c>
      <c r="U164" s="68" t="inlineStr">
        <is>
          <t>—</t>
        </is>
      </c>
      <c r="V164" s="68" t="inlineStr">
        <is>
          <t>—</t>
        </is>
      </c>
      <c r="W164" s="83" t="inlineStr">
        <is>
          <t>Nouveau</t>
        </is>
      </c>
    </row>
    <row r="165" ht="23.85" customHeight="1" s="53">
      <c r="A165" s="92" t="inlineStr">
        <is>
          <t>COM-56.03</t>
        </is>
      </c>
      <c r="B165" s="67" t="inlineStr">
        <is>
          <t>COM-56</t>
        </is>
      </c>
      <c r="C165" s="95">
        <f>IFERROR(INDEX(Thèmes!$D$2:$D$190,MATCH(B165,Thèmes!$A$2:$A$190,0)),"")</f>
        <v/>
      </c>
      <c r="D165" s="68" t="inlineStr">
        <is>
          <t>—</t>
        </is>
      </c>
      <c r="E165" s="68" t="inlineStr">
        <is>
          <t>Qui s'occuperait des publications</t>
        </is>
      </c>
      <c r="F165" s="68" t="inlineStr">
        <is>
          <t>Choix</t>
        </is>
      </c>
      <c r="G165" s="67" t="inlineStr">
        <is>
          <t>Demandée</t>
        </is>
      </c>
      <c r="H165" s="67" t="inlineStr">
        <is>
          <t>Essentiel</t>
        </is>
      </c>
      <c r="I165" s="99" t="inlineStr">
        <is>
          <t>D21 · si vous ne publiez pas encore</t>
        </is>
      </c>
      <c r="J165" s="68" t="inlineStr">
        <is>
          <t>—</t>
        </is>
      </c>
      <c r="K165" s="67" t="inlineStr">
        <is>
          <t>●</t>
        </is>
      </c>
      <c r="L165" s="67" t="inlineStr">
        <is>
          <t>●</t>
        </is>
      </c>
      <c r="M165" s="67" t="inlineStr">
        <is>
          <t>●</t>
        </is>
      </c>
      <c r="N165" s="67" t="inlineStr">
        <is>
          <t>●</t>
        </is>
      </c>
      <c r="O165" s="67" t="inlineStr">
        <is>
          <t>●</t>
        </is>
      </c>
      <c r="P165" s="67" t="inlineStr">
        <is>
          <t>●</t>
        </is>
      </c>
      <c r="Q165" s="67" t="inlineStr">
        <is>
          <t>●</t>
        </is>
      </c>
      <c r="R165" s="67" t="inlineStr">
        <is>
          <t>●</t>
        </is>
      </c>
      <c r="S165" s="68" t="inlineStr">
        <is>
          <t>—</t>
        </is>
      </c>
      <c r="T165" s="68" t="inlineStr">
        <is>
          <t>—</t>
        </is>
      </c>
      <c r="U165" s="68" t="inlineStr">
        <is>
          <t>—</t>
        </is>
      </c>
      <c r="V165" s="68" t="inlineStr">
        <is>
          <t>—</t>
        </is>
      </c>
      <c r="W165" s="83" t="inlineStr">
        <is>
          <t>Nouveau</t>
        </is>
      </c>
    </row>
    <row r="166" ht="23.85" customHeight="1" s="53">
      <c r="A166" s="92" t="inlineStr">
        <is>
          <t>COM-56.04</t>
        </is>
      </c>
      <c r="B166" s="67" t="inlineStr">
        <is>
          <t>COM-56</t>
        </is>
      </c>
      <c r="C166" s="95">
        <f>IFERROR(INDEX(Thèmes!$D$2:$D$190,MATCH(B166,Thèmes!$A$2:$A$190,0)),"")</f>
        <v/>
      </c>
      <c r="D166" s="68" t="inlineStr">
        <is>
          <t>—</t>
        </is>
      </c>
      <c r="E166" s="68" t="inlineStr">
        <is>
          <t>Budget mensuel possible pour lancer la communication</t>
        </is>
      </c>
      <c r="F166" s="68" t="inlineStr">
        <is>
          <t>€</t>
        </is>
      </c>
      <c r="G166" s="67" t="inlineStr">
        <is>
          <t>Demandée</t>
        </is>
      </c>
      <c r="H166" s="67" t="inlineStr">
        <is>
          <t>Essentiel</t>
        </is>
      </c>
      <c r="I166" s="99" t="inlineStr">
        <is>
          <t>D21 · si vous ne publiez pas encore</t>
        </is>
      </c>
      <c r="J166" s="68" t="inlineStr">
        <is>
          <t>—</t>
        </is>
      </c>
      <c r="K166" s="67" t="inlineStr">
        <is>
          <t>●</t>
        </is>
      </c>
      <c r="L166" s="67" t="inlineStr">
        <is>
          <t>●</t>
        </is>
      </c>
      <c r="M166" s="67" t="inlineStr">
        <is>
          <t>●</t>
        </is>
      </c>
      <c r="N166" s="67" t="inlineStr">
        <is>
          <t>●</t>
        </is>
      </c>
      <c r="O166" s="67" t="inlineStr">
        <is>
          <t>●</t>
        </is>
      </c>
      <c r="P166" s="67" t="inlineStr">
        <is>
          <t>●</t>
        </is>
      </c>
      <c r="Q166" s="67" t="inlineStr">
        <is>
          <t>●</t>
        </is>
      </c>
      <c r="R166" s="67" t="inlineStr">
        <is>
          <t>●</t>
        </is>
      </c>
      <c r="S166" s="68" t="inlineStr">
        <is>
          <t>—</t>
        </is>
      </c>
      <c r="T166" s="68" t="inlineStr">
        <is>
          <t>—</t>
        </is>
      </c>
      <c r="U166" s="68" t="inlineStr">
        <is>
          <t>—</t>
        </is>
      </c>
      <c r="V166" s="68" t="inlineStr">
        <is>
          <t>—</t>
        </is>
      </c>
      <c r="W166" s="83" t="inlineStr">
        <is>
          <t>Nouveau</t>
        </is>
      </c>
    </row>
    <row r="167" ht="23.85" customHeight="1" s="53">
      <c r="A167" s="104" t="inlineStr">
        <is>
          <t>COM-57.01</t>
        </is>
      </c>
      <c r="B167" s="89" t="inlineStr">
        <is>
          <t>COM-57</t>
        </is>
      </c>
      <c r="C167" s="97">
        <f>IFERROR(INDEX(Thèmes!$D$2:$D$190,MATCH(B167,Thèmes!$A$2:$A$190,0)),"")</f>
        <v/>
      </c>
      <c r="D167" s="86" t="inlineStr">
        <is>
          <t>—</t>
        </is>
      </c>
      <c r="E167" s="86" t="inlineStr">
        <is>
          <t>Portrait du client idéal</t>
        </is>
      </c>
      <c r="F167" s="86" t="inlineStr">
        <is>
          <t>Texte</t>
        </is>
      </c>
      <c r="G167" s="89" t="inlineStr">
        <is>
          <t>Demandée</t>
        </is>
      </c>
      <c r="H167" s="89" t="inlineStr">
        <is>
          <t>Essentiel</t>
        </is>
      </c>
      <c r="I167" s="100" t="inlineStr">
        <is>
          <t>D30 · avant la première création de contenu</t>
        </is>
      </c>
      <c r="J167" s="86" t="inlineStr">
        <is>
          <t>—</t>
        </is>
      </c>
      <c r="K167" s="89" t="inlineStr">
        <is>
          <t>●</t>
        </is>
      </c>
      <c r="L167" s="89" t="inlineStr">
        <is>
          <t>●</t>
        </is>
      </c>
      <c r="M167" s="89" t="inlineStr">
        <is>
          <t>●</t>
        </is>
      </c>
      <c r="N167" s="89" t="inlineStr">
        <is>
          <t>●</t>
        </is>
      </c>
      <c r="O167" s="89" t="inlineStr">
        <is>
          <t>●</t>
        </is>
      </c>
      <c r="P167" s="89" t="inlineStr">
        <is>
          <t>●</t>
        </is>
      </c>
      <c r="Q167" s="89" t="inlineStr">
        <is>
          <t>●</t>
        </is>
      </c>
      <c r="R167" s="89" t="inlineStr">
        <is>
          <t>●</t>
        </is>
      </c>
      <c r="S167" s="86" t="inlineStr">
        <is>
          <t>—</t>
        </is>
      </c>
      <c r="T167" s="86" t="inlineStr">
        <is>
          <t>—</t>
        </is>
      </c>
      <c r="U167" s="86" t="inlineStr">
        <is>
          <t>—</t>
        </is>
      </c>
      <c r="V167" s="86" t="inlineStr">
        <is>
          <t>—</t>
        </is>
      </c>
      <c r="W167" s="91" t="inlineStr">
        <is>
          <t>Nouveau</t>
        </is>
      </c>
    </row>
    <row r="168" ht="23.85" customHeight="1" s="53">
      <c r="A168" s="92" t="inlineStr">
        <is>
          <t>COM-57.02</t>
        </is>
      </c>
      <c r="B168" s="67" t="inlineStr">
        <is>
          <t>COM-57</t>
        </is>
      </c>
      <c r="C168" s="95">
        <f>IFERROR(INDEX(Thèmes!$D$2:$D$190,MATCH(B168,Thèmes!$A$2:$A$190,0)),"")</f>
        <v/>
      </c>
      <c r="D168" s="68" t="inlineStr">
        <is>
          <t>—</t>
        </is>
      </c>
      <c r="E168" s="68" t="inlineStr">
        <is>
          <t>Tutoiement ou vouvoiement</t>
        </is>
      </c>
      <c r="F168" s="68" t="inlineStr">
        <is>
          <t>Choix</t>
        </is>
      </c>
      <c r="G168" s="67" t="inlineStr">
        <is>
          <t>Demandée</t>
        </is>
      </c>
      <c r="H168" s="67" t="inlineStr">
        <is>
          <t>Essentiel</t>
        </is>
      </c>
      <c r="I168" s="99" t="inlineStr">
        <is>
          <t>D30 · avant la première création de contenu</t>
        </is>
      </c>
      <c r="J168" s="68" t="inlineStr">
        <is>
          <t>—</t>
        </is>
      </c>
      <c r="K168" s="67" t="inlineStr">
        <is>
          <t>●</t>
        </is>
      </c>
      <c r="L168" s="67" t="inlineStr">
        <is>
          <t>●</t>
        </is>
      </c>
      <c r="M168" s="67" t="inlineStr">
        <is>
          <t>●</t>
        </is>
      </c>
      <c r="N168" s="67" t="inlineStr">
        <is>
          <t>●</t>
        </is>
      </c>
      <c r="O168" s="67" t="inlineStr">
        <is>
          <t>●</t>
        </is>
      </c>
      <c r="P168" s="67" t="inlineStr">
        <is>
          <t>●</t>
        </is>
      </c>
      <c r="Q168" s="67" t="inlineStr">
        <is>
          <t>●</t>
        </is>
      </c>
      <c r="R168" s="67" t="inlineStr">
        <is>
          <t>●</t>
        </is>
      </c>
      <c r="S168" s="68" t="inlineStr">
        <is>
          <t>—</t>
        </is>
      </c>
      <c r="T168" s="68" t="inlineStr">
        <is>
          <t>—</t>
        </is>
      </c>
      <c r="U168" s="68" t="inlineStr">
        <is>
          <t>—</t>
        </is>
      </c>
      <c r="V168" s="68" t="inlineStr">
        <is>
          <t>—</t>
        </is>
      </c>
      <c r="W168" s="83" t="inlineStr">
        <is>
          <t>Nouveau</t>
        </is>
      </c>
    </row>
    <row r="169" ht="23.85" customHeight="1" s="53">
      <c r="A169" s="92" t="inlineStr">
        <is>
          <t>COM-57.03</t>
        </is>
      </c>
      <c r="B169" s="67" t="inlineStr">
        <is>
          <t>COM-57</t>
        </is>
      </c>
      <c r="C169" s="95">
        <f>IFERROR(INDEX(Thèmes!$D$2:$D$190,MATCH(B169,Thèmes!$A$2:$A$190,0)),"")</f>
        <v/>
      </c>
      <c r="D169" s="68" t="inlineStr">
        <is>
          <t>—</t>
        </is>
      </c>
      <c r="E169" s="68" t="inlineStr">
        <is>
          <t>Ton voulu</t>
        </is>
      </c>
      <c r="F169" s="68" t="inlineStr">
        <is>
          <t>Cases à cocher</t>
        </is>
      </c>
      <c r="G169" s="67" t="inlineStr">
        <is>
          <t>Demandée</t>
        </is>
      </c>
      <c r="H169" s="67" t="inlineStr">
        <is>
          <t>Essentiel</t>
        </is>
      </c>
      <c r="I169" s="99" t="inlineStr">
        <is>
          <t>D30 · avant la première création de contenu</t>
        </is>
      </c>
      <c r="J169" s="68" t="inlineStr">
        <is>
          <t>—</t>
        </is>
      </c>
      <c r="K169" s="67" t="inlineStr">
        <is>
          <t>●</t>
        </is>
      </c>
      <c r="L169" s="67" t="inlineStr">
        <is>
          <t>●</t>
        </is>
      </c>
      <c r="M169" s="67" t="inlineStr">
        <is>
          <t>●</t>
        </is>
      </c>
      <c r="N169" s="67" t="inlineStr">
        <is>
          <t>●</t>
        </is>
      </c>
      <c r="O169" s="67" t="inlineStr">
        <is>
          <t>●</t>
        </is>
      </c>
      <c r="P169" s="67" t="inlineStr">
        <is>
          <t>●</t>
        </is>
      </c>
      <c r="Q169" s="67" t="inlineStr">
        <is>
          <t>●</t>
        </is>
      </c>
      <c r="R169" s="67" t="inlineStr">
        <is>
          <t>●</t>
        </is>
      </c>
      <c r="S169" s="68" t="inlineStr">
        <is>
          <t>—</t>
        </is>
      </c>
      <c r="T169" s="68" t="inlineStr">
        <is>
          <t>—</t>
        </is>
      </c>
      <c r="U169" s="68" t="inlineStr">
        <is>
          <t>—</t>
        </is>
      </c>
      <c r="V169" s="68" t="inlineStr">
        <is>
          <t>—</t>
        </is>
      </c>
      <c r="W169" s="83" t="inlineStr">
        <is>
          <t>Nouveau</t>
        </is>
      </c>
    </row>
    <row r="170" ht="23.85" customHeight="1" s="53">
      <c r="A170" s="92" t="inlineStr">
        <is>
          <t>COM-57.04</t>
        </is>
      </c>
      <c r="B170" s="67" t="inlineStr">
        <is>
          <t>COM-57</t>
        </is>
      </c>
      <c r="C170" s="95">
        <f>IFERROR(INDEX(Thèmes!$D$2:$D$190,MATCH(B170,Thèmes!$A$2:$A$190,0)),"")</f>
        <v/>
      </c>
      <c r="D170" s="68" t="inlineStr">
        <is>
          <t>—</t>
        </is>
      </c>
      <c r="E170" s="68" t="inlineStr">
        <is>
          <t>Mots à employer et à éviter</t>
        </is>
      </c>
      <c r="F170" s="68" t="inlineStr">
        <is>
          <t>Plusieurs champs : À employer · À éviter</t>
        </is>
      </c>
      <c r="G170" s="67" t="inlineStr">
        <is>
          <t>Demandée</t>
        </is>
      </c>
      <c r="H170" s="67" t="inlineStr">
        <is>
          <t>Essentiel</t>
        </is>
      </c>
      <c r="I170" s="99" t="inlineStr">
        <is>
          <t>D30 · avant la première création de contenu</t>
        </is>
      </c>
      <c r="J170" s="68" t="inlineStr">
        <is>
          <t>—</t>
        </is>
      </c>
      <c r="K170" s="67" t="inlineStr">
        <is>
          <t>●</t>
        </is>
      </c>
      <c r="L170" s="67" t="inlineStr">
        <is>
          <t>●</t>
        </is>
      </c>
      <c r="M170" s="67" t="inlineStr">
        <is>
          <t>●</t>
        </is>
      </c>
      <c r="N170" s="67" t="inlineStr">
        <is>
          <t>●</t>
        </is>
      </c>
      <c r="O170" s="67" t="inlineStr">
        <is>
          <t>●</t>
        </is>
      </c>
      <c r="P170" s="67" t="inlineStr">
        <is>
          <t>●</t>
        </is>
      </c>
      <c r="Q170" s="67" t="inlineStr">
        <is>
          <t>●</t>
        </is>
      </c>
      <c r="R170" s="67" t="inlineStr">
        <is>
          <t>●</t>
        </is>
      </c>
      <c r="S170" s="68" t="inlineStr">
        <is>
          <t>—</t>
        </is>
      </c>
      <c r="T170" s="68" t="inlineStr">
        <is>
          <t>—</t>
        </is>
      </c>
      <c r="U170" s="68" t="inlineStr">
        <is>
          <t>—</t>
        </is>
      </c>
      <c r="V170" s="68" t="inlineStr">
        <is>
          <t>—</t>
        </is>
      </c>
      <c r="W170" s="83" t="inlineStr">
        <is>
          <t>Nouveau</t>
        </is>
      </c>
    </row>
    <row r="171" ht="46.25" customHeight="1" s="53">
      <c r="A171" s="92" t="inlineStr">
        <is>
          <t>COM-57.05</t>
        </is>
      </c>
      <c r="B171" s="67" t="inlineStr">
        <is>
          <t>COM-57</t>
        </is>
      </c>
      <c r="C171" s="95">
        <f>IFERROR(INDEX(Thèmes!$D$2:$D$190,MATCH(B171,Thèmes!$A$2:$A$190,0)),"")</f>
        <v/>
      </c>
      <c r="D171" s="68" t="inlineStr">
        <is>
          <t>—</t>
        </is>
      </c>
      <c r="E171" s="68" t="inlineStr">
        <is>
          <t>Apparition du dirigeant dans les contenus</t>
        </is>
      </c>
      <c r="F171" s="68" t="inlineStr">
        <is>
          <t>Choix</t>
        </is>
      </c>
      <c r="G171" s="67" t="inlineStr">
        <is>
          <t>Demandée</t>
        </is>
      </c>
      <c r="H171" s="67" t="inlineStr">
        <is>
          <t>Essentiel</t>
        </is>
      </c>
      <c r="I171" s="99" t="inlineStr">
        <is>
          <t>D30 · avant la première création de contenu</t>
        </is>
      </c>
      <c r="J171" s="68" t="inlineStr">
        <is>
          <t>—</t>
        </is>
      </c>
      <c r="K171" s="67" t="inlineStr">
        <is>
          <t>●</t>
        </is>
      </c>
      <c r="L171" s="67" t="inlineStr">
        <is>
          <t>●</t>
        </is>
      </c>
      <c r="M171" s="67" t="inlineStr">
        <is>
          <t>●</t>
        </is>
      </c>
      <c r="N171" s="67" t="inlineStr">
        <is>
          <t>●</t>
        </is>
      </c>
      <c r="O171" s="67" t="inlineStr">
        <is>
          <t>●</t>
        </is>
      </c>
      <c r="P171" s="67" t="inlineStr">
        <is>
          <t>●</t>
        </is>
      </c>
      <c r="Q171" s="67" t="inlineStr">
        <is>
          <t>●</t>
        </is>
      </c>
      <c r="R171" s="67" t="inlineStr">
        <is>
          <t>●</t>
        </is>
      </c>
      <c r="S171" s="68" t="inlineStr">
        <is>
          <t>—</t>
        </is>
      </c>
      <c r="T171" s="68" t="inlineStr">
        <is>
          <t>—</t>
        </is>
      </c>
      <c r="U171" s="68" t="inlineStr">
        <is>
          <t>—</t>
        </is>
      </c>
      <c r="V171" s="68" t="inlineStr">
        <is>
          <t>—</t>
        </is>
      </c>
      <c r="W171" s="83" t="inlineStr">
        <is>
          <t>Nouveau</t>
        </is>
      </c>
    </row>
    <row r="172" ht="23.85" customHeight="1" s="53">
      <c r="A172" s="92" t="inlineStr">
        <is>
          <t>COM-57.06</t>
        </is>
      </c>
      <c r="B172" s="67" t="inlineStr">
        <is>
          <t>COM-57</t>
        </is>
      </c>
      <c r="C172" s="95">
        <f>IFERROR(INDEX(Thèmes!$D$2:$D$190,MATCH(B172,Thèmes!$A$2:$A$190,0)),"")</f>
        <v/>
      </c>
      <c r="D172" s="68" t="inlineStr">
        <is>
          <t>—</t>
        </is>
      </c>
      <c r="E172" s="68" t="inlineStr">
        <is>
          <t>Logo, charte graphique et couleurs (dépôt des fichiers à prévoir dans le moteur)</t>
        </is>
      </c>
      <c r="F172" s="68" t="inlineStr">
        <is>
          <t>Plusieurs champs : Logo · Charte graphique · Vos couleurs</t>
        </is>
      </c>
      <c r="G172" s="67" t="inlineStr">
        <is>
          <t>Demandée</t>
        </is>
      </c>
      <c r="H172" s="67" t="inlineStr">
        <is>
          <t>Essentiel</t>
        </is>
      </c>
      <c r="I172" s="99" t="inlineStr">
        <is>
          <t>D30 · avant la première création de contenu</t>
        </is>
      </c>
      <c r="J172" s="68" t="inlineStr">
        <is>
          <t>—</t>
        </is>
      </c>
      <c r="K172" s="67" t="inlineStr">
        <is>
          <t>●</t>
        </is>
      </c>
      <c r="L172" s="67" t="inlineStr">
        <is>
          <t>●</t>
        </is>
      </c>
      <c r="M172" s="67" t="inlineStr">
        <is>
          <t>●</t>
        </is>
      </c>
      <c r="N172" s="67" t="inlineStr">
        <is>
          <t>●</t>
        </is>
      </c>
      <c r="O172" s="67" t="inlineStr">
        <is>
          <t>●</t>
        </is>
      </c>
      <c r="P172" s="67" t="inlineStr">
        <is>
          <t>●</t>
        </is>
      </c>
      <c r="Q172" s="67" t="inlineStr">
        <is>
          <t>●</t>
        </is>
      </c>
      <c r="R172" s="67" t="inlineStr">
        <is>
          <t>●</t>
        </is>
      </c>
      <c r="S172" s="68" t="inlineStr">
        <is>
          <t>—</t>
        </is>
      </c>
      <c r="T172" s="68" t="inlineStr">
        <is>
          <t>—</t>
        </is>
      </c>
      <c r="U172" s="68" t="inlineStr">
        <is>
          <t>—</t>
        </is>
      </c>
      <c r="V172" s="68" t="inlineStr">
        <is>
          <t>—</t>
        </is>
      </c>
      <c r="W172" s="83" t="inlineStr">
        <is>
          <t>Nouveau</t>
        </is>
      </c>
    </row>
    <row r="173" ht="23.85" customHeight="1" s="53">
      <c r="A173" s="92" t="inlineStr">
        <is>
          <t>COM-57.07</t>
        </is>
      </c>
      <c r="B173" s="67" t="inlineStr">
        <is>
          <t>COM-57</t>
        </is>
      </c>
      <c r="C173" s="95">
        <f>IFERROR(INDEX(Thèmes!$D$2:$D$190,MATCH(B173,Thèmes!$A$2:$A$190,0)),"")</f>
        <v/>
      </c>
      <c r="D173" s="68" t="inlineStr">
        <is>
          <t>—</t>
        </is>
      </c>
      <c r="E173" s="68" t="inlineStr">
        <is>
          <t>Contenus à produire</t>
        </is>
      </c>
      <c r="F173" s="68" t="inlineStr">
        <is>
          <t>Cases à cocher</t>
        </is>
      </c>
      <c r="G173" s="67" t="inlineStr">
        <is>
          <t>Demandée</t>
        </is>
      </c>
      <c r="H173" s="67" t="inlineStr">
        <is>
          <t>Essentiel</t>
        </is>
      </c>
      <c r="I173" s="99" t="inlineStr">
        <is>
          <t>D30 · avant la première création de contenu</t>
        </is>
      </c>
      <c r="J173" s="68" t="inlineStr">
        <is>
          <t>—</t>
        </is>
      </c>
      <c r="K173" s="67" t="inlineStr">
        <is>
          <t>●</t>
        </is>
      </c>
      <c r="L173" s="67" t="inlineStr">
        <is>
          <t>●</t>
        </is>
      </c>
      <c r="M173" s="67" t="inlineStr">
        <is>
          <t>●</t>
        </is>
      </c>
      <c r="N173" s="67" t="inlineStr">
        <is>
          <t>●</t>
        </is>
      </c>
      <c r="O173" s="67" t="inlineStr">
        <is>
          <t>●</t>
        </is>
      </c>
      <c r="P173" s="67" t="inlineStr">
        <is>
          <t>●</t>
        </is>
      </c>
      <c r="Q173" s="67" t="inlineStr">
        <is>
          <t>●</t>
        </is>
      </c>
      <c r="R173" s="67" t="inlineStr">
        <is>
          <t>●</t>
        </is>
      </c>
      <c r="S173" s="68" t="inlineStr">
        <is>
          <t>—</t>
        </is>
      </c>
      <c r="T173" s="68" t="inlineStr">
        <is>
          <t>—</t>
        </is>
      </c>
      <c r="U173" s="68" t="inlineStr">
        <is>
          <t>—</t>
        </is>
      </c>
      <c r="V173" s="68" t="inlineStr">
        <is>
          <t>—</t>
        </is>
      </c>
      <c r="W173" s="83" t="inlineStr">
        <is>
          <t>Nouveau</t>
        </is>
      </c>
    </row>
    <row r="174" ht="23.85" customHeight="1" s="53">
      <c r="A174" s="92" t="inlineStr">
        <is>
          <t>COM-57.08</t>
        </is>
      </c>
      <c r="B174" s="67" t="inlineStr">
        <is>
          <t>COM-57</t>
        </is>
      </c>
      <c r="C174" s="95">
        <f>IFERROR(INDEX(Thèmes!$D$2:$D$190,MATCH(B174,Thèmes!$A$2:$A$190,0)),"")</f>
        <v/>
      </c>
      <c r="D174" s="68" t="inlineStr">
        <is>
          <t>—</t>
        </is>
      </c>
      <c r="E174" s="68" t="inlineStr">
        <is>
          <t>Validation avant publication</t>
        </is>
      </c>
      <c r="F174" s="68" t="inlineStr">
        <is>
          <t>Choix</t>
        </is>
      </c>
      <c r="G174" s="67" t="inlineStr">
        <is>
          <t>Demandée</t>
        </is>
      </c>
      <c r="H174" s="67" t="inlineStr">
        <is>
          <t>Essentiel</t>
        </is>
      </c>
      <c r="I174" s="99" t="inlineStr">
        <is>
          <t>D30 · avant la première création de contenu</t>
        </is>
      </c>
      <c r="J174" s="68" t="inlineStr">
        <is>
          <t>—</t>
        </is>
      </c>
      <c r="K174" s="67" t="inlineStr">
        <is>
          <t>●</t>
        </is>
      </c>
      <c r="L174" s="67" t="inlineStr">
        <is>
          <t>●</t>
        </is>
      </c>
      <c r="M174" s="67" t="inlineStr">
        <is>
          <t>●</t>
        </is>
      </c>
      <c r="N174" s="67" t="inlineStr">
        <is>
          <t>●</t>
        </is>
      </c>
      <c r="O174" s="67" t="inlineStr">
        <is>
          <t>●</t>
        </is>
      </c>
      <c r="P174" s="67" t="inlineStr">
        <is>
          <t>●</t>
        </is>
      </c>
      <c r="Q174" s="67" t="inlineStr">
        <is>
          <t>●</t>
        </is>
      </c>
      <c r="R174" s="67" t="inlineStr">
        <is>
          <t>●</t>
        </is>
      </c>
      <c r="S174" s="68" t="inlineStr">
        <is>
          <t>—</t>
        </is>
      </c>
      <c r="T174" s="68" t="inlineStr">
        <is>
          <t>—</t>
        </is>
      </c>
      <c r="U174" s="68" t="inlineStr">
        <is>
          <t>—</t>
        </is>
      </c>
      <c r="V174" s="68" t="inlineStr">
        <is>
          <t>—</t>
        </is>
      </c>
      <c r="W174" s="83" t="inlineStr">
        <is>
          <t>Nouveau</t>
        </is>
      </c>
    </row>
    <row r="175" ht="23.85" customHeight="1" s="53">
      <c r="A175" s="92" t="inlineStr">
        <is>
          <t>COM-57.10</t>
        </is>
      </c>
      <c r="B175" s="67" t="inlineStr">
        <is>
          <t>COM-57</t>
        </is>
      </c>
      <c r="C175" s="95">
        <f>IFERROR(INDEX(Thèmes!$D$2:$D$190,MATCH(B175,Thèmes!$A$2:$A$190,0)),"")</f>
        <v/>
      </c>
      <c r="D175" s="68" t="inlineStr">
        <is>
          <t>—</t>
        </is>
      </c>
      <c r="E175" s="68" t="inlineStr">
        <is>
          <t>Offre à mettre en avant en priorité</t>
        </is>
      </c>
      <c r="F175" s="68" t="inlineStr">
        <is>
          <t>Texte court</t>
        </is>
      </c>
      <c r="G175" s="67" t="inlineStr">
        <is>
          <t>Demandée</t>
        </is>
      </c>
      <c r="H175" s="67" t="inlineStr">
        <is>
          <t>Essentiel</t>
        </is>
      </c>
      <c r="I175" s="99" t="inlineStr">
        <is>
          <t>D30 · avant la première création de contenu</t>
        </is>
      </c>
      <c r="J175" s="68" t="inlineStr">
        <is>
          <t>—</t>
        </is>
      </c>
      <c r="K175" s="67" t="inlineStr">
        <is>
          <t>●</t>
        </is>
      </c>
      <c r="L175" s="67" t="inlineStr">
        <is>
          <t>●</t>
        </is>
      </c>
      <c r="M175" s="67" t="inlineStr">
        <is>
          <t>●</t>
        </is>
      </c>
      <c r="N175" s="67" t="inlineStr">
        <is>
          <t>●</t>
        </is>
      </c>
      <c r="O175" s="67" t="inlineStr">
        <is>
          <t>●</t>
        </is>
      </c>
      <c r="P175" s="67" t="inlineStr">
        <is>
          <t>●</t>
        </is>
      </c>
      <c r="Q175" s="67" t="inlineStr">
        <is>
          <t>●</t>
        </is>
      </c>
      <c r="R175" s="67" t="inlineStr">
        <is>
          <t>●</t>
        </is>
      </c>
      <c r="S175" s="68" t="inlineStr">
        <is>
          <t>—</t>
        </is>
      </c>
      <c r="T175" s="68" t="inlineStr">
        <is>
          <t>—</t>
        </is>
      </c>
      <c r="U175" s="68" t="inlineStr">
        <is>
          <t>—</t>
        </is>
      </c>
      <c r="V175" s="68" t="inlineStr">
        <is>
          <t>—</t>
        </is>
      </c>
      <c r="W175" s="83" t="inlineStr">
        <is>
          <t>Nouveau</t>
        </is>
      </c>
    </row>
    <row r="176" ht="23.85" customHeight="1" s="53">
      <c r="A176" s="92" t="inlineStr">
        <is>
          <t>COM-57.11</t>
        </is>
      </c>
      <c r="B176" s="67" t="inlineStr">
        <is>
          <t>COM-57</t>
        </is>
      </c>
      <c r="C176" s="95">
        <f>IFERROR(INDEX(Thèmes!$D$2:$D$190,MATCH(B176,Thèmes!$A$2:$A$190,0)),"")</f>
        <v/>
      </c>
      <c r="D176" s="68" t="inlineStr">
        <is>
          <t>—</t>
        </is>
      </c>
      <c r="E176" s="68" t="inlineStr">
        <is>
          <t>Questions les plus fréquentes des clients</t>
        </is>
      </c>
      <c r="F176" s="68" t="inlineStr">
        <is>
          <t>Liste</t>
        </is>
      </c>
      <c r="G176" s="67" t="inlineStr">
        <is>
          <t>Demandée</t>
        </is>
      </c>
      <c r="H176" s="67" t="inlineStr">
        <is>
          <t>Essentiel</t>
        </is>
      </c>
      <c r="I176" s="99" t="inlineStr">
        <is>
          <t>D30 · avant la première création de contenu</t>
        </is>
      </c>
      <c r="J176" s="68" t="inlineStr">
        <is>
          <t>—</t>
        </is>
      </c>
      <c r="K176" s="67" t="inlineStr">
        <is>
          <t>●</t>
        </is>
      </c>
      <c r="L176" s="67" t="inlineStr">
        <is>
          <t>●</t>
        </is>
      </c>
      <c r="M176" s="67" t="inlineStr">
        <is>
          <t>●</t>
        </is>
      </c>
      <c r="N176" s="67" t="inlineStr">
        <is>
          <t>●</t>
        </is>
      </c>
      <c r="O176" s="67" t="inlineStr">
        <is>
          <t>●</t>
        </is>
      </c>
      <c r="P176" s="67" t="inlineStr">
        <is>
          <t>●</t>
        </is>
      </c>
      <c r="Q176" s="67" t="inlineStr">
        <is>
          <t>●</t>
        </is>
      </c>
      <c r="R176" s="67" t="inlineStr">
        <is>
          <t>●</t>
        </is>
      </c>
      <c r="S176" s="68" t="inlineStr">
        <is>
          <t>—</t>
        </is>
      </c>
      <c r="T176" s="68" t="inlineStr">
        <is>
          <t>—</t>
        </is>
      </c>
      <c r="U176" s="68" t="inlineStr">
        <is>
          <t>—</t>
        </is>
      </c>
      <c r="V176" s="68" t="inlineStr">
        <is>
          <t>—</t>
        </is>
      </c>
      <c r="W176" s="83" t="inlineStr">
        <is>
          <t>Nouveau</t>
        </is>
      </c>
    </row>
    <row r="177" ht="23.85" customHeight="1" s="53">
      <c r="A177" s="92" t="inlineStr">
        <is>
          <t>COM-57.12</t>
        </is>
      </c>
      <c r="B177" s="67" t="inlineStr">
        <is>
          <t>COM-57</t>
        </is>
      </c>
      <c r="C177" s="95">
        <f>IFERROR(INDEX(Thèmes!$D$2:$D$190,MATCH(B177,Thèmes!$A$2:$A$190,0)),"")</f>
        <v/>
      </c>
      <c r="D177" s="68" t="inlineStr">
        <is>
          <t>—</t>
        </is>
      </c>
      <c r="E177" s="68" t="inlineStr">
        <is>
          <t>Hésitations entendues avant l'achat</t>
        </is>
      </c>
      <c r="F177" s="68" t="inlineStr">
        <is>
          <t>Liste</t>
        </is>
      </c>
      <c r="G177" s="67" t="inlineStr">
        <is>
          <t>Demandée</t>
        </is>
      </c>
      <c r="H177" s="67" t="inlineStr">
        <is>
          <t>Essentiel</t>
        </is>
      </c>
      <c r="I177" s="99" t="inlineStr">
        <is>
          <t>D30 · avant la première création de contenu</t>
        </is>
      </c>
      <c r="J177" s="68" t="inlineStr">
        <is>
          <t>—</t>
        </is>
      </c>
      <c r="K177" s="67" t="inlineStr">
        <is>
          <t>●</t>
        </is>
      </c>
      <c r="L177" s="67" t="inlineStr">
        <is>
          <t>●</t>
        </is>
      </c>
      <c r="M177" s="67" t="inlineStr">
        <is>
          <t>●</t>
        </is>
      </c>
      <c r="N177" s="67" t="inlineStr">
        <is>
          <t>●</t>
        </is>
      </c>
      <c r="O177" s="67" t="inlineStr">
        <is>
          <t>●</t>
        </is>
      </c>
      <c r="P177" s="67" t="inlineStr">
        <is>
          <t>●</t>
        </is>
      </c>
      <c r="Q177" s="67" t="inlineStr">
        <is>
          <t>●</t>
        </is>
      </c>
      <c r="R177" s="67" t="inlineStr">
        <is>
          <t>●</t>
        </is>
      </c>
      <c r="S177" s="68" t="inlineStr">
        <is>
          <t>—</t>
        </is>
      </c>
      <c r="T177" s="68" t="inlineStr">
        <is>
          <t>—</t>
        </is>
      </c>
      <c r="U177" s="68" t="inlineStr">
        <is>
          <t>—</t>
        </is>
      </c>
      <c r="V177" s="68" t="inlineStr">
        <is>
          <t>—</t>
        </is>
      </c>
      <c r="W177" s="83" t="inlineStr">
        <is>
          <t>Nouveau</t>
        </is>
      </c>
    </row>
    <row r="178" ht="23.85" customHeight="1" s="53">
      <c r="A178" s="92" t="inlineStr">
        <is>
          <t>COM-57.13</t>
        </is>
      </c>
      <c r="B178" s="67" t="inlineStr">
        <is>
          <t>COM-57</t>
        </is>
      </c>
      <c r="C178" s="95">
        <f>IFERROR(INDEX(Thèmes!$D$2:$D$190,MATCH(B178,Thèmes!$A$2:$A$190,0)),"")</f>
        <v/>
      </c>
      <c r="D178" s="68" t="inlineStr">
        <is>
          <t>—</t>
        </is>
      </c>
      <c r="E178" s="68" t="inlineStr">
        <is>
          <t>Dates qui comptent dans l'année</t>
        </is>
      </c>
      <c r="F178" s="68" t="inlineStr">
        <is>
          <t>Liste</t>
        </is>
      </c>
      <c r="G178" s="67" t="inlineStr">
        <is>
          <t>Demandée</t>
        </is>
      </c>
      <c r="H178" s="67" t="inlineStr">
        <is>
          <t>Essentiel</t>
        </is>
      </c>
      <c r="I178" s="99" t="inlineStr">
        <is>
          <t>D30 · avant la première création de contenu</t>
        </is>
      </c>
      <c r="J178" s="68" t="inlineStr">
        <is>
          <t>—</t>
        </is>
      </c>
      <c r="K178" s="67" t="inlineStr">
        <is>
          <t>●</t>
        </is>
      </c>
      <c r="L178" s="67" t="inlineStr">
        <is>
          <t>●</t>
        </is>
      </c>
      <c r="M178" s="67" t="inlineStr">
        <is>
          <t>●</t>
        </is>
      </c>
      <c r="N178" s="67" t="inlineStr">
        <is>
          <t>●</t>
        </is>
      </c>
      <c r="O178" s="67" t="inlineStr">
        <is>
          <t>●</t>
        </is>
      </c>
      <c r="P178" s="67" t="inlineStr">
        <is>
          <t>●</t>
        </is>
      </c>
      <c r="Q178" s="67" t="inlineStr">
        <is>
          <t>●</t>
        </is>
      </c>
      <c r="R178" s="67" t="inlineStr">
        <is>
          <t>●</t>
        </is>
      </c>
      <c r="S178" s="68" t="inlineStr">
        <is>
          <t>—</t>
        </is>
      </c>
      <c r="T178" s="68" t="inlineStr">
        <is>
          <t>—</t>
        </is>
      </c>
      <c r="U178" s="68" t="inlineStr">
        <is>
          <t>—</t>
        </is>
      </c>
      <c r="V178" s="68" t="inlineStr">
        <is>
          <t>—</t>
        </is>
      </c>
      <c r="W178" s="83" t="inlineStr">
        <is>
          <t>Nouveau</t>
        </is>
      </c>
    </row>
    <row r="179" ht="23.85" customHeight="1" s="53">
      <c r="A179" s="92" t="inlineStr">
        <is>
          <t>COM-57.14</t>
        </is>
      </c>
      <c r="B179" s="67" t="inlineStr">
        <is>
          <t>COM-57</t>
        </is>
      </c>
      <c r="C179" s="95">
        <f>IFERROR(INDEX(Thèmes!$D$2:$D$190,MATCH(B179,Thèmes!$A$2:$A$190,0)),"")</f>
        <v/>
      </c>
      <c r="D179" s="68" t="inlineStr">
        <is>
          <t>—</t>
        </is>
      </c>
      <c r="E179" s="68" t="inlineStr">
        <is>
          <t>Règles du métier à respecter pour communiquer</t>
        </is>
      </c>
      <c r="F179" s="68" t="inlineStr">
        <is>
          <t>Texte</t>
        </is>
      </c>
      <c r="G179" s="67" t="inlineStr">
        <is>
          <t>Demandée</t>
        </is>
      </c>
      <c r="H179" s="67" t="inlineStr">
        <is>
          <t>Essentiel</t>
        </is>
      </c>
      <c r="I179" s="99" t="inlineStr">
        <is>
          <t>D30 · avant la première création de contenu</t>
        </is>
      </c>
      <c r="J179" s="68" t="inlineStr">
        <is>
          <t>—</t>
        </is>
      </c>
      <c r="K179" s="67" t="inlineStr">
        <is>
          <t>●</t>
        </is>
      </c>
      <c r="L179" s="67" t="inlineStr">
        <is>
          <t>●</t>
        </is>
      </c>
      <c r="M179" s="67" t="inlineStr">
        <is>
          <t>●</t>
        </is>
      </c>
      <c r="N179" s="67" t="inlineStr">
        <is>
          <t>●</t>
        </is>
      </c>
      <c r="O179" s="67" t="inlineStr">
        <is>
          <t>●</t>
        </is>
      </c>
      <c r="P179" s="67" t="inlineStr">
        <is>
          <t>●</t>
        </is>
      </c>
      <c r="Q179" s="67" t="inlineStr">
        <is>
          <t>●</t>
        </is>
      </c>
      <c r="R179" s="67" t="inlineStr">
        <is>
          <t>●</t>
        </is>
      </c>
      <c r="S179" s="68" t="inlineStr">
        <is>
          <t>—</t>
        </is>
      </c>
      <c r="T179" s="68" t="inlineStr">
        <is>
          <t>—</t>
        </is>
      </c>
      <c r="U179" s="68" t="inlineStr">
        <is>
          <t>—</t>
        </is>
      </c>
      <c r="V179" s="68" t="inlineStr">
        <is>
          <t>—</t>
        </is>
      </c>
      <c r="W179" s="83" t="inlineStr">
        <is>
          <t>Nouveau</t>
        </is>
      </c>
    </row>
    <row r="180" ht="23.85" customHeight="1" s="53">
      <c r="A180" s="92" t="inlineStr">
        <is>
          <t>COM-57.15</t>
        </is>
      </c>
      <c r="B180" s="67" t="inlineStr">
        <is>
          <t>COM-57</t>
        </is>
      </c>
      <c r="C180" s="95">
        <f>IFERROR(INDEX(Thèmes!$D$2:$D$190,MATCH(B180,Thèmes!$A$2:$A$190,0)),"")</f>
        <v/>
      </c>
      <c r="D180" s="68" t="inlineStr">
        <is>
          <t>—</t>
        </is>
      </c>
      <c r="E180" s="68" t="inlineStr">
        <is>
          <t>Comptes et publications qui inspirent le dirigeant</t>
        </is>
      </c>
      <c r="F180" s="68" t="inlineStr">
        <is>
          <t>Texte</t>
        </is>
      </c>
      <c r="G180" s="67" t="inlineStr">
        <is>
          <t>Demandée</t>
        </is>
      </c>
      <c r="H180" s="67" t="inlineStr">
        <is>
          <t>Approfondi</t>
        </is>
      </c>
      <c r="I180" s="99" t="inlineStr">
        <is>
          <t>D30 · avant la première création de contenu</t>
        </is>
      </c>
      <c r="J180" s="68" t="inlineStr">
        <is>
          <t>—</t>
        </is>
      </c>
      <c r="K180" s="67" t="inlineStr">
        <is>
          <t>●</t>
        </is>
      </c>
      <c r="L180" s="67" t="inlineStr">
        <is>
          <t>●</t>
        </is>
      </c>
      <c r="M180" s="67" t="inlineStr">
        <is>
          <t>●</t>
        </is>
      </c>
      <c r="N180" s="67" t="inlineStr">
        <is>
          <t>●</t>
        </is>
      </c>
      <c r="O180" s="67" t="inlineStr">
        <is>
          <t>●</t>
        </is>
      </c>
      <c r="P180" s="67" t="inlineStr">
        <is>
          <t>●</t>
        </is>
      </c>
      <c r="Q180" s="67" t="inlineStr">
        <is>
          <t>●</t>
        </is>
      </c>
      <c r="R180" s="67" t="inlineStr">
        <is>
          <t>●</t>
        </is>
      </c>
      <c r="S180" s="68" t="inlineStr">
        <is>
          <t>—</t>
        </is>
      </c>
      <c r="T180" s="68" t="inlineStr">
        <is>
          <t>—</t>
        </is>
      </c>
      <c r="U180" s="68" t="inlineStr">
        <is>
          <t>—</t>
        </is>
      </c>
      <c r="V180" s="68" t="inlineStr">
        <is>
          <t>—</t>
        </is>
      </c>
      <c r="W180" s="83" t="inlineStr">
        <is>
          <t>Nouveau</t>
        </is>
      </c>
    </row>
    <row r="181" ht="35.05" customHeight="1" s="53">
      <c r="A181" s="92" t="inlineStr">
        <is>
          <t>COM-57.16</t>
        </is>
      </c>
      <c r="B181" s="67" t="inlineStr">
        <is>
          <t>COM-57</t>
        </is>
      </c>
      <c r="C181" s="95">
        <f>IFERROR(INDEX(Thèmes!$D$2:$D$190,MATCH(B181,Thèmes!$A$2:$A$190,0)),"")</f>
        <v/>
      </c>
      <c r="D181" s="68" t="inlineStr">
        <is>
          <t>—</t>
        </is>
      </c>
      <c r="E181" s="68" t="inlineStr">
        <is>
          <t>Langues de publication</t>
        </is>
      </c>
      <c r="F181" s="68" t="inlineStr">
        <is>
          <t>Cases à cocher</t>
        </is>
      </c>
      <c r="G181" s="67" t="inlineStr">
        <is>
          <t>Demandée</t>
        </is>
      </c>
      <c r="H181" s="67" t="inlineStr">
        <is>
          <t>Approfondi</t>
        </is>
      </c>
      <c r="I181" s="99" t="inlineStr">
        <is>
          <t>D30 · avant la première création de contenu</t>
        </is>
      </c>
      <c r="J181" s="68" t="inlineStr">
        <is>
          <t>—</t>
        </is>
      </c>
      <c r="K181" s="67" t="inlineStr">
        <is>
          <t>●</t>
        </is>
      </c>
      <c r="L181" s="67" t="inlineStr">
        <is>
          <t>●</t>
        </is>
      </c>
      <c r="M181" s="67" t="inlineStr">
        <is>
          <t>●</t>
        </is>
      </c>
      <c r="N181" s="67" t="inlineStr">
        <is>
          <t>●</t>
        </is>
      </c>
      <c r="O181" s="67" t="inlineStr">
        <is>
          <t>●</t>
        </is>
      </c>
      <c r="P181" s="67" t="inlineStr">
        <is>
          <t>●</t>
        </is>
      </c>
      <c r="Q181" s="67" t="inlineStr">
        <is>
          <t>●</t>
        </is>
      </c>
      <c r="R181" s="67" t="inlineStr">
        <is>
          <t>●</t>
        </is>
      </c>
      <c r="S181" s="68" t="inlineStr">
        <is>
          <t>—</t>
        </is>
      </c>
      <c r="T181" s="68" t="inlineStr">
        <is>
          <t>—</t>
        </is>
      </c>
      <c r="U181" s="68" t="inlineStr">
        <is>
          <t>—</t>
        </is>
      </c>
      <c r="V181" s="68" t="inlineStr">
        <is>
          <t>—</t>
        </is>
      </c>
      <c r="W181" s="83" t="inlineStr">
        <is>
          <t>Nouveau</t>
        </is>
      </c>
    </row>
    <row r="182" ht="35.05" customHeight="1" s="53">
      <c r="A182" s="104" t="inlineStr">
        <is>
          <t>COM-58.01</t>
        </is>
      </c>
      <c r="B182" s="89" t="inlineStr">
        <is>
          <t>COM-58</t>
        </is>
      </c>
      <c r="C182" s="97">
        <f>IFERROR(INDEX(Thèmes!$D$2:$D$190,MATCH(B182,Thèmes!$A$2:$A$190,0)),"")</f>
        <v/>
      </c>
      <c r="D182" s="86" t="inlineStr">
        <is>
          <t>—</t>
        </is>
      </c>
      <c r="E182" s="86" t="inlineStr">
        <is>
          <t>Action unique attendue après une publication, et lien ou numéro où envoyer la personne (reprise par le brief de création, ancienne COM-57.09)</t>
        </is>
      </c>
      <c r="F182" s="86" t="inlineStr">
        <is>
          <t>Plusieurs champs : Action · Lien ou numéro où l'envoyer</t>
        </is>
      </c>
      <c r="G182" s="89" t="inlineStr">
        <is>
          <t>Demandée</t>
        </is>
      </c>
      <c r="H182" s="89" t="inlineStr">
        <is>
          <t>Essentiel</t>
        </is>
      </c>
      <c r="I182" s="86" t="inlineStr">
        <is>
          <t>—</t>
        </is>
      </c>
      <c r="J182" s="86" t="inlineStr">
        <is>
          <t>—</t>
        </is>
      </c>
      <c r="K182" s="89" t="inlineStr">
        <is>
          <t>●</t>
        </is>
      </c>
      <c r="L182" s="89" t="inlineStr">
        <is>
          <t>●</t>
        </is>
      </c>
      <c r="M182" s="89" t="inlineStr">
        <is>
          <t>●</t>
        </is>
      </c>
      <c r="N182" s="89" t="inlineStr">
        <is>
          <t>●</t>
        </is>
      </c>
      <c r="O182" s="89" t="inlineStr">
        <is>
          <t>●</t>
        </is>
      </c>
      <c r="P182" s="89" t="inlineStr">
        <is>
          <t>●</t>
        </is>
      </c>
      <c r="Q182" s="89" t="inlineStr">
        <is>
          <t>●</t>
        </is>
      </c>
      <c r="R182" s="89" t="inlineStr">
        <is>
          <t>●</t>
        </is>
      </c>
      <c r="S182" s="86" t="inlineStr">
        <is>
          <t>—</t>
        </is>
      </c>
      <c r="T182" s="86" t="inlineStr">
        <is>
          <t>—</t>
        </is>
      </c>
      <c r="U182" s="86" t="inlineStr">
        <is>
          <t>—</t>
        </is>
      </c>
      <c r="V182" s="86" t="inlineStr">
        <is>
          <t>—</t>
        </is>
      </c>
      <c r="W182" s="91" t="inlineStr">
        <is>
          <t>Nouveau</t>
        </is>
      </c>
    </row>
    <row r="183" ht="35.05" customHeight="1" s="53">
      <c r="A183" s="92" t="inlineStr">
        <is>
          <t>COM-58.02</t>
        </is>
      </c>
      <c r="B183" s="67" t="inlineStr">
        <is>
          <t>COM-58</t>
        </is>
      </c>
      <c r="C183" s="95">
        <f>IFERROR(INDEX(Thèmes!$D$2:$D$190,MATCH(B183,Thèmes!$A$2:$A$190,0)),"")</f>
        <v/>
      </c>
      <c r="D183" s="68" t="inlineStr">
        <is>
          <t>—</t>
        </is>
      </c>
      <c r="E183" s="68" t="inlineStr">
        <is>
          <t>Moyens de contact, de réservation ou d'achat en ligne qui existent aujourd'hui : les destinations possibles du funnel</t>
        </is>
      </c>
      <c r="F183" s="68" t="inlineStr">
        <is>
          <t>Cases à cocher</t>
        </is>
      </c>
      <c r="G183" s="67" t="inlineStr">
        <is>
          <t>Demandée</t>
        </is>
      </c>
      <c r="H183" s="67" t="inlineStr">
        <is>
          <t>Essentiel</t>
        </is>
      </c>
      <c r="I183" s="68" t="inlineStr">
        <is>
          <t>—</t>
        </is>
      </c>
      <c r="J183" s="68" t="inlineStr">
        <is>
          <t>—</t>
        </is>
      </c>
      <c r="K183" s="67" t="inlineStr">
        <is>
          <t>●</t>
        </is>
      </c>
      <c r="L183" s="67" t="inlineStr">
        <is>
          <t>●</t>
        </is>
      </c>
      <c r="M183" s="67" t="inlineStr">
        <is>
          <t>●</t>
        </is>
      </c>
      <c r="N183" s="67" t="inlineStr">
        <is>
          <t>●</t>
        </is>
      </c>
      <c r="O183" s="67" t="inlineStr">
        <is>
          <t>●</t>
        </is>
      </c>
      <c r="P183" s="67" t="inlineStr">
        <is>
          <t>●</t>
        </is>
      </c>
      <c r="Q183" s="67" t="inlineStr">
        <is>
          <t>●</t>
        </is>
      </c>
      <c r="R183" s="67" t="inlineStr">
        <is>
          <t>●</t>
        </is>
      </c>
      <c r="S183" s="68" t="inlineStr">
        <is>
          <t>—</t>
        </is>
      </c>
      <c r="T183" s="68" t="inlineStr">
        <is>
          <t>—</t>
        </is>
      </c>
      <c r="U183" s="68" t="inlineStr">
        <is>
          <t>—</t>
        </is>
      </c>
      <c r="V183" s="68" t="inlineStr">
        <is>
          <t>—</t>
        </is>
      </c>
      <c r="W183" s="83" t="inlineStr">
        <is>
          <t>Nouveau</t>
        </is>
      </c>
    </row>
    <row r="184" ht="23.85" customHeight="1" s="53">
      <c r="A184" s="104" t="inlineStr">
        <is>
          <t>COM-59.01</t>
        </is>
      </c>
      <c r="B184" s="89" t="inlineStr">
        <is>
          <t>COM-59</t>
        </is>
      </c>
      <c r="C184" s="97">
        <f>IFERROR(INDEX(Thèmes!$D$2:$D$190,MATCH(B184,Thèmes!$A$2:$A$190,0)),"")</f>
        <v/>
      </c>
      <c r="D184" s="86" t="inlineStr">
        <is>
          <t>—</t>
        </is>
      </c>
      <c r="E184" s="86" t="inlineStr">
        <is>
          <t>Visites du profil par mois, par réseau : l'étape entre la publication vue et le clic ou l'abonnement</t>
        </is>
      </c>
      <c r="F184" s="86" t="inlineStr">
        <is>
          <t>Tableau : Visites du profil par mois (lignes cadrage: D22)</t>
        </is>
      </c>
      <c r="G184" s="89" t="inlineStr">
        <is>
          <t>Demandée</t>
        </is>
      </c>
      <c r="H184" s="89" t="inlineStr">
        <is>
          <t>Essentiel</t>
        </is>
      </c>
      <c r="I184" s="100" t="inlineStr">
        <is>
          <t>D22 · une ligne par réseau utilisé</t>
        </is>
      </c>
      <c r="J184" s="86" t="inlineStr">
        <is>
          <t>Période adaptée : depuis la création si moins de 3 mois</t>
        </is>
      </c>
      <c r="K184" s="89" t="inlineStr">
        <is>
          <t>●</t>
        </is>
      </c>
      <c r="L184" s="89" t="inlineStr">
        <is>
          <t>●</t>
        </is>
      </c>
      <c r="M184" s="89" t="inlineStr">
        <is>
          <t>●</t>
        </is>
      </c>
      <c r="N184" s="89" t="inlineStr">
        <is>
          <t>●</t>
        </is>
      </c>
      <c r="O184" s="89" t="inlineStr">
        <is>
          <t>●</t>
        </is>
      </c>
      <c r="P184" s="89" t="inlineStr">
        <is>
          <t>●</t>
        </is>
      </c>
      <c r="Q184" s="89" t="inlineStr">
        <is>
          <t>●</t>
        </is>
      </c>
      <c r="R184" s="89" t="inlineStr">
        <is>
          <t>●</t>
        </is>
      </c>
      <c r="S184" s="86" t="inlineStr">
        <is>
          <t>—</t>
        </is>
      </c>
      <c r="T184" s="86" t="inlineStr">
        <is>
          <t>—</t>
        </is>
      </c>
      <c r="U184" s="86" t="inlineStr">
        <is>
          <t>—</t>
        </is>
      </c>
      <c r="V184" s="86" t="inlineStr">
        <is>
          <t>—</t>
        </is>
      </c>
      <c r="W184" s="91" t="inlineStr">
        <is>
          <t>Nouveau</t>
        </is>
      </c>
    </row>
    <row r="185" ht="23.85" customHeight="1" s="53">
      <c r="A185" s="104" t="inlineStr">
        <is>
          <t>COM-60.01</t>
        </is>
      </c>
      <c r="B185" s="89" t="inlineStr">
        <is>
          <t>COM-60</t>
        </is>
      </c>
      <c r="C185" s="97">
        <f>IFERROR(INDEX(Thèmes!$D$2:$D$190,MATCH(B185,Thèmes!$A$2:$A$190,0)),"")</f>
        <v/>
      </c>
      <c r="D185" s="86" t="inlineStr">
        <is>
          <t>—</t>
        </is>
      </c>
      <c r="E185" s="86" t="inlineStr">
        <is>
          <t>Page d'arrivée du lien du profil — déclencheur D64</t>
        </is>
      </c>
      <c r="F185" s="86" t="inlineStr">
        <is>
          <t>Choix</t>
        </is>
      </c>
      <c r="G185" s="89" t="inlineStr">
        <is>
          <t>Demandée</t>
        </is>
      </c>
      <c r="H185" s="89" t="inlineStr">
        <is>
          <t>Essentiel</t>
        </is>
      </c>
      <c r="I185" s="100" t="inlineStr">
        <is>
          <t>D21 · si vous publiez déjà</t>
        </is>
      </c>
      <c r="J185" s="86" t="inlineStr">
        <is>
          <t>—</t>
        </is>
      </c>
      <c r="K185" s="89" t="inlineStr">
        <is>
          <t>●</t>
        </is>
      </c>
      <c r="L185" s="89" t="inlineStr">
        <is>
          <t>●</t>
        </is>
      </c>
      <c r="M185" s="89" t="inlineStr">
        <is>
          <t>●</t>
        </is>
      </c>
      <c r="N185" s="89" t="inlineStr">
        <is>
          <t>●</t>
        </is>
      </c>
      <c r="O185" s="89" t="inlineStr">
        <is>
          <t>●</t>
        </is>
      </c>
      <c r="P185" s="89" t="inlineStr">
        <is>
          <t>●</t>
        </is>
      </c>
      <c r="Q185" s="89" t="inlineStr">
        <is>
          <t>●</t>
        </is>
      </c>
      <c r="R185" s="89" t="inlineStr">
        <is>
          <t>●</t>
        </is>
      </c>
      <c r="S185" s="86" t="inlineStr">
        <is>
          <t>—</t>
        </is>
      </c>
      <c r="T185" s="86" t="inlineStr">
        <is>
          <t>—</t>
        </is>
      </c>
      <c r="U185" s="86" t="inlineStr">
        <is>
          <t>—</t>
        </is>
      </c>
      <c r="V185" s="86" t="inlineStr">
        <is>
          <t>—</t>
        </is>
      </c>
      <c r="W185" s="91" t="inlineStr">
        <is>
          <t>Nouveau</t>
        </is>
      </c>
    </row>
    <row r="186" ht="23.85" customHeight="1" s="53">
      <c r="A186" s="92" t="inlineStr">
        <is>
          <t>COM-60.02</t>
        </is>
      </c>
      <c r="B186" s="67" t="inlineStr">
        <is>
          <t>COM-60</t>
        </is>
      </c>
      <c r="C186" s="95">
        <f>IFERROR(INDEX(Thèmes!$D$2:$D$190,MATCH(B186,Thèmes!$A$2:$A$190,0)),"")</f>
        <v/>
      </c>
      <c r="D186" s="68" t="inlineStr">
        <is>
          <t>—</t>
        </is>
      </c>
      <c r="E186" s="68" t="inlineStr">
        <is>
          <t>Ce que montre la page d'arrivée sans faire défiler : offre, preuve, bouton unique, formulaire court, prix</t>
        </is>
      </c>
      <c r="F186" s="68" t="inlineStr">
        <is>
          <t>Cases à cocher</t>
        </is>
      </c>
      <c r="G186" s="67" t="inlineStr">
        <is>
          <t>Demandée</t>
        </is>
      </c>
      <c r="H186" s="67" t="inlineStr">
        <is>
          <t>Essentiel</t>
        </is>
      </c>
      <c r="I186" s="99" t="inlineStr">
        <is>
          <t>D64 · si le profil mène vers une page</t>
        </is>
      </c>
      <c r="J186" s="68" t="inlineStr">
        <is>
          <t>—</t>
        </is>
      </c>
      <c r="K186" s="67" t="inlineStr">
        <is>
          <t>●</t>
        </is>
      </c>
      <c r="L186" s="67" t="inlineStr">
        <is>
          <t>●</t>
        </is>
      </c>
      <c r="M186" s="67" t="inlineStr">
        <is>
          <t>●</t>
        </is>
      </c>
      <c r="N186" s="67" t="inlineStr">
        <is>
          <t>●</t>
        </is>
      </c>
      <c r="O186" s="67" t="inlineStr">
        <is>
          <t>●</t>
        </is>
      </c>
      <c r="P186" s="67" t="inlineStr">
        <is>
          <t>●</t>
        </is>
      </c>
      <c r="Q186" s="67" t="inlineStr">
        <is>
          <t>●</t>
        </is>
      </c>
      <c r="R186" s="67" t="inlineStr">
        <is>
          <t>●</t>
        </is>
      </c>
      <c r="S186" s="68" t="inlineStr">
        <is>
          <t>—</t>
        </is>
      </c>
      <c r="T186" s="68" t="inlineStr">
        <is>
          <t>—</t>
        </is>
      </c>
      <c r="U186" s="68" t="inlineStr">
        <is>
          <t>—</t>
        </is>
      </c>
      <c r="V186" s="68" t="inlineStr">
        <is>
          <t>—</t>
        </is>
      </c>
      <c r="W186" s="83" t="inlineStr">
        <is>
          <t>Nouveau</t>
        </is>
      </c>
    </row>
    <row r="187" ht="57.45" customHeight="1" s="53">
      <c r="A187" s="104" t="inlineStr">
        <is>
          <t>COM-61.01</t>
        </is>
      </c>
      <c r="B187" s="89" t="inlineStr">
        <is>
          <t>COM-61</t>
        </is>
      </c>
      <c r="C187" s="97">
        <f>IFERROR(INDEX(Thèmes!$D$2:$D$190,MATCH(B187,Thèmes!$A$2:$A$190,0)),"")</f>
        <v/>
      </c>
      <c r="D187" s="86" t="inlineStr">
        <is>
          <t>—</t>
        </is>
      </c>
      <c r="E187" s="86" t="inlineStr">
        <is>
          <t>Ce que fait le dirigeant des personnes qui ont réagi ou écrit sans acheter — déclencheur D65</t>
        </is>
      </c>
      <c r="F187" s="86" t="inlineStr">
        <is>
          <t>Cases à cocher</t>
        </is>
      </c>
      <c r="G187" s="89" t="inlineStr">
        <is>
          <t>Demandée</t>
        </is>
      </c>
      <c r="H187" s="89" t="inlineStr">
        <is>
          <t>Essentiel</t>
        </is>
      </c>
      <c r="I187" s="100" t="inlineStr">
        <is>
          <t>D21 · si vous publiez déjà</t>
        </is>
      </c>
      <c r="J187" s="86" t="inlineStr">
        <is>
          <t>—</t>
        </is>
      </c>
      <c r="K187" s="89" t="inlineStr">
        <is>
          <t>●</t>
        </is>
      </c>
      <c r="L187" s="89" t="inlineStr">
        <is>
          <t>●</t>
        </is>
      </c>
      <c r="M187" s="89" t="inlineStr">
        <is>
          <t>●</t>
        </is>
      </c>
      <c r="N187" s="89" t="inlineStr">
        <is>
          <t>●</t>
        </is>
      </c>
      <c r="O187" s="89" t="inlineStr">
        <is>
          <t>●</t>
        </is>
      </c>
      <c r="P187" s="89" t="inlineStr">
        <is>
          <t>●</t>
        </is>
      </c>
      <c r="Q187" s="89" t="inlineStr">
        <is>
          <t>●</t>
        </is>
      </c>
      <c r="R187" s="89" t="inlineStr">
        <is>
          <t>●</t>
        </is>
      </c>
      <c r="S187" s="86" t="inlineStr">
        <is>
          <t>—</t>
        </is>
      </c>
      <c r="T187" s="86" t="inlineStr">
        <is>
          <t>—</t>
        </is>
      </c>
      <c r="U187" s="86" t="inlineStr">
        <is>
          <t>—</t>
        </is>
      </c>
      <c r="V187" s="86" t="inlineStr">
        <is>
          <t>—</t>
        </is>
      </c>
      <c r="W187" s="91" t="inlineStr">
        <is>
          <t>Nouveau</t>
        </is>
      </c>
    </row>
    <row r="188">
      <c r="A188" s="92" t="inlineStr">
        <is>
          <t>COM-61.02</t>
        </is>
      </c>
      <c r="B188" s="67" t="inlineStr">
        <is>
          <t>COM-61</t>
        </is>
      </c>
      <c r="C188" s="95">
        <f>IFERROR(INDEX(Thèmes!$D$2:$D$190,MATCH(B188,Thèmes!$A$2:$A$190,0)),"")</f>
        <v/>
      </c>
      <c r="D188" s="68" t="inlineStr">
        <is>
          <t>—</t>
        </is>
      </c>
      <c r="E188" s="68" t="inlineStr">
        <is>
          <t>Personnes intéressées contactées par le dirigeant chaque mois, et clients obtenus ainsi</t>
        </is>
      </c>
      <c r="F188" s="68" t="inlineStr">
        <is>
          <t>Plusieurs champs : Personnes contactées par mois · Devenues clientes par mois</t>
        </is>
      </c>
      <c r="G188" s="67" t="inlineStr">
        <is>
          <t>Demandée</t>
        </is>
      </c>
      <c r="H188" s="67" t="inlineStr">
        <is>
          <t>Approfondi</t>
        </is>
      </c>
      <c r="I188" s="99" t="inlineStr">
        <is>
          <t>D65 · si vous leur écrivez en message privé</t>
        </is>
      </c>
      <c r="J188" s="68" t="inlineStr">
        <is>
          <t>Période adaptée : depuis la création si moins de 3 mois</t>
        </is>
      </c>
      <c r="K188" s="67" t="inlineStr">
        <is>
          <t>●</t>
        </is>
      </c>
      <c r="L188" s="67" t="inlineStr">
        <is>
          <t>●</t>
        </is>
      </c>
      <c r="M188" s="67" t="inlineStr">
        <is>
          <t>●</t>
        </is>
      </c>
      <c r="N188" s="67" t="inlineStr">
        <is>
          <t>●</t>
        </is>
      </c>
      <c r="O188" s="67" t="inlineStr">
        <is>
          <t>●</t>
        </is>
      </c>
      <c r="P188" s="67" t="inlineStr">
        <is>
          <t>●</t>
        </is>
      </c>
      <c r="Q188" s="67" t="inlineStr">
        <is>
          <t>●</t>
        </is>
      </c>
      <c r="R188" s="67" t="inlineStr">
        <is>
          <t>●</t>
        </is>
      </c>
      <c r="S188" s="68" t="inlineStr">
        <is>
          <t>—</t>
        </is>
      </c>
      <c r="T188" s="68" t="inlineStr">
        <is>
          <t>—</t>
        </is>
      </c>
      <c r="U188" s="68" t="inlineStr">
        <is>
          <t>—</t>
        </is>
      </c>
      <c r="V188" s="68" t="inlineStr">
        <is>
          <t>—</t>
        </is>
      </c>
      <c r="W188" s="83" t="inlineStr">
        <is>
          <t>Nouveau</t>
        </is>
      </c>
    </row>
    <row r="189">
      <c r="A189" s="92" t="inlineStr">
        <is>
          <t>COM-62.01</t>
        </is>
      </c>
      <c r="B189" s="67" t="inlineStr">
        <is>
          <t>COM-62</t>
        </is>
      </c>
      <c r="C189" s="95">
        <f>IFERROR(INDEX(Thèmes!$D$2:$D$190,MATCH(B189,Thèmes!$A$2:$A$190,0)),"")</f>
        <v/>
      </c>
      <c r="D189" s="68" t="inlineStr">
        <is>
          <t>—</t>
        </is>
      </c>
      <c r="E189" s="68" t="inlineStr">
        <is>
          <t>Votre site est-il relié à Google Search Console ?</t>
        </is>
      </c>
      <c r="F189" s="68" t="inlineStr">
        <is>
          <t>Oui / non</t>
        </is>
      </c>
      <c r="G189" s="67" t="inlineStr">
        <is>
          <t>Demandée</t>
        </is>
      </c>
      <c r="H189" s="67" t="inlineStr">
        <is>
          <t>Essentiel</t>
        </is>
      </c>
      <c r="I189" s="99" t="inlineStr">
        <is>
          <t>D23 · si site</t>
        </is>
      </c>
      <c r="J189" s="68" t="inlineStr">
        <is>
          <t>—</t>
        </is>
      </c>
      <c r="K189" s="67" t="inlineStr">
        <is>
          <t>●</t>
        </is>
      </c>
      <c r="L189" s="67" t="inlineStr">
        <is>
          <t>●</t>
        </is>
      </c>
      <c r="M189" s="67" t="inlineStr">
        <is>
          <t>●</t>
        </is>
      </c>
      <c r="N189" s="67" t="inlineStr">
        <is>
          <t>●</t>
        </is>
      </c>
      <c r="O189" s="67" t="inlineStr">
        <is>
          <t>●</t>
        </is>
      </c>
      <c r="P189" s="67" t="inlineStr">
        <is>
          <t>●</t>
        </is>
      </c>
      <c r="Q189" s="67" t="inlineStr">
        <is>
          <t>●</t>
        </is>
      </c>
      <c r="R189" s="67" t="inlineStr">
        <is>
          <t>●</t>
        </is>
      </c>
      <c r="S189" s="68" t="inlineStr">
        <is>
          <t>—</t>
        </is>
      </c>
      <c r="T189" s="68" t="inlineStr">
        <is>
          <t>—</t>
        </is>
      </c>
      <c r="U189" s="68" t="inlineStr">
        <is>
          <t>—</t>
        </is>
      </c>
      <c r="V189" s="68" t="inlineStr">
        <is>
          <t>Lue par l'IA pour adapter le conseil</t>
        </is>
      </c>
      <c r="W189" s="83" t="inlineStr">
        <is>
          <t>Nouveau : profils et condition proposés, à valider</t>
        </is>
      </c>
    </row>
    <row r="190">
      <c r="A190" s="92" t="inlineStr">
        <is>
          <t>COM-62.02</t>
        </is>
      </c>
      <c r="B190" s="67" t="inlineStr">
        <is>
          <t>COM-62</t>
        </is>
      </c>
      <c r="C190" s="95">
        <f>IFERROR(INDEX(Thèmes!$D$2:$D$190,MATCH(B190,Thèmes!$A$2:$A$190,0)),"")</f>
        <v/>
      </c>
      <c r="D190" s="68" t="inlineStr">
        <is>
          <t>—</t>
        </is>
      </c>
      <c r="E190" s="68" t="inlineStr">
        <is>
          <t>Sur les 3 derniers mois, combien de fois votre site est-il apparu dans les résultats de Google, et combien de clics a-t-il reçus ?</t>
        </is>
      </c>
      <c r="F190" s="68" t="inlineStr">
        <is>
          <t>Plusieurs champs : Apparitions · Clics · Position moyenne</t>
        </is>
      </c>
      <c r="G190" s="67" t="inlineStr">
        <is>
          <t>Demandée</t>
        </is>
      </c>
      <c r="H190" s="67" t="inlineStr">
        <is>
          <t>Essentiel</t>
        </is>
      </c>
      <c r="I190" s="99" t="inlineStr">
        <is>
          <t>D23 · si site</t>
        </is>
      </c>
      <c r="J190" s="68" t="inlineStr">
        <is>
          <t>—</t>
        </is>
      </c>
      <c r="K190" s="67" t="inlineStr">
        <is>
          <t>●</t>
        </is>
      </c>
      <c r="L190" s="67" t="inlineStr">
        <is>
          <t>●</t>
        </is>
      </c>
      <c r="M190" s="67" t="inlineStr">
        <is>
          <t>●</t>
        </is>
      </c>
      <c r="N190" s="67" t="inlineStr">
        <is>
          <t>●</t>
        </is>
      </c>
      <c r="O190" s="67" t="inlineStr">
        <is>
          <t>●</t>
        </is>
      </c>
      <c r="P190" s="67" t="inlineStr">
        <is>
          <t>●</t>
        </is>
      </c>
      <c r="Q190" s="67" t="inlineStr">
        <is>
          <t>●</t>
        </is>
      </c>
      <c r="R190" s="67" t="inlineStr">
        <is>
          <t>●</t>
        </is>
      </c>
      <c r="S190" s="68" t="inlineStr">
        <is>
          <t>—</t>
        </is>
      </c>
      <c r="T190" s="68" t="inlineStr">
        <is>
          <t>—</t>
        </is>
      </c>
      <c r="U190" s="68" t="inlineStr">
        <is>
          <t>—</t>
        </is>
      </c>
      <c r="V190" s="68" t="inlineStr">
        <is>
          <t>Lue par l'IA pour adapter le conseil</t>
        </is>
      </c>
      <c r="W190" s="83" t="inlineStr">
        <is>
          <t>Nouveau : profils et condition proposés, à valider</t>
        </is>
      </c>
    </row>
    <row r="191">
      <c r="A191" s="92" t="inlineStr">
        <is>
          <t>COM-62.03</t>
        </is>
      </c>
      <c r="B191" s="67" t="inlineStr">
        <is>
          <t>COM-62</t>
        </is>
      </c>
      <c r="C191" s="95">
        <f>IFERROR(INDEX(Thèmes!$D$2:$D$190,MATCH(B191,Thèmes!$A$2:$A$190,0)),"")</f>
        <v/>
      </c>
      <c r="D191" s="68" t="inlineStr">
        <is>
          <t>—</t>
        </is>
      </c>
      <c r="E191" s="68" t="inlineStr">
        <is>
          <t>Sur les 3 derniers mois, quelles recherches Google vous ont amené le plus de visites sur votre site ?</t>
        </is>
      </c>
      <c r="F191" s="68" t="inlineStr">
        <is>
          <t>Tableau : Clics · Position moyenne (lignes libre: 5)</t>
        </is>
      </c>
      <c r="G191" s="67" t="inlineStr">
        <is>
          <t>Demandée</t>
        </is>
      </c>
      <c r="H191" s="67" t="inlineStr">
        <is>
          <t>Approfondi</t>
        </is>
      </c>
      <c r="I191" s="99" t="inlineStr">
        <is>
          <t>D23 · si site</t>
        </is>
      </c>
      <c r="J191" s="68" t="inlineStr">
        <is>
          <t>—</t>
        </is>
      </c>
      <c r="K191" s="67" t="inlineStr">
        <is>
          <t>●</t>
        </is>
      </c>
      <c r="L191" s="67" t="inlineStr">
        <is>
          <t>●</t>
        </is>
      </c>
      <c r="M191" s="67" t="inlineStr">
        <is>
          <t>●</t>
        </is>
      </c>
      <c r="N191" s="67" t="inlineStr">
        <is>
          <t>●</t>
        </is>
      </c>
      <c r="O191" s="67" t="inlineStr">
        <is>
          <t>●</t>
        </is>
      </c>
      <c r="P191" s="67" t="inlineStr">
        <is>
          <t>●</t>
        </is>
      </c>
      <c r="Q191" s="67" t="inlineStr">
        <is>
          <t>●</t>
        </is>
      </c>
      <c r="R191" s="67" t="inlineStr">
        <is>
          <t>●</t>
        </is>
      </c>
      <c r="S191" s="68" t="inlineStr">
        <is>
          <t>—</t>
        </is>
      </c>
      <c r="T191" s="68" t="inlineStr">
        <is>
          <t>—</t>
        </is>
      </c>
      <c r="U191" s="68" t="inlineStr">
        <is>
          <t>—</t>
        </is>
      </c>
      <c r="V191" s="68" t="inlineStr">
        <is>
          <t>Lue par l'IA pour adapter le conseil</t>
        </is>
      </c>
      <c r="W191" s="83" t="inlineStr">
        <is>
          <t>Nouveau : profils et condition proposés, à valider</t>
        </is>
      </c>
    </row>
    <row r="192">
      <c r="A192" s="92" t="inlineStr">
        <is>
          <t>COM-62.04</t>
        </is>
      </c>
      <c r="B192" s="67" t="inlineStr">
        <is>
          <t>COM-62</t>
        </is>
      </c>
      <c r="C192" s="95">
        <f>IFERROR(INDEX(Thèmes!$D$2:$D$190,MATCH(B192,Thèmes!$A$2:$A$190,0)),"")</f>
        <v/>
      </c>
      <c r="D192" s="68" t="inlineStr">
        <is>
          <t>—</t>
        </is>
      </c>
      <c r="E192" s="68" t="inlineStr">
        <is>
          <t>Quand on cherche chacune de vos offres principales sur Google, à quelle place sort votre site ?</t>
        </is>
      </c>
      <c r="F192" s="68" t="inlineStr">
        <is>
          <t>Tableau : Recherche tapée · Place (lignes fixes)</t>
        </is>
      </c>
      <c r="G192" s="67" t="inlineStr">
        <is>
          <t>Demandée</t>
        </is>
      </c>
      <c r="H192" s="67" t="inlineStr">
        <is>
          <t>Essentiel</t>
        </is>
      </c>
      <c r="I192" s="99" t="inlineStr">
        <is>
          <t>D23 · si site</t>
        </is>
      </c>
      <c r="J192" s="68" t="inlineStr">
        <is>
          <t>—</t>
        </is>
      </c>
      <c r="K192" s="67" t="inlineStr">
        <is>
          <t>●</t>
        </is>
      </c>
      <c r="L192" s="67" t="inlineStr">
        <is>
          <t>●</t>
        </is>
      </c>
      <c r="M192" s="67" t="inlineStr">
        <is>
          <t>●</t>
        </is>
      </c>
      <c r="N192" s="67" t="inlineStr">
        <is>
          <t>●</t>
        </is>
      </c>
      <c r="O192" s="67" t="inlineStr">
        <is>
          <t>●</t>
        </is>
      </c>
      <c r="P192" s="67" t="inlineStr">
        <is>
          <t>●</t>
        </is>
      </c>
      <c r="Q192" s="67" t="inlineStr">
        <is>
          <t>●</t>
        </is>
      </c>
      <c r="R192" s="67" t="inlineStr">
        <is>
          <t>●</t>
        </is>
      </c>
      <c r="S192" s="68" t="inlineStr">
        <is>
          <t>—</t>
        </is>
      </c>
      <c r="T192" s="68" t="inlineStr">
        <is>
          <t>—</t>
        </is>
      </c>
      <c r="U192" s="68" t="inlineStr">
        <is>
          <t>—</t>
        </is>
      </c>
      <c r="V192" s="68" t="inlineStr">
        <is>
          <t>Lue par l'IA pour adapter le conseil</t>
        </is>
      </c>
      <c r="W192" s="83" t="inlineStr">
        <is>
          <t>Nouveau : profils et condition proposés, à valider</t>
        </is>
      </c>
    </row>
    <row r="193">
      <c r="A193" s="92" t="inlineStr">
        <is>
          <t>COM-62.05</t>
        </is>
      </c>
      <c r="B193" s="67" t="inlineStr">
        <is>
          <t>COM-62</t>
        </is>
      </c>
      <c r="C193" s="95">
        <f>IFERROR(INDEX(Thèmes!$D$2:$D$190,MATCH(B193,Thèmes!$A$2:$A$190,0)),"")</f>
        <v/>
      </c>
      <c r="D193" s="68" t="inlineStr">
        <is>
          <t>—</t>
        </is>
      </c>
      <c r="E193" s="68" t="inlineStr">
        <is>
          <t>Chacune de vos offres principales a-t-elle sa propre page sur votre site ?</t>
        </is>
      </c>
      <c r="F193" s="68" t="inlineStr">
        <is>
          <t>Tableau : Page à elle (lignes fixes)</t>
        </is>
      </c>
      <c r="G193" s="67" t="inlineStr">
        <is>
          <t>Demandée</t>
        </is>
      </c>
      <c r="H193" s="67" t="inlineStr">
        <is>
          <t>Essentiel</t>
        </is>
      </c>
      <c r="I193" s="99" t="inlineStr">
        <is>
          <t>D23 · si site</t>
        </is>
      </c>
      <c r="J193" s="68" t="inlineStr">
        <is>
          <t>—</t>
        </is>
      </c>
      <c r="K193" s="67" t="inlineStr">
        <is>
          <t>●</t>
        </is>
      </c>
      <c r="L193" s="67" t="inlineStr">
        <is>
          <t>●</t>
        </is>
      </c>
      <c r="M193" s="67" t="inlineStr">
        <is>
          <t>●</t>
        </is>
      </c>
      <c r="N193" s="67" t="inlineStr">
        <is>
          <t>●</t>
        </is>
      </c>
      <c r="O193" s="67" t="inlineStr">
        <is>
          <t>●</t>
        </is>
      </c>
      <c r="P193" s="67" t="inlineStr">
        <is>
          <t>●</t>
        </is>
      </c>
      <c r="Q193" s="67" t="inlineStr">
        <is>
          <t>●</t>
        </is>
      </c>
      <c r="R193" s="67" t="inlineStr">
        <is>
          <t>●</t>
        </is>
      </c>
      <c r="S193" s="68" t="inlineStr">
        <is>
          <t>—</t>
        </is>
      </c>
      <c r="T193" s="68" t="inlineStr">
        <is>
          <t>—</t>
        </is>
      </c>
      <c r="U193" s="68" t="inlineStr">
        <is>
          <t>—</t>
        </is>
      </c>
      <c r="V193" s="68" t="inlineStr">
        <is>
          <t>Lue par l'IA pour adapter le conseil</t>
        </is>
      </c>
      <c r="W193" s="83" t="inlineStr">
        <is>
          <t>Nouveau : profils et condition proposés, à valider</t>
        </is>
      </c>
    </row>
    <row r="194">
      <c r="A194" s="92" t="inlineStr">
        <is>
          <t>COM-62.06</t>
        </is>
      </c>
      <c r="B194" s="67" t="inlineStr">
        <is>
          <t>COM-62</t>
        </is>
      </c>
      <c r="C194" s="95">
        <f>IFERROR(INDEX(Thèmes!$D$2:$D$190,MATCH(B194,Thèmes!$A$2:$A$190,0)),"")</f>
        <v/>
      </c>
      <c r="D194" s="68" t="inlineStr">
        <is>
          <t>—</t>
        </is>
      </c>
      <c r="E194" s="68" t="inlineStr">
        <is>
          <t>Sur les 12 derniers mois, combien de pages ou d'articles avez-vous ajoutés à votre site ?</t>
        </is>
      </c>
      <c r="F194" s="68" t="inlineStr">
        <is>
          <t>Nombre</t>
        </is>
      </c>
      <c r="G194" s="67" t="inlineStr">
        <is>
          <t>Demandée</t>
        </is>
      </c>
      <c r="H194" s="67" t="inlineStr">
        <is>
          <t>Approfondi</t>
        </is>
      </c>
      <c r="I194" s="99" t="inlineStr">
        <is>
          <t>D23 · si site</t>
        </is>
      </c>
      <c r="J194" s="68" t="inlineStr">
        <is>
          <t>—</t>
        </is>
      </c>
      <c r="K194" s="67" t="inlineStr">
        <is>
          <t>●</t>
        </is>
      </c>
      <c r="L194" s="67" t="inlineStr">
        <is>
          <t>●</t>
        </is>
      </c>
      <c r="M194" s="67" t="inlineStr">
        <is>
          <t>●</t>
        </is>
      </c>
      <c r="N194" s="67" t="inlineStr">
        <is>
          <t>●</t>
        </is>
      </c>
      <c r="O194" s="67" t="inlineStr">
        <is>
          <t>●</t>
        </is>
      </c>
      <c r="P194" s="67" t="inlineStr">
        <is>
          <t>●</t>
        </is>
      </c>
      <c r="Q194" s="67" t="inlineStr">
        <is>
          <t>●</t>
        </is>
      </c>
      <c r="R194" s="67" t="inlineStr">
        <is>
          <t>●</t>
        </is>
      </c>
      <c r="S194" s="68" t="inlineStr">
        <is>
          <t>—</t>
        </is>
      </c>
      <c r="T194" s="68" t="inlineStr">
        <is>
          <t>—</t>
        </is>
      </c>
      <c r="U194" s="68" t="inlineStr">
        <is>
          <t>—</t>
        </is>
      </c>
      <c r="V194" s="68" t="inlineStr">
        <is>
          <t>Lue par l'IA pour adapter le conseil</t>
        </is>
      </c>
      <c r="W194" s="83" t="inlineStr">
        <is>
          <t>Nouveau : profils et condition proposés, à valider</t>
        </is>
      </c>
    </row>
    <row r="195">
      <c r="A195" s="92" t="inlineStr">
        <is>
          <t>COM-62.07</t>
        </is>
      </c>
      <c r="B195" s="67" t="inlineStr">
        <is>
          <t>COM-62</t>
        </is>
      </c>
      <c r="C195" s="95">
        <f>IFERROR(INDEX(Thèmes!$D$2:$D$190,MATCH(B195,Thèmes!$A$2:$A$190,0)),"")</f>
        <v/>
      </c>
      <c r="D195" s="68" t="inlineStr">
        <is>
          <t>—</t>
        </is>
      </c>
      <c r="E195" s="68" t="inlineStr">
        <is>
          <t>Quels autres sites renvoient vers le vôtre avec un lien ?</t>
        </is>
      </c>
      <c r="F195" s="68" t="inlineStr">
        <is>
          <t>Cases à cocher</t>
        </is>
      </c>
      <c r="G195" s="67" t="inlineStr">
        <is>
          <t>Demandée</t>
        </is>
      </c>
      <c r="H195" s="67" t="inlineStr">
        <is>
          <t>Approfondi</t>
        </is>
      </c>
      <c r="I195" s="99" t="inlineStr">
        <is>
          <t>D23 · si site</t>
        </is>
      </c>
      <c r="J195" s="68" t="inlineStr">
        <is>
          <t>—</t>
        </is>
      </c>
      <c r="K195" s="67" t="inlineStr">
        <is>
          <t>●</t>
        </is>
      </c>
      <c r="L195" s="67" t="inlineStr">
        <is>
          <t>●</t>
        </is>
      </c>
      <c r="M195" s="67" t="inlineStr">
        <is>
          <t>●</t>
        </is>
      </c>
      <c r="N195" s="67" t="inlineStr">
        <is>
          <t>●</t>
        </is>
      </c>
      <c r="O195" s="67" t="inlineStr">
        <is>
          <t>●</t>
        </is>
      </c>
      <c r="P195" s="67" t="inlineStr">
        <is>
          <t>●</t>
        </is>
      </c>
      <c r="Q195" s="67" t="inlineStr">
        <is>
          <t>●</t>
        </is>
      </c>
      <c r="R195" s="67" t="inlineStr">
        <is>
          <t>●</t>
        </is>
      </c>
      <c r="S195" s="68" t="inlineStr">
        <is>
          <t>—</t>
        </is>
      </c>
      <c r="T195" s="68" t="inlineStr">
        <is>
          <t>—</t>
        </is>
      </c>
      <c r="U195" s="68" t="inlineStr">
        <is>
          <t>—</t>
        </is>
      </c>
      <c r="V195" s="68" t="inlineStr">
        <is>
          <t>Lue par l'IA pour adapter le conseil</t>
        </is>
      </c>
      <c r="W195" s="83" t="inlineStr">
        <is>
          <t>Nouveau : profils et condition proposés, à valider</t>
        </is>
      </c>
    </row>
    <row r="196">
      <c r="A196" s="92" t="inlineStr">
        <is>
          <t>COM-62.08</t>
        </is>
      </c>
      <c r="B196" s="67" t="inlineStr">
        <is>
          <t>COM-62</t>
        </is>
      </c>
      <c r="C196" s="95">
        <f>IFERROR(INDEX(Thèmes!$D$2:$D$190,MATCH(B196,Thèmes!$A$2:$A$190,0)),"")</f>
        <v/>
      </c>
      <c r="D196" s="68" t="inlineStr">
        <is>
          <t>—</t>
        </is>
      </c>
      <c r="E196" s="68" t="inlineStr">
        <is>
          <t>Qui s'occupe du référencement de votre site sur Google ?</t>
        </is>
      </c>
      <c r="F196" s="68" t="inlineStr">
        <is>
          <t>Choix</t>
        </is>
      </c>
      <c r="G196" s="67" t="inlineStr">
        <is>
          <t>Demandée</t>
        </is>
      </c>
      <c r="H196" s="67" t="inlineStr">
        <is>
          <t>Approfondi</t>
        </is>
      </c>
      <c r="I196" s="99" t="inlineStr">
        <is>
          <t>D23 · si site</t>
        </is>
      </c>
      <c r="J196" s="68" t="inlineStr">
        <is>
          <t>—</t>
        </is>
      </c>
      <c r="K196" s="67" t="inlineStr">
        <is>
          <t>●</t>
        </is>
      </c>
      <c r="L196" s="67" t="inlineStr">
        <is>
          <t>●</t>
        </is>
      </c>
      <c r="M196" s="67" t="inlineStr">
        <is>
          <t>●</t>
        </is>
      </c>
      <c r="N196" s="67" t="inlineStr">
        <is>
          <t>●</t>
        </is>
      </c>
      <c r="O196" s="67" t="inlineStr">
        <is>
          <t>●</t>
        </is>
      </c>
      <c r="P196" s="67" t="inlineStr">
        <is>
          <t>●</t>
        </is>
      </c>
      <c r="Q196" s="67" t="inlineStr">
        <is>
          <t>●</t>
        </is>
      </c>
      <c r="R196" s="67" t="inlineStr">
        <is>
          <t>●</t>
        </is>
      </c>
      <c r="S196" s="68" t="inlineStr">
        <is>
          <t>—</t>
        </is>
      </c>
      <c r="T196" s="68" t="inlineStr">
        <is>
          <t>—</t>
        </is>
      </c>
      <c r="U196" s="68" t="inlineStr">
        <is>
          <t>—</t>
        </is>
      </c>
      <c r="V196" s="68" t="inlineStr">
        <is>
          <t>Lue par l'IA pour adapter le conseil</t>
        </is>
      </c>
      <c r="W196" s="83" t="inlineStr">
        <is>
          <t>Nouveau : profils et condition proposés, à valider</t>
        </is>
      </c>
    </row>
    <row r="197">
      <c r="A197" s="92" t="inlineStr">
        <is>
          <t>COM-63.01</t>
        </is>
      </c>
      <c r="B197" s="67" t="inlineStr">
        <is>
          <t>COM-63</t>
        </is>
      </c>
      <c r="C197" s="95">
        <f>IFERROR(INDEX(Thèmes!$D$2:$D$190,MATCH(B197,Thèmes!$A$2:$A$190,0)),"")</f>
        <v/>
      </c>
      <c r="D197" s="68" t="inlineStr">
        <is>
          <t>—</t>
        </is>
      </c>
      <c r="E197" s="68" t="inlineStr">
        <is>
          <t>Faites-vous de la publicité sur Google, avec Google Ads ?</t>
        </is>
      </c>
      <c r="F197" s="68" t="inlineStr">
        <is>
          <t>Oui / non</t>
        </is>
      </c>
      <c r="G197" s="67" t="inlineStr">
        <is>
          <t>Demandée</t>
        </is>
      </c>
      <c r="H197" s="67" t="inlineStr">
        <is>
          <t>Essentiel</t>
        </is>
      </c>
      <c r="I197" s="99" t="inlineStr">
        <is>
          <t>—</t>
        </is>
      </c>
      <c r="J197" s="68" t="inlineStr">
        <is>
          <t>—</t>
        </is>
      </c>
      <c r="K197" s="67" t="inlineStr">
        <is>
          <t>●</t>
        </is>
      </c>
      <c r="L197" s="67" t="inlineStr">
        <is>
          <t>●</t>
        </is>
      </c>
      <c r="M197" s="67" t="inlineStr">
        <is>
          <t>●</t>
        </is>
      </c>
      <c r="N197" s="67" t="inlineStr">
        <is>
          <t>●</t>
        </is>
      </c>
      <c r="O197" s="67" t="inlineStr">
        <is>
          <t>●</t>
        </is>
      </c>
      <c r="P197" s="67" t="inlineStr">
        <is>
          <t>●</t>
        </is>
      </c>
      <c r="Q197" s="67" t="inlineStr">
        <is>
          <t>●</t>
        </is>
      </c>
      <c r="R197" s="67" t="inlineStr">
        <is>
          <t>●</t>
        </is>
      </c>
      <c r="S197" s="68" t="inlineStr">
        <is>
          <t>—</t>
        </is>
      </c>
      <c r="T197" s="68" t="inlineStr">
        <is>
          <t>—</t>
        </is>
      </c>
      <c r="U197" s="68" t="inlineStr">
        <is>
          <t>—</t>
        </is>
      </c>
      <c r="V197" s="68" t="inlineStr">
        <is>
          <t>Lue par l'IA pour adapter le conseil</t>
        </is>
      </c>
      <c r="W197" s="83" t="inlineStr">
        <is>
          <t>Nouveau : profils et condition proposés, à valider</t>
        </is>
      </c>
    </row>
    <row r="198">
      <c r="A198" s="92" t="inlineStr">
        <is>
          <t>COM-63.02</t>
        </is>
      </c>
      <c r="B198" s="67" t="inlineStr">
        <is>
          <t>COM-63</t>
        </is>
      </c>
      <c r="C198" s="95">
        <f>IFERROR(INDEX(Thèmes!$D$2:$D$190,MATCH(B198,Thèmes!$A$2:$A$190,0)),"")</f>
        <v/>
      </c>
      <c r="D198" s="68" t="inlineStr">
        <is>
          <t>—</t>
        </is>
      </c>
      <c r="E198" s="68" t="inlineStr">
        <is>
          <t>En moyenne sur les 3 derniers mois, combien dépensez-vous par mois en publicité Google ?</t>
        </is>
      </c>
      <c r="F198" s="68" t="inlineStr">
        <is>
          <t>€</t>
        </is>
      </c>
      <c r="G198" s="67" t="inlineStr">
        <is>
          <t>Demandée</t>
        </is>
      </c>
      <c r="H198" s="67" t="inlineStr">
        <is>
          <t>Essentiel</t>
        </is>
      </c>
      <c r="I198" s="99" t="inlineStr">
        <is>
          <t>COM-63.01 · si vous faites de la publicité Google</t>
        </is>
      </c>
      <c r="J198" s="68" t="inlineStr">
        <is>
          <t>—</t>
        </is>
      </c>
      <c r="K198" s="67" t="inlineStr">
        <is>
          <t>●</t>
        </is>
      </c>
      <c r="L198" s="67" t="inlineStr">
        <is>
          <t>●</t>
        </is>
      </c>
      <c r="M198" s="67" t="inlineStr">
        <is>
          <t>●</t>
        </is>
      </c>
      <c r="N198" s="67" t="inlineStr">
        <is>
          <t>●</t>
        </is>
      </c>
      <c r="O198" s="67" t="inlineStr">
        <is>
          <t>●</t>
        </is>
      </c>
      <c r="P198" s="67" t="inlineStr">
        <is>
          <t>●</t>
        </is>
      </c>
      <c r="Q198" s="67" t="inlineStr">
        <is>
          <t>●</t>
        </is>
      </c>
      <c r="R198" s="67" t="inlineStr">
        <is>
          <t>●</t>
        </is>
      </c>
      <c r="S198" s="68" t="inlineStr">
        <is>
          <t>—</t>
        </is>
      </c>
      <c r="T198" s="68" t="inlineStr">
        <is>
          <t>—</t>
        </is>
      </c>
      <c r="U198" s="68" t="inlineStr">
        <is>
          <t>—</t>
        </is>
      </c>
      <c r="V198" s="68" t="inlineStr">
        <is>
          <t>Lue par l'IA pour adapter le conseil</t>
        </is>
      </c>
      <c r="W198" s="83" t="inlineStr">
        <is>
          <t>Nouveau : profils et condition proposés, à valider</t>
        </is>
      </c>
    </row>
    <row r="199">
      <c r="A199" s="92" t="inlineStr">
        <is>
          <t>COM-63.03</t>
        </is>
      </c>
      <c r="B199" s="67" t="inlineStr">
        <is>
          <t>COM-63</t>
        </is>
      </c>
      <c r="C199" s="95">
        <f>IFERROR(INDEX(Thèmes!$D$2:$D$190,MATCH(B199,Thèmes!$A$2:$A$190,0)),"")</f>
        <v/>
      </c>
      <c r="D199" s="68" t="inlineStr">
        <is>
          <t>—</t>
        </is>
      </c>
      <c r="E199" s="68" t="inlineStr">
        <is>
          <t>En moyenne sur les 3 derniers mois, combien de clics et de demandes vos annonces Google vous apportent-elles par mois ?</t>
        </is>
      </c>
      <c r="F199" s="68" t="inlineStr">
        <is>
          <t>Plusieurs champs : Clics par mois · Demandes par mois</t>
        </is>
      </c>
      <c r="G199" s="67" t="inlineStr">
        <is>
          <t>Demandée</t>
        </is>
      </c>
      <c r="H199" s="67" t="inlineStr">
        <is>
          <t>Essentiel</t>
        </is>
      </c>
      <c r="I199" s="99" t="inlineStr">
        <is>
          <t>COM-63.01 · si vous faites de la publicité Google</t>
        </is>
      </c>
      <c r="J199" s="68" t="inlineStr">
        <is>
          <t>—</t>
        </is>
      </c>
      <c r="K199" s="67" t="inlineStr">
        <is>
          <t>●</t>
        </is>
      </c>
      <c r="L199" s="67" t="inlineStr">
        <is>
          <t>●</t>
        </is>
      </c>
      <c r="M199" s="67" t="inlineStr">
        <is>
          <t>●</t>
        </is>
      </c>
      <c r="N199" s="67" t="inlineStr">
        <is>
          <t>●</t>
        </is>
      </c>
      <c r="O199" s="67" t="inlineStr">
        <is>
          <t>●</t>
        </is>
      </c>
      <c r="P199" s="67" t="inlineStr">
        <is>
          <t>●</t>
        </is>
      </c>
      <c r="Q199" s="67" t="inlineStr">
        <is>
          <t>●</t>
        </is>
      </c>
      <c r="R199" s="67" t="inlineStr">
        <is>
          <t>●</t>
        </is>
      </c>
      <c r="S199" s="68" t="inlineStr">
        <is>
          <t>—</t>
        </is>
      </c>
      <c r="T199" s="68" t="inlineStr">
        <is>
          <t>—</t>
        </is>
      </c>
      <c r="U199" s="68" t="inlineStr">
        <is>
          <t>—</t>
        </is>
      </c>
      <c r="V199" s="68" t="inlineStr">
        <is>
          <t>Lue par l'IA pour adapter le conseil</t>
        </is>
      </c>
      <c r="W199" s="83" t="inlineStr">
        <is>
          <t>Nouveau : profils et condition proposés, à valider</t>
        </is>
      </c>
    </row>
    <row r="200">
      <c r="A200" s="92" t="inlineStr">
        <is>
          <t>COM-63.04</t>
        </is>
      </c>
      <c r="B200" s="67" t="inlineStr">
        <is>
          <t>COM-63</t>
        </is>
      </c>
      <c r="C200" s="95">
        <f>IFERROR(INDEX(Thèmes!$D$2:$D$190,MATCH(B200,Thèmes!$A$2:$A$190,0)),"")</f>
        <v/>
      </c>
      <c r="D200" s="68" t="inlineStr">
        <is>
          <t>—</t>
        </is>
      </c>
      <c r="E200" s="68" t="inlineStr">
        <is>
          <t>Google Ads compte-t-il automatiquement les appels et les formulaires venus de vos annonces ?</t>
        </is>
      </c>
      <c r="F200" s="68" t="inlineStr">
        <is>
          <t>Choix</t>
        </is>
      </c>
      <c r="G200" s="67" t="inlineStr">
        <is>
          <t>Demandée</t>
        </is>
      </c>
      <c r="H200" s="67" t="inlineStr">
        <is>
          <t>Essentiel</t>
        </is>
      </c>
      <c r="I200" s="99" t="inlineStr">
        <is>
          <t>COM-63.01 · si vous faites de la publicité Google</t>
        </is>
      </c>
      <c r="J200" s="68" t="inlineStr">
        <is>
          <t>—</t>
        </is>
      </c>
      <c r="K200" s="67" t="inlineStr">
        <is>
          <t>●</t>
        </is>
      </c>
      <c r="L200" s="67" t="inlineStr">
        <is>
          <t>●</t>
        </is>
      </c>
      <c r="M200" s="67" t="inlineStr">
        <is>
          <t>●</t>
        </is>
      </c>
      <c r="N200" s="67" t="inlineStr">
        <is>
          <t>●</t>
        </is>
      </c>
      <c r="O200" s="67" t="inlineStr">
        <is>
          <t>●</t>
        </is>
      </c>
      <c r="P200" s="67" t="inlineStr">
        <is>
          <t>●</t>
        </is>
      </c>
      <c r="Q200" s="67" t="inlineStr">
        <is>
          <t>●</t>
        </is>
      </c>
      <c r="R200" s="67" t="inlineStr">
        <is>
          <t>●</t>
        </is>
      </c>
      <c r="S200" s="68" t="inlineStr">
        <is>
          <t>—</t>
        </is>
      </c>
      <c r="T200" s="68" t="inlineStr">
        <is>
          <t>—</t>
        </is>
      </c>
      <c r="U200" s="68" t="inlineStr">
        <is>
          <t>—</t>
        </is>
      </c>
      <c r="V200" s="68" t="inlineStr">
        <is>
          <t>Lue par l'IA pour adapter le conseil</t>
        </is>
      </c>
      <c r="W200" s="83" t="inlineStr">
        <is>
          <t>Nouveau : profils et condition proposés, à valider</t>
        </is>
      </c>
    </row>
    <row r="201">
      <c r="A201" s="92" t="inlineStr">
        <is>
          <t>COM-63.05</t>
        </is>
      </c>
      <c r="B201" s="67" t="inlineStr">
        <is>
          <t>COM-63</t>
        </is>
      </c>
      <c r="C201" s="95">
        <f>IFERROR(INDEX(Thèmes!$D$2:$D$190,MATCH(B201,Thèmes!$A$2:$A$190,0)),"")</f>
        <v/>
      </c>
      <c r="D201" s="68" t="inlineStr">
        <is>
          <t>—</t>
        </is>
      </c>
      <c r="E201" s="68" t="inlineStr">
        <is>
          <t>Sur les 3 derniers mois, quelles recherches ont déclenché le plus de clics sur vos annonces ?</t>
        </is>
      </c>
      <c r="F201" s="68" t="inlineStr">
        <is>
          <t>Tableau : Clics · Dépense · Demandes (lignes libre: 5)</t>
        </is>
      </c>
      <c r="G201" s="67" t="inlineStr">
        <is>
          <t>Demandée</t>
        </is>
      </c>
      <c r="H201" s="67" t="inlineStr">
        <is>
          <t>Approfondi</t>
        </is>
      </c>
      <c r="I201" s="99" t="inlineStr">
        <is>
          <t>COM-63.01 · si vous faites de la publicité Google</t>
        </is>
      </c>
      <c r="J201" s="68" t="inlineStr">
        <is>
          <t>—</t>
        </is>
      </c>
      <c r="K201" s="67" t="inlineStr">
        <is>
          <t>●</t>
        </is>
      </c>
      <c r="L201" s="67" t="inlineStr">
        <is>
          <t>●</t>
        </is>
      </c>
      <c r="M201" s="67" t="inlineStr">
        <is>
          <t>●</t>
        </is>
      </c>
      <c r="N201" s="67" t="inlineStr">
        <is>
          <t>●</t>
        </is>
      </c>
      <c r="O201" s="67" t="inlineStr">
        <is>
          <t>●</t>
        </is>
      </c>
      <c r="P201" s="67" t="inlineStr">
        <is>
          <t>●</t>
        </is>
      </c>
      <c r="Q201" s="67" t="inlineStr">
        <is>
          <t>●</t>
        </is>
      </c>
      <c r="R201" s="67" t="inlineStr">
        <is>
          <t>●</t>
        </is>
      </c>
      <c r="S201" s="68" t="inlineStr">
        <is>
          <t>—</t>
        </is>
      </c>
      <c r="T201" s="68" t="inlineStr">
        <is>
          <t>—</t>
        </is>
      </c>
      <c r="U201" s="68" t="inlineStr">
        <is>
          <t>—</t>
        </is>
      </c>
      <c r="V201" s="68" t="inlineStr">
        <is>
          <t>Lue par l'IA pour adapter le conseil</t>
        </is>
      </c>
      <c r="W201" s="83" t="inlineStr">
        <is>
          <t>Nouveau : profils et condition proposés, à valider</t>
        </is>
      </c>
    </row>
    <row r="202">
      <c r="A202" s="92" t="inlineStr">
        <is>
          <t>COM-63.06</t>
        </is>
      </c>
      <c r="B202" s="67" t="inlineStr">
        <is>
          <t>COM-63</t>
        </is>
      </c>
      <c r="C202" s="95">
        <f>IFERROR(INDEX(Thèmes!$D$2:$D$190,MATCH(B202,Thèmes!$A$2:$A$190,0)),"")</f>
        <v/>
      </c>
      <c r="D202" s="68" t="inlineStr">
        <is>
          <t>—</t>
        </is>
      </c>
      <c r="E202" s="68" t="inlineStr">
        <is>
          <t>Quand quelqu'un clique sur une de vos annonces, sur quelle page arrive-t-il ?</t>
        </is>
      </c>
      <c r="F202" s="68" t="inlineStr">
        <is>
          <t>Choix</t>
        </is>
      </c>
      <c r="G202" s="67" t="inlineStr">
        <is>
          <t>Demandée</t>
        </is>
      </c>
      <c r="H202" s="67" t="inlineStr">
        <is>
          <t>Essentiel</t>
        </is>
      </c>
      <c r="I202" s="99" t="inlineStr">
        <is>
          <t>COM-63.01 · si vous faites de la publicité Google</t>
        </is>
      </c>
      <c r="J202" s="68" t="inlineStr">
        <is>
          <t>—</t>
        </is>
      </c>
      <c r="K202" s="67" t="inlineStr">
        <is>
          <t>●</t>
        </is>
      </c>
      <c r="L202" s="67" t="inlineStr">
        <is>
          <t>●</t>
        </is>
      </c>
      <c r="M202" s="67" t="inlineStr">
        <is>
          <t>●</t>
        </is>
      </c>
      <c r="N202" s="67" t="inlineStr">
        <is>
          <t>●</t>
        </is>
      </c>
      <c r="O202" s="67" t="inlineStr">
        <is>
          <t>●</t>
        </is>
      </c>
      <c r="P202" s="67" t="inlineStr">
        <is>
          <t>●</t>
        </is>
      </c>
      <c r="Q202" s="67" t="inlineStr">
        <is>
          <t>●</t>
        </is>
      </c>
      <c r="R202" s="67" t="inlineStr">
        <is>
          <t>●</t>
        </is>
      </c>
      <c r="S202" s="68" t="inlineStr">
        <is>
          <t>—</t>
        </is>
      </c>
      <c r="T202" s="68" t="inlineStr">
        <is>
          <t>—</t>
        </is>
      </c>
      <c r="U202" s="68" t="inlineStr">
        <is>
          <t>—</t>
        </is>
      </c>
      <c r="V202" s="68" t="inlineStr">
        <is>
          <t>Lue par l'IA pour adapter le conseil</t>
        </is>
      </c>
      <c r="W202" s="83" t="inlineStr">
        <is>
          <t>Nouveau : profils et condition proposés, à valider</t>
        </is>
      </c>
    </row>
    <row r="203">
      <c r="A203" s="92" t="inlineStr">
        <is>
          <t>COM-63.07</t>
        </is>
      </c>
      <c r="B203" s="67" t="inlineStr">
        <is>
          <t>COM-63</t>
        </is>
      </c>
      <c r="C203" s="95">
        <f>IFERROR(INDEX(Thèmes!$D$2:$D$190,MATCH(B203,Thèmes!$A$2:$A$190,0)),"")</f>
        <v/>
      </c>
      <c r="D203" s="68" t="inlineStr">
        <is>
          <t>—</t>
        </is>
      </c>
      <c r="E203" s="68" t="inlineStr">
        <is>
          <t>Dans quelle zone vos annonces sont-elles diffusées ?</t>
        </is>
      </c>
      <c r="F203" s="68" t="inlineStr">
        <is>
          <t>Choix</t>
        </is>
      </c>
      <c r="G203" s="67" t="inlineStr">
        <is>
          <t>Demandée</t>
        </is>
      </c>
      <c r="H203" s="67" t="inlineStr">
        <is>
          <t>Approfondi</t>
        </is>
      </c>
      <c r="I203" s="99" t="inlineStr">
        <is>
          <t>COM-63.01 · si vous faites de la publicité Google</t>
        </is>
      </c>
      <c r="J203" s="68" t="inlineStr">
        <is>
          <t>—</t>
        </is>
      </c>
      <c r="K203" s="67" t="inlineStr">
        <is>
          <t>●</t>
        </is>
      </c>
      <c r="L203" s="67" t="inlineStr">
        <is>
          <t>●</t>
        </is>
      </c>
      <c r="M203" s="67" t="inlineStr">
        <is>
          <t>●</t>
        </is>
      </c>
      <c r="N203" s="67" t="inlineStr">
        <is>
          <t>●</t>
        </is>
      </c>
      <c r="O203" s="67" t="inlineStr">
        <is>
          <t>●</t>
        </is>
      </c>
      <c r="P203" s="67" t="inlineStr">
        <is>
          <t>●</t>
        </is>
      </c>
      <c r="Q203" s="67" t="inlineStr">
        <is>
          <t>●</t>
        </is>
      </c>
      <c r="R203" s="67" t="inlineStr">
        <is>
          <t>●</t>
        </is>
      </c>
      <c r="S203" s="68" t="inlineStr">
        <is>
          <t>—</t>
        </is>
      </c>
      <c r="T203" s="68" t="inlineStr">
        <is>
          <t>—</t>
        </is>
      </c>
      <c r="U203" s="68" t="inlineStr">
        <is>
          <t>—</t>
        </is>
      </c>
      <c r="V203" s="68" t="inlineStr">
        <is>
          <t>Lue par l'IA pour adapter le conseil</t>
        </is>
      </c>
      <c r="W203" s="83" t="inlineStr">
        <is>
          <t>Nouveau : profils et condition proposés, à valider</t>
        </is>
      </c>
    </row>
    <row r="204">
      <c r="A204" s="92" t="inlineStr">
        <is>
          <t>COM-63.08</t>
        </is>
      </c>
      <c r="B204" s="67" t="inlineStr">
        <is>
          <t>COM-63</t>
        </is>
      </c>
      <c r="C204" s="95">
        <f>IFERROR(INDEX(Thèmes!$D$2:$D$190,MATCH(B204,Thèmes!$A$2:$A$190,0)),"")</f>
        <v/>
      </c>
      <c r="D204" s="68" t="inlineStr">
        <is>
          <t>—</t>
        </is>
      </c>
      <c r="E204" s="68" t="inlineStr">
        <is>
          <t>Qui gère vos annonces Google ?</t>
        </is>
      </c>
      <c r="F204" s="68" t="inlineStr">
        <is>
          <t>Choix</t>
        </is>
      </c>
      <c r="G204" s="67" t="inlineStr">
        <is>
          <t>Demandée</t>
        </is>
      </c>
      <c r="H204" s="67" t="inlineStr">
        <is>
          <t>Approfondi</t>
        </is>
      </c>
      <c r="I204" s="99" t="inlineStr">
        <is>
          <t>COM-63.01 · si vous faites de la publicité Google</t>
        </is>
      </c>
      <c r="J204" s="68" t="inlineStr">
        <is>
          <t>—</t>
        </is>
      </c>
      <c r="K204" s="67" t="inlineStr">
        <is>
          <t>●</t>
        </is>
      </c>
      <c r="L204" s="67" t="inlineStr">
        <is>
          <t>●</t>
        </is>
      </c>
      <c r="M204" s="67" t="inlineStr">
        <is>
          <t>●</t>
        </is>
      </c>
      <c r="N204" s="67" t="inlineStr">
        <is>
          <t>●</t>
        </is>
      </c>
      <c r="O204" s="67" t="inlineStr">
        <is>
          <t>●</t>
        </is>
      </c>
      <c r="P204" s="67" t="inlineStr">
        <is>
          <t>●</t>
        </is>
      </c>
      <c r="Q204" s="67" t="inlineStr">
        <is>
          <t>●</t>
        </is>
      </c>
      <c r="R204" s="67" t="inlineStr">
        <is>
          <t>●</t>
        </is>
      </c>
      <c r="S204" s="68" t="inlineStr">
        <is>
          <t>—</t>
        </is>
      </c>
      <c r="T204" s="68" t="inlineStr">
        <is>
          <t>—</t>
        </is>
      </c>
      <c r="U204" s="68" t="inlineStr">
        <is>
          <t>—</t>
        </is>
      </c>
      <c r="V204" s="68" t="inlineStr">
        <is>
          <t>Lue par l'IA pour adapter le conseil</t>
        </is>
      </c>
      <c r="W204" s="83" t="inlineStr">
        <is>
          <t>Nouveau : profils et condition proposés, à valider</t>
        </is>
      </c>
    </row>
  </sheetData>
  <autoFilter ref="A1:W204"/>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1"/>
  </sheetPr>
  <dimension ref="A1:N127"/>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8" customWidth="1" style="52" min="1" max="1"/>
    <col width="18" customWidth="1" style="52" min="2" max="2"/>
    <col width="30" customWidth="1" style="52" min="3" max="3"/>
    <col width="46" customWidth="1" style="52" min="4" max="4"/>
    <col width="30" customWidth="1" style="52" min="5" max="5"/>
    <col width="6.51" customWidth="1" style="52" min="6" max="12"/>
    <col width="30" customWidth="1" style="52" min="13" max="13"/>
    <col width="50" customWidth="1" style="52" min="14" max="14"/>
  </cols>
  <sheetData>
    <row r="1" ht="31.5" customHeight="1" s="53">
      <c r="A1" s="75" t="inlineStr">
        <is>
          <t>Code</t>
        </is>
      </c>
      <c r="B1" s="75" t="inlineStr">
        <is>
          <t>Agent</t>
        </is>
      </c>
      <c r="C1" s="75" t="inlineStr">
        <is>
          <t>Croisement</t>
        </is>
      </c>
      <c r="D1" s="75" t="inlineStr">
        <is>
          <t>Calcul</t>
        </is>
      </c>
      <c r="E1" s="75" t="inlineStr">
        <is>
          <t>Données utilisées</t>
        </is>
      </c>
      <c r="F1" s="75" t="inlineStr">
        <is>
          <t>RDV</t>
        </is>
      </c>
      <c r="G1" s="75" t="inlineStr">
        <is>
          <t>Commerce</t>
        </is>
      </c>
      <c r="H1" s="75" t="inlineStr">
        <is>
          <t>E-commerce</t>
        </is>
      </c>
      <c r="I1" s="75" t="inlineStr">
        <is>
          <t>Restaurant</t>
        </is>
      </c>
      <c r="J1" s="75" t="inlineStr">
        <is>
          <t>Chantier</t>
        </is>
      </c>
      <c r="K1" s="75" t="inlineStr">
        <is>
          <t>B2B</t>
        </is>
      </c>
      <c r="L1" s="75" t="inlineStr">
        <is>
          <t>Abonnement</t>
        </is>
      </c>
      <c r="M1" s="75" t="inlineStr">
        <is>
          <t>Hypothèse externe</t>
        </is>
      </c>
      <c r="N1" s="75" t="inlineStr">
        <is>
          <t>Phrase de rapport</t>
        </is>
      </c>
    </row>
    <row r="2" ht="23.85" customHeight="1" s="53">
      <c r="A2" s="81" t="inlineStr">
        <is>
          <t>XA01</t>
        </is>
      </c>
      <c r="B2" s="68" t="inlineStr">
        <is>
          <t>Acquisition &amp; CA</t>
        </is>
      </c>
      <c r="C2" s="65" t="inlineStr">
        <is>
          <t>Valeur d'une demande</t>
        </is>
      </c>
      <c r="D2" s="68" t="inlineStr">
        <is>
          <t>Taux de transformation × montant du premier achat</t>
        </is>
      </c>
      <c r="E2" s="68" t="inlineStr">
        <is>
          <t>ACQ-02.09</t>
        </is>
      </c>
      <c r="F2" s="67" t="inlineStr">
        <is>
          <t>●</t>
        </is>
      </c>
      <c r="G2" s="67" t="inlineStr">
        <is>
          <t>●</t>
        </is>
      </c>
      <c r="H2" s="67" t="inlineStr">
        <is>
          <t>●</t>
        </is>
      </c>
      <c r="I2" s="67" t="inlineStr">
        <is>
          <t>●</t>
        </is>
      </c>
      <c r="J2" s="67" t="inlineStr">
        <is>
          <t>●</t>
        </is>
      </c>
      <c r="K2" s="67" t="inlineStr">
        <is>
          <t>●</t>
        </is>
      </c>
      <c r="L2" s="67" t="inlineStr">
        <is>
          <t>●</t>
        </is>
      </c>
      <c r="M2" s="68" t="inlineStr">
        <is>
          <t>Aucune</t>
        </is>
      </c>
      <c r="N2" s="68" t="inlineStr">
        <is>
          <t>« Chaque demande que vous recevez vaut en moyenne X €. »</t>
        </is>
      </c>
    </row>
    <row r="3" ht="35.05" customHeight="1" s="53">
      <c r="A3" s="81" t="inlineStr">
        <is>
          <t>XA02</t>
        </is>
      </c>
      <c r="B3" s="68" t="inlineStr">
        <is>
          <t>Acquisition &amp; CA</t>
        </is>
      </c>
      <c r="C3" s="65" t="inlineStr">
        <is>
          <t>Étape qui bloque le parcours</t>
        </is>
      </c>
      <c r="D3" s="68" t="inlineStr">
        <is>
          <t>Taux de chaque étape (qualifiée, rendez-vous, présence, devis, signature) comparé au secteur ; l'écart le plus grand désigne l'étape qui bloque</t>
        </is>
      </c>
      <c r="E3" s="68" t="inlineStr">
        <is>
          <t>ACQ-02.07, ACQ-02.08, ACQ-09.09, ACQ-09.11, ACQ-10.13, ACQ-11.19, ACQ-11.24, ACQ-11.28</t>
        </is>
      </c>
      <c r="F3" s="67" t="inlineStr">
        <is>
          <t>●</t>
        </is>
      </c>
      <c r="G3" s="67" t="inlineStr">
        <is>
          <t>●</t>
        </is>
      </c>
      <c r="H3" s="67" t="inlineStr">
        <is>
          <t>●</t>
        </is>
      </c>
      <c r="I3" s="67" t="inlineStr">
        <is>
          <t>●</t>
        </is>
      </c>
      <c r="J3" s="67" t="inlineStr">
        <is>
          <t>●</t>
        </is>
      </c>
      <c r="K3" s="67" t="inlineStr">
        <is>
          <t>●</t>
        </is>
      </c>
      <c r="L3" s="67" t="inlineStr">
        <is>
          <t>●</t>
        </is>
      </c>
      <c r="M3" s="68" t="inlineStr">
        <is>
          <t>Taux de référence du secteur (seuil Marché)</t>
        </is>
      </c>
      <c r="N3" s="68" t="inlineStr">
        <is>
          <t>« Vous recevez assez de demandes, mais c'est l'étape devis → signature qui bloque : X % contre Y % dans votre secteur. »</t>
        </is>
      </c>
    </row>
    <row r="4" ht="23.85" customHeight="1" s="53">
      <c r="A4" s="81" t="inlineStr">
        <is>
          <t>XA03</t>
        </is>
      </c>
      <c r="B4" s="68" t="inlineStr">
        <is>
          <t>Acquisition &amp; CA</t>
        </is>
      </c>
      <c r="C4" s="65" t="inlineStr">
        <is>
          <t>Gain si l'étape qui bloque rejoint le secteur</t>
        </is>
      </c>
      <c r="D4" s="68" t="inlineStr">
        <is>
          <t>Volume entrant à cette étape × (taux du secteur − votre taux) × panier</t>
        </is>
      </c>
      <c r="E4" s="68" t="inlineStr">
        <is>
          <t>ACQ-02.01, ACQ-11.19, ACQ-11.03, ACQ-15.06</t>
        </is>
      </c>
      <c r="F4" s="67" t="inlineStr">
        <is>
          <t>●</t>
        </is>
      </c>
      <c r="G4" s="67" t="inlineStr">
        <is>
          <t>●</t>
        </is>
      </c>
      <c r="H4" s="67" t="inlineStr">
        <is>
          <t>●</t>
        </is>
      </c>
      <c r="I4" s="67" t="inlineStr">
        <is>
          <t>●</t>
        </is>
      </c>
      <c r="J4" s="67" t="inlineStr">
        <is>
          <t>●</t>
        </is>
      </c>
      <c r="K4" s="67" t="inlineStr">
        <is>
          <t>●</t>
        </is>
      </c>
      <c r="L4" s="67" t="inlineStr">
        <is>
          <t>●</t>
        </is>
      </c>
      <c r="M4" s="68" t="inlineStr">
        <is>
          <t>Taux de référence du secteur (seuil Marché)</t>
        </is>
      </c>
      <c r="N4" s="68" t="inlineStr">
        <is>
          <t>« Rejoindre la moyenne de votre secteur sur cette étape rapporterait environ X € par mois. »</t>
        </is>
      </c>
    </row>
    <row r="5" ht="23.85" customHeight="1" s="53">
      <c r="A5" s="81" t="inlineStr">
        <is>
          <t>XA04</t>
        </is>
      </c>
      <c r="B5" s="68" t="inlineStr">
        <is>
          <t>Acquisition &amp; CA</t>
        </is>
      </c>
      <c r="C5" s="65" t="inlineStr">
        <is>
          <t>Demandes et appels sans réponse</t>
        </is>
      </c>
      <c r="D5" s="68" t="inlineStr">
        <is>
          <t>(Demandes sans réponse + appels non rappelés) × valeur d'une demande × 12</t>
        </is>
      </c>
      <c r="E5" s="68" t="inlineStr">
        <is>
          <t>ACQ-08.09</t>
        </is>
      </c>
      <c r="F5" s="67" t="inlineStr">
        <is>
          <t>●</t>
        </is>
      </c>
      <c r="G5" s="67" t="inlineStr">
        <is>
          <t>●</t>
        </is>
      </c>
      <c r="H5" s="67" t="inlineStr">
        <is>
          <t>●</t>
        </is>
      </c>
      <c r="I5" s="67" t="inlineStr">
        <is>
          <t>●</t>
        </is>
      </c>
      <c r="J5" s="67" t="inlineStr">
        <is>
          <t>●</t>
        </is>
      </c>
      <c r="K5" s="67" t="inlineStr">
        <is>
          <t>●</t>
        </is>
      </c>
      <c r="L5" s="67" t="inlineStr">
        <is>
          <t>●</t>
        </is>
      </c>
      <c r="M5" s="68" t="inlineStr">
        <is>
          <t>Aucune</t>
        </is>
      </c>
      <c r="N5" s="68" t="inlineStr">
        <is>
          <t>« Vous perdez environ X € par an à cause des demandes et des appels auxquels vous ne répondez pas. »</t>
        </is>
      </c>
    </row>
    <row r="6" ht="23.85" customHeight="1" s="53">
      <c r="A6" s="81" t="inlineStr">
        <is>
          <t>XA05</t>
        </is>
      </c>
      <c r="B6" s="68" t="inlineStr">
        <is>
          <t>Acquisition &amp; CA</t>
        </is>
      </c>
      <c r="C6" s="65" t="inlineStr">
        <is>
          <t>Coût de chaque motif de perte</t>
        </is>
      </c>
      <c r="D6" s="68" t="inlineStr">
        <is>
          <t>Demandes perdues de chaque motif × valeur d'une demande</t>
        </is>
      </c>
      <c r="E6" s="68" t="inlineStr">
        <is>
          <t>ACQ-22.10, ACQ-02.09</t>
        </is>
      </c>
      <c r="F6" s="67" t="inlineStr">
        <is>
          <t>●</t>
        </is>
      </c>
      <c r="G6" s="67" t="inlineStr">
        <is>
          <t>●</t>
        </is>
      </c>
      <c r="H6" s="67" t="inlineStr">
        <is>
          <t>●</t>
        </is>
      </c>
      <c r="I6" s="67" t="inlineStr">
        <is>
          <t>●</t>
        </is>
      </c>
      <c r="J6" s="67" t="inlineStr">
        <is>
          <t>●</t>
        </is>
      </c>
      <c r="K6" s="67" t="inlineStr">
        <is>
          <t>●</t>
        </is>
      </c>
      <c r="L6" s="67" t="inlineStr">
        <is>
          <t>●</t>
        </is>
      </c>
      <c r="M6" s="68" t="inlineStr">
        <is>
          <t>Aucune</t>
        </is>
      </c>
      <c r="N6" s="68" t="inlineStr">
        <is>
          <t>« Le manque de créneaux vous coûte environ X € par mois, les délais trop longs Y €. »</t>
        </is>
      </c>
    </row>
    <row r="7" ht="23.85" customHeight="1" s="53">
      <c r="A7" s="81" t="inlineStr">
        <is>
          <t>XA06</t>
        </is>
      </c>
      <c r="B7" s="68" t="inlineStr">
        <is>
          <t>Acquisition &amp; CA</t>
        </is>
      </c>
      <c r="C7" s="65" t="inlineStr">
        <is>
          <t>Jour d'ouverture supplémentaire</t>
        </is>
      </c>
      <c r="D7" s="68" t="inlineStr">
        <is>
          <t>Demandes des jours fermés × 4,33 × valeur d'une demande</t>
        </is>
      </c>
      <c r="E7" s="68" t="inlineStr">
        <is>
          <t>ACQ-22.15</t>
        </is>
      </c>
      <c r="F7" s="67" t="inlineStr">
        <is>
          <t>●</t>
        </is>
      </c>
      <c r="G7" s="67" t="inlineStr">
        <is>
          <t>●</t>
        </is>
      </c>
      <c r="H7" s="67" t="n"/>
      <c r="I7" s="67" t="inlineStr">
        <is>
          <t>●</t>
        </is>
      </c>
      <c r="J7" s="67" t="inlineStr">
        <is>
          <t>●</t>
        </is>
      </c>
      <c r="K7" s="67" t="inlineStr">
        <is>
          <t>●</t>
        </is>
      </c>
      <c r="L7" s="67" t="inlineStr">
        <is>
          <t>●</t>
        </is>
      </c>
      <c r="M7" s="68" t="inlineStr">
        <is>
          <t>Aucune</t>
        </is>
      </c>
      <c r="N7" s="68" t="inlineStr">
        <is>
          <t>« Ouvrir le samedi représenterait environ X € de CA par mois, à comparer au coût d'une journée (agent Finance). »</t>
        </is>
      </c>
    </row>
    <row r="8" ht="23.85" customHeight="1" s="53">
      <c r="A8" s="81" t="inlineStr">
        <is>
          <t>XA07</t>
        </is>
      </c>
      <c r="B8" s="68" t="inlineStr">
        <is>
          <t>Acquisition &amp; CA</t>
        </is>
      </c>
      <c r="C8" s="65" t="inlineStr">
        <is>
          <t>Créneaux vides</t>
        </is>
      </c>
      <c r="D8" s="68" t="inlineStr">
        <is>
          <t>(Créneaux disponibles − occupés) × 4,33 × panier moyen</t>
        </is>
      </c>
      <c r="E8" s="68" t="inlineStr">
        <is>
          <t>ACQ-22.13, ACQ-22.12</t>
        </is>
      </c>
      <c r="F8" s="67" t="inlineStr">
        <is>
          <t>●</t>
        </is>
      </c>
      <c r="G8" s="67" t="n"/>
      <c r="H8" s="67" t="n"/>
      <c r="I8" s="67" t="n"/>
      <c r="J8" s="67" t="n"/>
      <c r="K8" s="67" t="n"/>
      <c r="L8" s="67" t="n"/>
      <c r="M8" s="68" t="inlineStr">
        <is>
          <t>Aucune</t>
        </is>
      </c>
      <c r="N8" s="68" t="inlineStr">
        <is>
          <t>« Votre planning n'est rempli qu'à X %, soit environ Y € de capacité inutilisée par mois. »</t>
        </is>
      </c>
    </row>
    <row r="9" ht="23.85" customHeight="1" s="53">
      <c r="A9" s="81" t="inlineStr">
        <is>
          <t>XA08</t>
        </is>
      </c>
      <c r="B9" s="68" t="inlineStr">
        <is>
          <t>Acquisition &amp; CA</t>
        </is>
      </c>
      <c r="C9" s="65" t="inlineStr">
        <is>
          <t>Clients nécessaires pour l'objectif</t>
        </is>
      </c>
      <c r="D9" s="68" t="inlineStr">
        <is>
          <t>(CA mensuel × objectif) ÷ panier moyen</t>
        </is>
      </c>
      <c r="E9" s="68" t="inlineStr">
        <is>
          <t>Inscription · CA mensuel, Inscription · objectif chiffré, ACQ-15.06</t>
        </is>
      </c>
      <c r="F9" s="67" t="inlineStr">
        <is>
          <t>●</t>
        </is>
      </c>
      <c r="G9" s="67" t="inlineStr">
        <is>
          <t>●</t>
        </is>
      </c>
      <c r="H9" s="67" t="inlineStr">
        <is>
          <t>●</t>
        </is>
      </c>
      <c r="I9" s="67" t="inlineStr">
        <is>
          <t>●</t>
        </is>
      </c>
      <c r="J9" s="67" t="inlineStr">
        <is>
          <t>●</t>
        </is>
      </c>
      <c r="K9" s="67" t="inlineStr">
        <is>
          <t>●</t>
        </is>
      </c>
      <c r="L9" s="67" t="inlineStr">
        <is>
          <t>●</t>
        </is>
      </c>
      <c r="M9" s="68" t="inlineStr">
        <is>
          <t>Aucune</t>
        </is>
      </c>
      <c r="N9" s="68" t="inlineStr">
        <is>
          <t>« Pour atteindre +15 %, il vous faut environ X clients de plus par mois. »</t>
        </is>
      </c>
    </row>
    <row r="10" ht="23.85" customHeight="1" s="53">
      <c r="A10" s="81" t="inlineStr">
        <is>
          <t>XA09</t>
        </is>
      </c>
      <c r="B10" s="68" t="inlineStr">
        <is>
          <t>Acquisition &amp; CA</t>
        </is>
      </c>
      <c r="C10" s="65" t="inlineStr">
        <is>
          <t>Demandes nécessaires pour l'objectif</t>
        </is>
      </c>
      <c r="D10" s="68" t="inlineStr">
        <is>
          <t>Clients nécessaires ÷ taux de transformation</t>
        </is>
      </c>
      <c r="E10" s="68" t="inlineStr">
        <is>
          <t>Inscription · objectif chiffré, ACQ-15.06, ACQ-11.19</t>
        </is>
      </c>
      <c r="F10" s="67" t="inlineStr">
        <is>
          <t>●</t>
        </is>
      </c>
      <c r="G10" s="67" t="n"/>
      <c r="H10" s="67" t="inlineStr">
        <is>
          <t>●</t>
        </is>
      </c>
      <c r="I10" s="67" t="n"/>
      <c r="J10" s="67" t="inlineStr">
        <is>
          <t>●</t>
        </is>
      </c>
      <c r="K10" s="67" t="inlineStr">
        <is>
          <t>●</t>
        </is>
      </c>
      <c r="L10" s="67" t="inlineStr">
        <is>
          <t>●</t>
        </is>
      </c>
      <c r="M10" s="68" t="inlineStr">
        <is>
          <t>Aucune</t>
        </is>
      </c>
      <c r="N10" s="68" t="inlineStr">
        <is>
          <t>« Soit X demandes de plus par mois, à taux de transformation constant. »</t>
        </is>
      </c>
    </row>
    <row r="11" ht="15" customHeight="1" s="53">
      <c r="A11" s="81" t="inlineStr">
        <is>
          <t>XA10</t>
        </is>
      </c>
      <c r="B11" s="68" t="inlineStr">
        <is>
          <t>Acquisition &amp; CA</t>
        </is>
      </c>
      <c r="C11" s="65" t="inlineStr">
        <is>
          <t>Coût d'un client par canal</t>
        </is>
      </c>
      <c r="D11" s="68" t="inlineStr">
        <is>
          <t>Dépense du canal ÷ nouveaux clients du canal</t>
        </is>
      </c>
      <c r="E11" s="68" t="inlineStr">
        <is>
          <t>ACQ-03.10</t>
        </is>
      </c>
      <c r="F11" s="67" t="inlineStr">
        <is>
          <t>●</t>
        </is>
      </c>
      <c r="G11" s="67" t="inlineStr">
        <is>
          <t>●</t>
        </is>
      </c>
      <c r="H11" s="67" t="inlineStr">
        <is>
          <t>●</t>
        </is>
      </c>
      <c r="I11" s="67" t="inlineStr">
        <is>
          <t>●</t>
        </is>
      </c>
      <c r="J11" s="67" t="inlineStr">
        <is>
          <t>●</t>
        </is>
      </c>
      <c r="K11" s="67" t="inlineStr">
        <is>
          <t>●</t>
        </is>
      </c>
      <c r="L11" s="67" t="inlineStr">
        <is>
          <t>●</t>
        </is>
      </c>
      <c r="M11" s="68" t="inlineStr">
        <is>
          <t>Aucune</t>
        </is>
      </c>
      <c r="N11" s="68" t="inlineStr">
        <is>
          <t>« Le canal A vous coûte X € par client, le canal B Y €. »</t>
        </is>
      </c>
    </row>
    <row r="12" ht="35.05" customHeight="1" s="53">
      <c r="A12" s="81" t="inlineStr">
        <is>
          <t>XA11</t>
        </is>
      </c>
      <c r="B12" s="68" t="inlineStr">
        <is>
          <t>Acquisition &amp; CA</t>
        </is>
      </c>
      <c r="C12" s="65" t="inlineStr">
        <is>
          <t>Budget qui coûte plus qu'il ne rapporte</t>
        </is>
      </c>
      <c r="D12" s="68" t="inlineStr">
        <is>
          <t>Part du budget placée sur des canaux dont le coût par client dépasse le panier, ou qui rapportent moins d'1 € par euro dépensé</t>
        </is>
      </c>
      <c r="E12" s="68" t="inlineStr">
        <is>
          <t>ACQ-03.10, ACQ-03.11, ACQ-03.05, ACQ-15.06</t>
        </is>
      </c>
      <c r="F12" s="67" t="inlineStr">
        <is>
          <t>●</t>
        </is>
      </c>
      <c r="G12" s="67" t="inlineStr">
        <is>
          <t>●</t>
        </is>
      </c>
      <c r="H12" s="67" t="inlineStr">
        <is>
          <t>●</t>
        </is>
      </c>
      <c r="I12" s="67" t="inlineStr">
        <is>
          <t>●</t>
        </is>
      </c>
      <c r="J12" s="67" t="inlineStr">
        <is>
          <t>●</t>
        </is>
      </c>
      <c r="K12" s="67" t="inlineStr">
        <is>
          <t>●</t>
        </is>
      </c>
      <c r="L12" s="67" t="inlineStr">
        <is>
          <t>●</t>
        </is>
      </c>
      <c r="M12" s="68" t="inlineStr">
        <is>
          <t>Aucune</t>
        </is>
      </c>
      <c r="N12" s="68" t="inlineStr">
        <is>
          <t>« X % de votre budget part dans des canaux qui coûtent plus qu'ils ne rapportent. »</t>
        </is>
      </c>
    </row>
    <row r="13" ht="23.85" customHeight="1" s="53">
      <c r="A13" s="81" t="inlineStr">
        <is>
          <t>XA12</t>
        </is>
      </c>
      <c r="B13" s="68" t="inlineStr">
        <is>
          <t>Acquisition &amp; CA</t>
        </is>
      </c>
      <c r="C13" s="65" t="inlineStr">
        <is>
          <t>Budget aligné sur le canal le plus rentable</t>
        </is>
      </c>
      <c r="D13" s="68" t="inlineStr">
        <is>
          <t>Répartition du budget par canal comparée à la répartition du CA par canal</t>
        </is>
      </c>
      <c r="E13" s="68" t="inlineStr">
        <is>
          <t>ACQ-03.05, ACQ-03.04</t>
        </is>
      </c>
      <c r="F13" s="67" t="inlineStr">
        <is>
          <t>●</t>
        </is>
      </c>
      <c r="G13" s="67" t="inlineStr">
        <is>
          <t>●</t>
        </is>
      </c>
      <c r="H13" s="67" t="inlineStr">
        <is>
          <t>●</t>
        </is>
      </c>
      <c r="I13" s="67" t="inlineStr">
        <is>
          <t>●</t>
        </is>
      </c>
      <c r="J13" s="67" t="inlineStr">
        <is>
          <t>●</t>
        </is>
      </c>
      <c r="K13" s="67" t="inlineStr">
        <is>
          <t>●</t>
        </is>
      </c>
      <c r="L13" s="67" t="inlineStr">
        <is>
          <t>●</t>
        </is>
      </c>
      <c r="M13" s="68" t="inlineStr">
        <is>
          <t>Aucune</t>
        </is>
      </c>
      <c r="N13" s="68" t="inlineStr">
        <is>
          <t>« Vous mettez X % du budget sur le canal A, qui ne fait que Y % de votre CA. »</t>
        </is>
      </c>
    </row>
    <row r="14" ht="15" customHeight="1" s="53">
      <c r="A14" s="81" t="inlineStr">
        <is>
          <t>XA13</t>
        </is>
      </c>
      <c r="B14" s="68" t="inlineStr">
        <is>
          <t>Acquisition &amp; CA</t>
        </is>
      </c>
      <c r="C14" s="65" t="inlineStr">
        <is>
          <t>Dépendance à un canal</t>
        </is>
      </c>
      <c r="D14" s="68" t="inlineStr">
        <is>
          <t>Part des demandes du 1er canal</t>
        </is>
      </c>
      <c r="E14" s="68" t="inlineStr">
        <is>
          <t>ACQ-03.12</t>
        </is>
      </c>
      <c r="F14" s="67" t="inlineStr">
        <is>
          <t>●</t>
        </is>
      </c>
      <c r="G14" s="67" t="inlineStr">
        <is>
          <t>●</t>
        </is>
      </c>
      <c r="H14" s="67" t="inlineStr">
        <is>
          <t>●</t>
        </is>
      </c>
      <c r="I14" s="67" t="inlineStr">
        <is>
          <t>●</t>
        </is>
      </c>
      <c r="J14" s="67" t="inlineStr">
        <is>
          <t>●</t>
        </is>
      </c>
      <c r="K14" s="67" t="inlineStr">
        <is>
          <t>●</t>
        </is>
      </c>
      <c r="L14" s="67" t="inlineStr">
        <is>
          <t>●</t>
        </is>
      </c>
      <c r="M14" s="68" t="inlineStr">
        <is>
          <t>Aucune</t>
        </is>
      </c>
      <c r="N14" s="68" t="inlineStr">
        <is>
          <t>« X % de vos demandes viennent d'un seul canal. »</t>
        </is>
      </c>
    </row>
    <row r="15" ht="23.85" customHeight="1" s="53">
      <c r="A15" s="81" t="inlineStr">
        <is>
          <t>XA14</t>
        </is>
      </c>
      <c r="B15" s="68" t="inlineStr">
        <is>
          <t>Acquisition &amp; CA</t>
        </is>
      </c>
      <c r="C15" s="65" t="inlineStr">
        <is>
          <t>Dépendance aux gros clients</t>
        </is>
      </c>
      <c r="D15" s="68" t="inlineStr">
        <is>
          <t>Part du CA des 3 et 5 premiers clients, et CA exposé sans engagement</t>
        </is>
      </c>
      <c r="E15" s="68" t="inlineStr">
        <is>
          <t>ACQ-16.05, ACQ-16.06, ACQ-16.07</t>
        </is>
      </c>
      <c r="F15" s="67" t="n"/>
      <c r="G15" s="67" t="n"/>
      <c r="H15" s="67" t="n"/>
      <c r="I15" s="67" t="n"/>
      <c r="J15" s="67" t="inlineStr">
        <is>
          <t>●</t>
        </is>
      </c>
      <c r="K15" s="67" t="inlineStr">
        <is>
          <t>●</t>
        </is>
      </c>
      <c r="L15" s="67" t="inlineStr">
        <is>
          <t>●</t>
        </is>
      </c>
      <c r="M15" s="68" t="inlineStr">
        <is>
          <t>Aucune</t>
        </is>
      </c>
      <c r="N15" s="68" t="inlineStr">
        <is>
          <t>« X % de votre CA dépend de trois clients, dont Y € sans aucun engagement. »</t>
        </is>
      </c>
    </row>
    <row r="16" ht="23.85" customHeight="1" s="53">
      <c r="A16" s="81" t="inlineStr">
        <is>
          <t>XA15</t>
        </is>
      </c>
      <c r="B16" s="68" t="inlineStr">
        <is>
          <t>Acquisition &amp; CA</t>
        </is>
      </c>
      <c r="C16" s="65" t="inlineStr">
        <is>
          <t>Valeur réelle des partenariats</t>
        </is>
      </c>
      <c r="D16" s="68" t="inlineStr">
        <is>
          <t>Contacts apportés × transformation × panier − commissions</t>
        </is>
      </c>
      <c r="E16" s="68" t="inlineStr">
        <is>
          <t>ACQ-05.09, ACQ-05.08</t>
        </is>
      </c>
      <c r="F16" s="67" t="inlineStr">
        <is>
          <t>●</t>
        </is>
      </c>
      <c r="G16" s="67" t="inlineStr">
        <is>
          <t>●</t>
        </is>
      </c>
      <c r="H16" s="67" t="inlineStr">
        <is>
          <t>●</t>
        </is>
      </c>
      <c r="I16" s="67" t="inlineStr">
        <is>
          <t>●</t>
        </is>
      </c>
      <c r="J16" s="67" t="inlineStr">
        <is>
          <t>●</t>
        </is>
      </c>
      <c r="K16" s="67" t="inlineStr">
        <is>
          <t>●</t>
        </is>
      </c>
      <c r="L16" s="67" t="inlineStr">
        <is>
          <t>●</t>
        </is>
      </c>
      <c r="M16" s="68" t="inlineStr">
        <is>
          <t>Aucune</t>
        </is>
      </c>
      <c r="N16" s="68" t="inlineStr">
        <is>
          <t>« Vos partenaires vous rapportent X € nets par an, dont Y % grâce à un seul. »</t>
        </is>
      </c>
    </row>
    <row r="17" ht="35.05" customHeight="1" s="53">
      <c r="A17" s="81" t="inlineStr">
        <is>
          <t>XA16</t>
        </is>
      </c>
      <c r="B17" s="68" t="inlineStr">
        <is>
          <t>Acquisition &amp; CA</t>
        </is>
      </c>
      <c r="C17" s="65" t="inlineStr">
        <is>
          <t>Potentiel de fidélisation</t>
        </is>
      </c>
      <c r="D17" s="68" t="inlineStr">
        <is>
          <t>Clients actifs × 10 % × achats par an × panier moyen</t>
        </is>
      </c>
      <c r="E17" s="68" t="inlineStr">
        <is>
          <t>ACQ-17.20, ACQ-17.02, ACQ-17.19, ACQ-17.04, ACQ-17.08</t>
        </is>
      </c>
      <c r="F17" s="67" t="inlineStr">
        <is>
          <t>●</t>
        </is>
      </c>
      <c r="G17" s="67" t="inlineStr">
        <is>
          <t>●</t>
        </is>
      </c>
      <c r="H17" s="67" t="inlineStr">
        <is>
          <t>●</t>
        </is>
      </c>
      <c r="I17" s="67" t="n"/>
      <c r="J17" s="67" t="inlineStr">
        <is>
          <t>●</t>
        </is>
      </c>
      <c r="K17" s="67" t="inlineStr">
        <is>
          <t>●</t>
        </is>
      </c>
      <c r="L17" s="67" t="n"/>
      <c r="M17" s="68" t="inlineStr">
        <is>
          <t>Aucune</t>
        </is>
      </c>
      <c r="N17" s="68" t="inlineStr">
        <is>
          <t>« Vos clients dépensent X € par an mais seulement Y % reviennent : 10 % de clients fidèles en plus représenteraient environ Z €. »</t>
        </is>
      </c>
    </row>
    <row r="18" ht="23.85" customHeight="1" s="53">
      <c r="A18" s="81" t="inlineStr">
        <is>
          <t>XA17</t>
        </is>
      </c>
      <c r="B18" s="68" t="inlineStr">
        <is>
          <t>Acquisition &amp; CA</t>
        </is>
      </c>
      <c r="C18" s="65" t="inlineStr">
        <is>
          <t>Reconquête des anciens clients</t>
        </is>
      </c>
      <c r="D18" s="68" t="inlineStr">
        <is>
          <t>Clients inactifs × part de retour prudente × panier</t>
        </is>
      </c>
      <c r="E18" s="68" t="inlineStr">
        <is>
          <t>ACQ-17.21, ACQ-17.16</t>
        </is>
      </c>
      <c r="F18" s="67" t="inlineStr">
        <is>
          <t>●</t>
        </is>
      </c>
      <c r="G18" s="67" t="inlineStr">
        <is>
          <t>●</t>
        </is>
      </c>
      <c r="H18" s="67" t="inlineStr">
        <is>
          <t>●</t>
        </is>
      </c>
      <c r="I18" s="67" t="n"/>
      <c r="J18" s="67" t="inlineStr">
        <is>
          <t>●</t>
        </is>
      </c>
      <c r="K18" s="67" t="inlineStr">
        <is>
          <t>●</t>
        </is>
      </c>
      <c r="L18" s="67" t="n"/>
      <c r="M18" s="68" t="inlineStr">
        <is>
          <t>Part récupérable prudente, à sourcer</t>
        </is>
      </c>
      <c r="N18" s="68" t="inlineStr">
        <is>
          <t>« X anciens clients n'ont rien acheté depuis un an ; en faire revenir une petite part représente environ Y €. »</t>
        </is>
      </c>
    </row>
    <row r="19" ht="23.85" customHeight="1" s="53">
      <c r="A19" s="81" t="inlineStr">
        <is>
          <t>XA18</t>
        </is>
      </c>
      <c r="B19" s="68" t="inlineStr">
        <is>
          <t>Acquisition &amp; CA</t>
        </is>
      </c>
      <c r="C19" s="65" t="inlineStr">
        <is>
          <t>Ce qu'un client rapporte face à ce qu'il coûte</t>
        </is>
      </c>
      <c r="D19" s="68" t="inlineStr">
        <is>
          <t>Valeur d'un client sur la relation ÷ coût d'acquisition</t>
        </is>
      </c>
      <c r="E19" s="68" t="inlineStr">
        <is>
          <t>ACQ-17.18, ACQ-17.25, ACQ-07.11</t>
        </is>
      </c>
      <c r="F19" s="67" t="inlineStr">
        <is>
          <t>●</t>
        </is>
      </c>
      <c r="G19" s="67" t="n"/>
      <c r="H19" s="67" t="inlineStr">
        <is>
          <t>●</t>
        </is>
      </c>
      <c r="I19" s="67" t="n"/>
      <c r="J19" s="67" t="inlineStr">
        <is>
          <t>●</t>
        </is>
      </c>
      <c r="K19" s="67" t="inlineStr">
        <is>
          <t>●</t>
        </is>
      </c>
      <c r="L19" s="67" t="inlineStr">
        <is>
          <t>●</t>
        </is>
      </c>
      <c r="M19" s="68" t="inlineStr">
        <is>
          <t>Aucune</t>
        </is>
      </c>
      <c r="N19" s="68" t="inlineStr">
        <is>
          <t>« Un client vous coûte X € à acquérir et vous rapporte Y € sur toute la relation. »</t>
        </is>
      </c>
    </row>
    <row r="20" ht="23.85" customHeight="1" s="53">
      <c r="A20" s="81" t="inlineStr">
        <is>
          <t>XA19</t>
        </is>
      </c>
      <c r="B20" s="68" t="inlineStr">
        <is>
          <t>Acquisition &amp; CA</t>
        </is>
      </c>
      <c r="C20" s="65" t="inlineStr">
        <is>
          <t>Ventes complémentaires</t>
        </is>
      </c>
      <c r="D20" s="68" t="inlineStr">
        <is>
          <t>Ventes sans complément × part d'acceptation prudente × montant du complément</t>
        </is>
      </c>
      <c r="E20" s="68" t="inlineStr">
        <is>
          <t>ACQ-15.08</t>
        </is>
      </c>
      <c r="F20" s="67" t="inlineStr">
        <is>
          <t>●</t>
        </is>
      </c>
      <c r="G20" s="67" t="inlineStr">
        <is>
          <t>●</t>
        </is>
      </c>
      <c r="H20" s="67" t="inlineStr">
        <is>
          <t>●</t>
        </is>
      </c>
      <c r="I20" s="67" t="inlineStr">
        <is>
          <t>●</t>
        </is>
      </c>
      <c r="J20" s="67" t="inlineStr">
        <is>
          <t>●</t>
        </is>
      </c>
      <c r="K20" s="67" t="inlineStr">
        <is>
          <t>●</t>
        </is>
      </c>
      <c r="L20" s="67" t="inlineStr">
        <is>
          <t>●</t>
        </is>
      </c>
      <c r="M20" s="68" t="inlineStr">
        <is>
          <t>Part récupérable prudente, à sourcer</t>
        </is>
      </c>
      <c r="N20" s="68" t="inlineStr">
        <is>
          <t>« Proposer votre complément à chaque client représenterait environ X € par an. »</t>
        </is>
      </c>
    </row>
    <row r="21" ht="15" customHeight="1" s="53">
      <c r="A21" s="81" t="inlineStr">
        <is>
          <t>XA20</t>
        </is>
      </c>
      <c r="B21" s="68" t="inlineStr">
        <is>
          <t>Acquisition &amp; CA</t>
        </is>
      </c>
      <c r="C21" s="65" t="inlineStr">
        <is>
          <t>Coût des remises</t>
        </is>
      </c>
      <c r="D21" s="68" t="inlineStr">
        <is>
          <t>CA × part des ventes remisées × remise moyenne</t>
        </is>
      </c>
      <c r="E21" s="68" t="inlineStr">
        <is>
          <t>ACQ-14.05</t>
        </is>
      </c>
      <c r="F21" s="67" t="inlineStr">
        <is>
          <t>●</t>
        </is>
      </c>
      <c r="G21" s="67" t="inlineStr">
        <is>
          <t>●</t>
        </is>
      </c>
      <c r="H21" s="67" t="inlineStr">
        <is>
          <t>●</t>
        </is>
      </c>
      <c r="I21" s="67" t="inlineStr">
        <is>
          <t>●</t>
        </is>
      </c>
      <c r="J21" s="67" t="inlineStr">
        <is>
          <t>●</t>
        </is>
      </c>
      <c r="K21" s="67" t="inlineStr">
        <is>
          <t>●</t>
        </is>
      </c>
      <c r="L21" s="67" t="inlineStr">
        <is>
          <t>●</t>
        </is>
      </c>
      <c r="M21" s="68" t="inlineStr">
        <is>
          <t>Aucune</t>
        </is>
      </c>
      <c r="N21" s="68" t="inlineStr">
        <is>
          <t>« Vos remises vous coûtent environ X € par an. »</t>
        </is>
      </c>
    </row>
    <row r="22" ht="35.05" customHeight="1" s="53">
      <c r="A22" s="81" t="inlineStr">
        <is>
          <t>XA21</t>
        </is>
      </c>
      <c r="B22" s="68" t="inlineStr">
        <is>
          <t>Acquisition &amp; CA</t>
        </is>
      </c>
      <c r="C22" s="65" t="inlineStr">
        <is>
          <t>Hausse de prix</t>
        </is>
      </c>
      <c r="D22" s="68" t="inlineStr">
        <is>
          <t>CA × hausse envisagée, seulement si le planning est plein ou si les prix sont sous la concurrence</t>
        </is>
      </c>
      <c r="E22" s="68" t="inlineStr">
        <is>
          <t>ACQ-13.10, ACQ-19.01, ACQ-13.08</t>
        </is>
      </c>
      <c r="F22" s="67" t="inlineStr">
        <is>
          <t>●</t>
        </is>
      </c>
      <c r="G22" s="67" t="inlineStr">
        <is>
          <t>●</t>
        </is>
      </c>
      <c r="H22" s="67" t="inlineStr">
        <is>
          <t>●</t>
        </is>
      </c>
      <c r="I22" s="67" t="inlineStr">
        <is>
          <t>●</t>
        </is>
      </c>
      <c r="J22" s="67" t="inlineStr">
        <is>
          <t>●</t>
        </is>
      </c>
      <c r="K22" s="67" t="inlineStr">
        <is>
          <t>●</t>
        </is>
      </c>
      <c r="L22" s="67" t="inlineStr">
        <is>
          <t>●</t>
        </is>
      </c>
      <c r="M22" s="68" t="inlineStr">
        <is>
          <t>Aucune</t>
        </is>
      </c>
      <c r="N22" s="68" t="inlineStr">
        <is>
          <t>« Votre planning est plein sur X semaines et vos prix sont Y % sous vos concurrents : une hausse de 5 % représenterait Z €. »</t>
        </is>
      </c>
    </row>
    <row r="23" ht="23.85" customHeight="1" s="53">
      <c r="A23" s="81" t="inlineStr">
        <is>
          <t>XA22</t>
        </is>
      </c>
      <c r="B23" s="68" t="inlineStr">
        <is>
          <t>Acquisition &amp; CA</t>
        </is>
      </c>
      <c r="C23" s="65" t="inlineStr">
        <is>
          <t>Devis en attente</t>
        </is>
      </c>
      <c r="D23" s="68" t="inlineStr">
        <is>
          <t>Montant en attente × taux d'acceptation en montant</t>
        </is>
      </c>
      <c r="E23" s="68" t="inlineStr">
        <is>
          <t>ACQ-10.17</t>
        </is>
      </c>
      <c r="F23" s="67" t="n"/>
      <c r="G23" s="67" t="n"/>
      <c r="H23" s="67" t="n"/>
      <c r="I23" s="67" t="n"/>
      <c r="J23" s="67" t="inlineStr">
        <is>
          <t>●</t>
        </is>
      </c>
      <c r="K23" s="67" t="inlineStr">
        <is>
          <t>●</t>
        </is>
      </c>
      <c r="L23" s="67" t="n"/>
      <c r="M23" s="68" t="inlineStr">
        <is>
          <t>Aucune</t>
        </is>
      </c>
      <c r="N23" s="68" t="inlineStr">
        <is>
          <t>« X € de devis attendent une réponse ; à votre taux habituel, environ Y € devraient se signer. »</t>
        </is>
      </c>
    </row>
    <row r="24" ht="23.85" customHeight="1" s="53">
      <c r="A24" s="81" t="inlineStr">
        <is>
          <t>XA23</t>
        </is>
      </c>
      <c r="B24" s="68" t="inlineStr">
        <is>
          <t>Acquisition &amp; CA</t>
        </is>
      </c>
      <c r="C24" s="65" t="inlineStr">
        <is>
          <t>Les gros projets vous échappent</t>
        </is>
      </c>
      <c r="D24" s="68" t="inlineStr">
        <is>
          <t>Taux d'acceptation en nombre comparé au taux en montant</t>
        </is>
      </c>
      <c r="E24" s="68" t="inlineStr">
        <is>
          <t>ACQ-10.13, ACQ-10.14, ACQ-10.15</t>
        </is>
      </c>
      <c r="F24" s="67" t="n"/>
      <c r="G24" s="67" t="n"/>
      <c r="H24" s="67" t="n"/>
      <c r="I24" s="67" t="n"/>
      <c r="J24" s="67" t="inlineStr">
        <is>
          <t>●</t>
        </is>
      </c>
      <c r="K24" s="67" t="inlineStr">
        <is>
          <t>●</t>
        </is>
      </c>
      <c r="L24" s="67" t="n"/>
      <c r="M24" s="68" t="inlineStr">
        <is>
          <t>Aucune</t>
        </is>
      </c>
      <c r="N24" s="68" t="inlineStr">
        <is>
          <t>« Vous signez X % de vos devis mais seulement Y % du montant : vous perdez surtout les gros projets. »</t>
        </is>
      </c>
    </row>
    <row r="25" ht="35.05" customHeight="1" s="53">
      <c r="A25" s="81" t="inlineStr">
        <is>
          <t>XA24</t>
        </is>
      </c>
      <c r="B25" s="68" t="inlineStr">
        <is>
          <t>Acquisition &amp; CA</t>
        </is>
      </c>
      <c r="C25" s="65" t="inlineStr">
        <is>
          <t>Gain de la relance des devis</t>
        </is>
      </c>
      <c r="D25" s="68" t="inlineStr">
        <is>
          <t>Devis sans réponse non relancés × part récupérable prudente × montant moyen</t>
        </is>
      </c>
      <c r="E25" s="68" t="inlineStr">
        <is>
          <t>ACQ-10.18, ACQ-10.16</t>
        </is>
      </c>
      <c r="F25" s="67" t="n"/>
      <c r="G25" s="67" t="n"/>
      <c r="H25" s="67" t="n"/>
      <c r="I25" s="67" t="n"/>
      <c r="J25" s="67" t="inlineStr">
        <is>
          <t>●</t>
        </is>
      </c>
      <c r="K25" s="67" t="inlineStr">
        <is>
          <t>●</t>
        </is>
      </c>
      <c r="L25" s="67" t="n"/>
      <c r="M25" s="68" t="inlineStr">
        <is>
          <t>Aucune si vos relances sont mesurées ; sinon part récupérable prudente, à sourcer</t>
        </is>
      </c>
      <c r="N25" s="68" t="inlineStr">
        <is>
          <t>« Relancer vos devis sans réponse pourrait récupérer environ X € par mois. »</t>
        </is>
      </c>
    </row>
    <row r="26" ht="23.85" customHeight="1" s="53">
      <c r="A26" s="81" t="inlineStr">
        <is>
          <t>XA25</t>
        </is>
      </c>
      <c r="B26" s="68" t="inlineStr">
        <is>
          <t>Acquisition &amp; CA</t>
        </is>
      </c>
      <c r="C26" s="65" t="inlineStr">
        <is>
          <t>Absences aux rendez-vous</t>
        </is>
      </c>
      <c r="D26" s="68" t="inlineStr">
        <is>
          <t>Absences par mois × CA moyen par rendez-vous × 12</t>
        </is>
      </c>
      <c r="E26" s="68" t="inlineStr">
        <is>
          <t>ACQ-09.13</t>
        </is>
      </c>
      <c r="F26" s="67" t="inlineStr">
        <is>
          <t>●</t>
        </is>
      </c>
      <c r="G26" s="67" t="n"/>
      <c r="H26" s="67" t="n"/>
      <c r="I26" s="67" t="n"/>
      <c r="J26" s="67" t="inlineStr">
        <is>
          <t>●</t>
        </is>
      </c>
      <c r="K26" s="67" t="inlineStr">
        <is>
          <t>●</t>
        </is>
      </c>
      <c r="L26" s="67" t="n"/>
      <c r="M26" s="68" t="inlineStr">
        <is>
          <t>Aucune</t>
        </is>
      </c>
      <c r="N26" s="68" t="inlineStr">
        <is>
          <t>« Les absences sans prévenir vous coûtent environ X € par an. »</t>
        </is>
      </c>
    </row>
    <row r="27" ht="23.85" customHeight="1" s="53">
      <c r="A27" s="81" t="inlineStr">
        <is>
          <t>XA26</t>
        </is>
      </c>
      <c r="B27" s="68" t="inlineStr">
        <is>
          <t>Acquisition &amp; CA</t>
        </is>
      </c>
      <c r="C27" s="65" t="inlineStr">
        <is>
          <t>CA absorbable par le planning</t>
        </is>
      </c>
      <c r="D27" s="68" t="inlineStr">
        <is>
          <t>Semaines libres sur 3 mois × CA par semaine</t>
        </is>
      </c>
      <c r="E27" s="68" t="inlineStr">
        <is>
          <t>ACQ-19.08</t>
        </is>
      </c>
      <c r="F27" s="67" t="inlineStr">
        <is>
          <t>●</t>
        </is>
      </c>
      <c r="G27" s="67" t="n"/>
      <c r="H27" s="67" t="n"/>
      <c r="I27" s="67" t="n"/>
      <c r="J27" s="67" t="inlineStr">
        <is>
          <t>●</t>
        </is>
      </c>
      <c r="K27" s="67" t="inlineStr">
        <is>
          <t>●</t>
        </is>
      </c>
      <c r="L27" s="67" t="n"/>
      <c r="M27" s="68" t="inlineStr">
        <is>
          <t>Aucune</t>
        </is>
      </c>
      <c r="N27" s="68" t="inlineStr">
        <is>
          <t>« Il vous reste X semaines libres sur 3 mois, soit environ Y € que l'équipe actuelle peut absorber. »</t>
        </is>
      </c>
    </row>
    <row r="28" ht="15" customHeight="1" s="53">
      <c r="A28" s="81" t="inlineStr">
        <is>
          <t>XA27</t>
        </is>
      </c>
      <c r="B28" s="68" t="inlineStr">
        <is>
          <t>Acquisition &amp; CA</t>
        </is>
      </c>
      <c r="C28" s="65" t="inlineStr">
        <is>
          <t>Heures non facturées</t>
        </is>
      </c>
      <c r="D28" s="68" t="inlineStr">
        <is>
          <t>(Heures travaillées − heures facturées) × taux horaire</t>
        </is>
      </c>
      <c r="E28" s="68" t="inlineStr">
        <is>
          <t>ACQ-21.13</t>
        </is>
      </c>
      <c r="F28" s="67" t="inlineStr">
        <is>
          <t>●</t>
        </is>
      </c>
      <c r="G28" s="67" t="n"/>
      <c r="H28" s="67" t="n"/>
      <c r="I28" s="67" t="n"/>
      <c r="J28" s="67" t="inlineStr">
        <is>
          <t>●</t>
        </is>
      </c>
      <c r="K28" s="67" t="inlineStr">
        <is>
          <t>●</t>
        </is>
      </c>
      <c r="L28" s="67" t="n"/>
      <c r="M28" s="68" t="inlineStr">
        <is>
          <t>Aucune</t>
        </is>
      </c>
      <c r="N28" s="68" t="inlineStr">
        <is>
          <t>« X heures par mois ne sont pas facturées, soit environ Y €. »</t>
        </is>
      </c>
    </row>
    <row r="29" ht="23.85" customHeight="1" s="53">
      <c r="A29" s="81" t="inlineStr">
        <is>
          <t>XA28</t>
        </is>
      </c>
      <c r="B29" s="68" t="inlineStr">
        <is>
          <t>Acquisition &amp; CA</t>
        </is>
      </c>
      <c r="C29" s="65" t="inlineStr">
        <is>
          <t>Rentabilité du temps de prospection</t>
        </is>
      </c>
      <c r="D29" s="68" t="inlineStr">
        <is>
          <t>CA issu de la prospection ÷ heures de prospection</t>
        </is>
      </c>
      <c r="E29" s="68" t="inlineStr">
        <is>
          <t>ACQ-04.09</t>
        </is>
      </c>
      <c r="F29" s="67" t="inlineStr">
        <is>
          <t>●</t>
        </is>
      </c>
      <c r="G29" s="67" t="n"/>
      <c r="H29" s="67" t="n"/>
      <c r="I29" s="67" t="n"/>
      <c r="J29" s="67" t="inlineStr">
        <is>
          <t>●</t>
        </is>
      </c>
      <c r="K29" s="67" t="inlineStr">
        <is>
          <t>●</t>
        </is>
      </c>
      <c r="L29" s="67" t="inlineStr">
        <is>
          <t>●</t>
        </is>
      </c>
      <c r="M29" s="68" t="inlineStr">
        <is>
          <t>Aucune</t>
        </is>
      </c>
      <c r="N29" s="68" t="inlineStr">
        <is>
          <t>« Une heure de prospection vous rapporte en moyenne X €. »</t>
        </is>
      </c>
    </row>
    <row r="30" ht="23.85" customHeight="1" s="53">
      <c r="A30" s="81" t="inlineStr">
        <is>
          <t>XA29</t>
        </is>
      </c>
      <c r="B30" s="68" t="inlineStr">
        <is>
          <t>Acquisition &amp; CA</t>
        </is>
      </c>
      <c r="C30" s="65" t="inlineStr">
        <is>
          <t>Manque à gagner des mois creux</t>
        </is>
      </c>
      <c r="D30" s="68" t="inlineStr">
        <is>
          <t>Somme des écarts entre la moyenne et chaque mois creux</t>
        </is>
      </c>
      <c r="E30" s="68" t="inlineStr">
        <is>
          <t>ACQ-23.11, ACQ-23.02</t>
        </is>
      </c>
      <c r="F30" s="67" t="inlineStr">
        <is>
          <t>●</t>
        </is>
      </c>
      <c r="G30" s="67" t="inlineStr">
        <is>
          <t>●</t>
        </is>
      </c>
      <c r="H30" s="67" t="inlineStr">
        <is>
          <t>●</t>
        </is>
      </c>
      <c r="I30" s="67" t="inlineStr">
        <is>
          <t>●</t>
        </is>
      </c>
      <c r="J30" s="67" t="inlineStr">
        <is>
          <t>●</t>
        </is>
      </c>
      <c r="K30" s="67" t="inlineStr">
        <is>
          <t>●</t>
        </is>
      </c>
      <c r="L30" s="67" t="inlineStr">
        <is>
          <t>●</t>
        </is>
      </c>
      <c r="M30" s="68" t="inlineStr">
        <is>
          <t>Aucune</t>
        </is>
      </c>
      <c r="N30" s="68" t="inlineStr">
        <is>
          <t>« Vos mois creux représentent X € de moins que votre moyenne ; la cause déclarée est Y. »</t>
        </is>
      </c>
    </row>
    <row r="31" ht="23.85" customHeight="1" s="53">
      <c r="A31" s="81" t="inlineStr">
        <is>
          <t>XA30</t>
        </is>
      </c>
      <c r="B31" s="68" t="inlineStr">
        <is>
          <t>Acquisition &amp; CA</t>
        </is>
      </c>
      <c r="C31" s="65" t="inlineStr">
        <is>
          <t>Lecture de tendance</t>
        </is>
      </c>
      <c r="D31" s="68" t="inlineStr">
        <is>
          <t>Évolution des demandes, des nouveaux clients, du panier et du CA, comparées entre elles</t>
        </is>
      </c>
      <c r="E31" s="68" t="inlineStr">
        <is>
          <t>ACQ-02.06, ACQ-11.18, ACQ-15.07, ACQ-23.10, ACQ-03.06</t>
        </is>
      </c>
      <c r="F31" s="67" t="inlineStr">
        <is>
          <t>●</t>
        </is>
      </c>
      <c r="G31" s="67" t="inlineStr">
        <is>
          <t>●</t>
        </is>
      </c>
      <c r="H31" s="67" t="inlineStr">
        <is>
          <t>●</t>
        </is>
      </c>
      <c r="I31" s="67" t="inlineStr">
        <is>
          <t>●</t>
        </is>
      </c>
      <c r="J31" s="67" t="inlineStr">
        <is>
          <t>●</t>
        </is>
      </c>
      <c r="K31" s="67" t="inlineStr">
        <is>
          <t>●</t>
        </is>
      </c>
      <c r="L31" s="67" t="inlineStr">
        <is>
          <t>●</t>
        </is>
      </c>
      <c r="M31" s="68" t="inlineStr">
        <is>
          <t>Aucune</t>
        </is>
      </c>
      <c r="N31" s="68" t="inlineStr">
        <is>
          <t>« Votre CA est stable, mais vos demandes baissent de X % : c'est la hausse du panier qui compense, pour l'instant. »</t>
        </is>
      </c>
    </row>
    <row r="32" ht="23.85" customHeight="1" s="53">
      <c r="A32" s="81" t="inlineStr">
        <is>
          <t>XA31</t>
        </is>
      </c>
      <c r="B32" s="68" t="inlineStr">
        <is>
          <t>Acquisition &amp; CA</t>
        </is>
      </c>
      <c r="C32" s="65" t="inlineStr">
        <is>
          <t>Zone la plus rentable</t>
        </is>
      </c>
      <c r="D32" s="68" t="inlineStr">
        <is>
          <t>Répartition des clients par distance et part du CA de la zone principale</t>
        </is>
      </c>
      <c r="E32" s="68" t="inlineStr">
        <is>
          <t>ACQ-01.06, ACQ-01.14, ACQ-01.07, ACQ-01.08, ACQ-01.09</t>
        </is>
      </c>
      <c r="F32" s="67" t="inlineStr">
        <is>
          <t>●</t>
        </is>
      </c>
      <c r="G32" s="67" t="inlineStr">
        <is>
          <t>●</t>
        </is>
      </c>
      <c r="H32" s="67" t="n"/>
      <c r="I32" s="67" t="inlineStr">
        <is>
          <t>●</t>
        </is>
      </c>
      <c r="J32" s="67" t="inlineStr">
        <is>
          <t>●</t>
        </is>
      </c>
      <c r="K32" s="67" t="inlineStr">
        <is>
          <t>●</t>
        </is>
      </c>
      <c r="L32" s="67" t="inlineStr">
        <is>
          <t>●</t>
        </is>
      </c>
      <c r="M32" s="68" t="inlineStr">
        <is>
          <t>Aucune</t>
        </is>
      </c>
      <c r="N32" s="68" t="inlineStr">
        <is>
          <t>« X % de vos clients sont à moins de 10 km : c'est là que votre communication doit porter. »</t>
        </is>
      </c>
    </row>
    <row r="33" ht="23.85" customHeight="1" s="53">
      <c r="A33" s="81" t="inlineStr">
        <is>
          <t>XA32</t>
        </is>
      </c>
      <c r="B33" s="68" t="inlineStr">
        <is>
          <t>Acquisition &amp; CA</t>
        </is>
      </c>
      <c r="C33" s="65" t="inlineStr">
        <is>
          <t>Type de client le plus précieux</t>
        </is>
      </c>
      <c r="D33" s="68" t="inlineStr">
        <is>
          <t>Valeur annuelle d'un client par type, comparée au type que le dirigeant veut développer</t>
        </is>
      </c>
      <c r="E33" s="68" t="inlineStr">
        <is>
          <t>ACQ-01.12, ACQ-01.05</t>
        </is>
      </c>
      <c r="F33" s="67" t="inlineStr">
        <is>
          <t>●</t>
        </is>
      </c>
      <c r="G33" s="67" t="inlineStr">
        <is>
          <t>●</t>
        </is>
      </c>
      <c r="H33" s="67" t="inlineStr">
        <is>
          <t>●</t>
        </is>
      </c>
      <c r="I33" s="67" t="inlineStr">
        <is>
          <t>●</t>
        </is>
      </c>
      <c r="J33" s="67" t="inlineStr">
        <is>
          <t>●</t>
        </is>
      </c>
      <c r="K33" s="67" t="inlineStr">
        <is>
          <t>●</t>
        </is>
      </c>
      <c r="L33" s="67" t="inlineStr">
        <is>
          <t>●</t>
        </is>
      </c>
      <c r="M33" s="68" t="inlineStr">
        <is>
          <t>Aucune</t>
        </is>
      </c>
      <c r="N33" s="68" t="inlineStr">
        <is>
          <t>« Un client professionnel vous rapporte X fois plus par an qu'un particulier, alors que vous visez les particuliers. »</t>
        </is>
      </c>
    </row>
    <row r="34" ht="23.85" customHeight="1" s="53">
      <c r="A34" s="81" t="inlineStr">
        <is>
          <t>XA33</t>
        </is>
      </c>
      <c r="B34" s="68" t="inlineStr">
        <is>
          <t>Acquisition &amp; CA</t>
        </is>
      </c>
      <c r="C34" s="65" t="inlineStr">
        <is>
          <t>Restaurant : réservations perdues</t>
        </is>
      </c>
      <c r="D34" s="68" t="inlineStr">
        <is>
          <t>(Refusées + non honorées) × couverts par réservation × ticket moyen</t>
        </is>
      </c>
      <c r="E34" s="68" t="inlineStr">
        <is>
          <t>ACQ-11.27</t>
        </is>
      </c>
      <c r="F34" s="67" t="n"/>
      <c r="G34" s="67" t="n"/>
      <c r="H34" s="67" t="n"/>
      <c r="I34" s="67" t="inlineStr">
        <is>
          <t>●</t>
        </is>
      </c>
      <c r="J34" s="67" t="n"/>
      <c r="K34" s="67" t="n"/>
      <c r="L34" s="67" t="n"/>
      <c r="M34" s="68" t="inlineStr">
        <is>
          <t>Aucune</t>
        </is>
      </c>
      <c r="N34" s="68" t="inlineStr">
        <is>
          <t>« Les réservations refusées et non honorées vous coûtent environ X € par mois. »</t>
        </is>
      </c>
    </row>
    <row r="35" ht="23.85" customHeight="1" s="53">
      <c r="A35" s="81" t="inlineStr">
        <is>
          <t>XA34</t>
        </is>
      </c>
      <c r="B35" s="68" t="inlineStr">
        <is>
          <t>Acquisition &amp; CA</t>
        </is>
      </c>
      <c r="C35" s="65" t="inlineStr">
        <is>
          <t>Restaurant : services peu remplis</t>
        </is>
      </c>
      <c r="D35" s="68" t="inlineStr">
        <is>
          <t>Places vides des services les moins remplis × ticket moyen</t>
        </is>
      </c>
      <c r="E35" s="68" t="inlineStr">
        <is>
          <t>ACQ-11.25, ACQ-11.08, ACQ-11.26, ACQ-22.07</t>
        </is>
      </c>
      <c r="F35" s="67" t="n"/>
      <c r="G35" s="67" t="n"/>
      <c r="H35" s="67" t="n"/>
      <c r="I35" s="67" t="inlineStr">
        <is>
          <t>●</t>
        </is>
      </c>
      <c r="J35" s="67" t="n"/>
      <c r="K35" s="67" t="n"/>
      <c r="L35" s="67" t="n"/>
      <c r="M35" s="68" t="inlineStr">
        <is>
          <t>Aucune</t>
        </is>
      </c>
      <c r="N35" s="68" t="inlineStr">
        <is>
          <t>« Les places vides de vos services les plus calmes représentent environ X € par mois. »</t>
        </is>
      </c>
    </row>
    <row r="36" ht="23.85" customHeight="1" s="53">
      <c r="A36" s="81" t="inlineStr">
        <is>
          <t>XA35</t>
        </is>
      </c>
      <c r="B36" s="68" t="inlineStr">
        <is>
          <t>Acquisition &amp; CA</t>
        </is>
      </c>
      <c r="C36" s="65" t="inlineStr">
        <is>
          <t>E-commerce : paniers abandonnés</t>
        </is>
      </c>
      <c r="D36" s="68" t="inlineStr">
        <is>
          <t>Paniers abandonnés × part récupérable prudente × panier moyen</t>
        </is>
      </c>
      <c r="E36" s="68" t="inlineStr">
        <is>
          <t>ACQ-11.30, ACQ-11.29</t>
        </is>
      </c>
      <c r="F36" s="67" t="n"/>
      <c r="G36" s="67" t="n"/>
      <c r="H36" s="67" t="inlineStr">
        <is>
          <t>●</t>
        </is>
      </c>
      <c r="I36" s="67" t="n"/>
      <c r="J36" s="67" t="n"/>
      <c r="K36" s="67" t="n"/>
      <c r="L36" s="67" t="n"/>
      <c r="M36" s="68" t="inlineStr">
        <is>
          <t>Part récupérable prudente, à sourcer</t>
        </is>
      </c>
      <c r="N36" s="68" t="inlineStr">
        <is>
          <t>« X paniers sont abandonnés chaque mois ; une relance automatique en récupère une partie, soit environ Y €. »</t>
        </is>
      </c>
    </row>
    <row r="37" ht="23.85" customHeight="1" s="53">
      <c r="A37" s="81" t="inlineStr">
        <is>
          <t>XA36</t>
        </is>
      </c>
      <c r="B37" s="68" t="inlineStr">
        <is>
          <t>Acquisition &amp; CA</t>
        </is>
      </c>
      <c r="C37" s="65" t="inlineStr">
        <is>
          <t>Abonnement : coût des résiliations</t>
        </is>
      </c>
      <c r="D37" s="68" t="inlineStr">
        <is>
          <t>Résiliations par mois × revenu moyen par abonné × 12</t>
        </is>
      </c>
      <c r="E37" s="68" t="inlineStr">
        <is>
          <t>ACQ-17.26</t>
        </is>
      </c>
      <c r="F37" s="67" t="n"/>
      <c r="G37" s="67" t="n"/>
      <c r="H37" s="67" t="n"/>
      <c r="I37" s="67" t="n"/>
      <c r="J37" s="67" t="n"/>
      <c r="K37" s="67" t="n"/>
      <c r="L37" s="67" t="inlineStr">
        <is>
          <t>●</t>
        </is>
      </c>
      <c r="M37" s="68" t="inlineStr">
        <is>
          <t>Aucune</t>
        </is>
      </c>
      <c r="N37" s="68" t="inlineStr">
        <is>
          <t>« Les résiliations vous font perdre X € de revenu sur un an. »</t>
        </is>
      </c>
    </row>
    <row r="38" ht="23.85" customHeight="1" s="53">
      <c r="A38" s="81" t="inlineStr">
        <is>
          <t>XA37</t>
        </is>
      </c>
      <c r="B38" s="68" t="inlineStr">
        <is>
          <t>Acquisition &amp; CA</t>
        </is>
      </c>
      <c r="C38" s="65" t="inlineStr">
        <is>
          <t>Abonnement : un point de résiliation en moins</t>
        </is>
      </c>
      <c r="D38" s="68" t="inlineStr">
        <is>
          <t>Abonnés actifs × 1 % × revenu moyen par abonné × 12</t>
        </is>
      </c>
      <c r="E38" s="68" t="inlineStr">
        <is>
          <t>ACQ-17.10, ACQ-17.23</t>
        </is>
      </c>
      <c r="F38" s="67" t="n"/>
      <c r="G38" s="67" t="n"/>
      <c r="H38" s="67" t="n"/>
      <c r="I38" s="67" t="n"/>
      <c r="J38" s="67" t="n"/>
      <c r="K38" s="67" t="n"/>
      <c r="L38" s="67" t="inlineStr">
        <is>
          <t>●</t>
        </is>
      </c>
      <c r="M38" s="68" t="inlineStr">
        <is>
          <t>Aucune</t>
        </is>
      </c>
      <c r="N38" s="68" t="inlineStr">
        <is>
          <t>« Réduire vos résiliations d'un point par mois vaut environ X € par an. »</t>
        </is>
      </c>
    </row>
    <row r="39" ht="23.85" customHeight="1" s="53">
      <c r="A39" s="81" t="inlineStr">
        <is>
          <t>XA38</t>
        </is>
      </c>
      <c r="B39" s="68" t="inlineStr">
        <is>
          <t>Acquisition &amp; CA</t>
        </is>
      </c>
      <c r="C39" s="65" t="inlineStr">
        <is>
          <t>Commerce : transformation des visiteurs</t>
        </is>
      </c>
      <c r="D39" s="68" t="inlineStr">
        <is>
          <t>Visiteurs × (taux de référence − votre taux) × panier</t>
        </is>
      </c>
      <c r="E39" s="68" t="inlineStr">
        <is>
          <t>ACQ-02.01, ACQ-11.24, ACQ-15.06</t>
        </is>
      </c>
      <c r="F39" s="67" t="n"/>
      <c r="G39" s="67" t="inlineStr">
        <is>
          <t>●</t>
        </is>
      </c>
      <c r="H39" s="67" t="n"/>
      <c r="I39" s="67" t="n"/>
      <c r="J39" s="67" t="n"/>
      <c r="K39" s="67" t="n"/>
      <c r="L39" s="67" t="n"/>
      <c r="M39" s="68" t="inlineStr">
        <is>
          <t>Taux de référence du secteur (seuil Marché)</t>
        </is>
      </c>
      <c r="N39" s="68" t="inlineStr">
        <is>
          <t>« Sur X visiteurs par mois, un point de transformation en plus vaut environ Y €. »</t>
        </is>
      </c>
    </row>
    <row r="40" ht="23.85" customHeight="1" s="53">
      <c r="A40" s="81" t="inlineStr">
        <is>
          <t>XA39</t>
        </is>
      </c>
      <c r="B40" s="68" t="inlineStr">
        <is>
          <t>Acquisition &amp; CA</t>
        </is>
      </c>
      <c r="C40" s="65" t="inlineStr">
        <is>
          <t>Coût des plateformes</t>
        </is>
      </c>
      <c r="D40" s="68" t="inlineStr">
        <is>
          <t>Commission de la plateforme rapportée au panier, comparée au coût d'un client des autres canaux</t>
        </is>
      </c>
      <c r="E40" s="68" t="inlineStr">
        <is>
          <t>ACQ-07.02, ACQ-15.06, ACQ-03.10</t>
        </is>
      </c>
      <c r="F40" s="67" t="inlineStr">
        <is>
          <t>●</t>
        </is>
      </c>
      <c r="G40" s="67" t="inlineStr">
        <is>
          <t>●</t>
        </is>
      </c>
      <c r="H40" s="67" t="inlineStr">
        <is>
          <t>●</t>
        </is>
      </c>
      <c r="I40" s="67" t="inlineStr">
        <is>
          <t>●</t>
        </is>
      </c>
      <c r="J40" s="67" t="n"/>
      <c r="K40" s="67" t="n"/>
      <c r="L40" s="67" t="n"/>
      <c r="M40" s="68" t="inlineStr">
        <is>
          <t>Aucune</t>
        </is>
      </c>
      <c r="N40" s="68" t="inlineStr">
        <is>
          <t>« La plateforme vous coûte X € par client, votre propre site Y €. »</t>
        </is>
      </c>
    </row>
    <row r="41" ht="23.85" customHeight="1" s="53">
      <c r="A41" s="81" t="inlineStr">
        <is>
          <t>XA40</t>
        </is>
      </c>
      <c r="B41" s="68" t="inlineStr">
        <is>
          <t>Acquisition &amp; CA</t>
        </is>
      </c>
      <c r="C41" s="65" t="inlineStr">
        <is>
          <t>B2B : couverture de l'objectif par les affaires en cours</t>
        </is>
      </c>
      <c r="D41" s="68" t="inlineStr">
        <is>
          <t>CA probable des affaires en cours ÷ CA supplémentaire visé</t>
        </is>
      </c>
      <c r="E41" s="68" t="inlineStr">
        <is>
          <t>ACQ-12.06, Inscription · objectif chiffré, Inscription · CA mensuel</t>
        </is>
      </c>
      <c r="F41" s="67" t="n"/>
      <c r="G41" s="67" t="n"/>
      <c r="H41" s="67" t="n"/>
      <c r="I41" s="67" t="n"/>
      <c r="J41" s="67" t="n"/>
      <c r="K41" s="67" t="inlineStr">
        <is>
          <t>●</t>
        </is>
      </c>
      <c r="L41" s="67" t="n"/>
      <c r="M41" s="68" t="inlineStr">
        <is>
          <t>Aucune</t>
        </is>
      </c>
      <c r="N41" s="68" t="inlineStr">
        <is>
          <t>« Vos affaires en cours couvrent X % du CA supplémentaire que vous visez. »</t>
        </is>
      </c>
    </row>
    <row r="42" ht="35.05" customHeight="1" s="53">
      <c r="A42" s="81" t="inlineStr">
        <is>
          <t>XA41</t>
        </is>
      </c>
      <c r="B42" s="68" t="inlineStr">
        <is>
          <t>Acquisition &amp; CA</t>
        </is>
      </c>
      <c r="C42" s="65" t="inlineStr">
        <is>
          <t>Demandes hors horaires</t>
        </is>
      </c>
      <c r="D42" s="68" t="inlineStr">
        <is>
          <t>Demandes reçues quand l'entreprise est fermée, et délai de réponse à ces demandes</t>
        </is>
      </c>
      <c r="E42" s="68" t="inlineStr">
        <is>
          <t>ACQ-02.01, ACQ-22.03, ACQ-08.05, ACQ-09.07</t>
        </is>
      </c>
      <c r="F42" s="67" t="inlineStr">
        <is>
          <t>●</t>
        </is>
      </c>
      <c r="G42" s="67" t="inlineStr">
        <is>
          <t>●</t>
        </is>
      </c>
      <c r="H42" s="67" t="inlineStr">
        <is>
          <t>●</t>
        </is>
      </c>
      <c r="I42" s="67" t="inlineStr">
        <is>
          <t>●</t>
        </is>
      </c>
      <c r="J42" s="67" t="inlineStr">
        <is>
          <t>●</t>
        </is>
      </c>
      <c r="K42" s="67" t="inlineStr">
        <is>
          <t>●</t>
        </is>
      </c>
      <c r="L42" s="67" t="inlineStr">
        <is>
          <t>●</t>
        </is>
      </c>
      <c r="M42" s="68" t="inlineStr">
        <is>
          <t>Aucune</t>
        </is>
      </c>
      <c r="N42" s="68" t="inlineStr">
        <is>
          <t>« X % de vos demandes arrivent quand vous êtes fermé et attendent le lendemain : une réponse automatique ou une prise de rendez-vous en ligne les retiendrait. »</t>
        </is>
      </c>
    </row>
    <row r="43" ht="35.05" customHeight="1" s="53">
      <c r="A43" s="81" t="inlineStr">
        <is>
          <t>XA42</t>
        </is>
      </c>
      <c r="B43" s="68" t="inlineStr">
        <is>
          <t>Acquisition &amp; CA</t>
        </is>
      </c>
      <c r="C43" s="65" t="inlineStr">
        <is>
          <t>Créneaux saturés et créneaux vides</t>
        </is>
      </c>
      <c r="D43" s="68" t="inlineStr">
        <is>
          <t>Créneaux les plus demandés comparés aux moins remplis, avec le CA de chaque jour</t>
        </is>
      </c>
      <c r="E43" s="68" t="inlineStr">
        <is>
          <t>ACQ-22.07, ACQ-22.12, ACQ-22.09</t>
        </is>
      </c>
      <c r="F43" s="67" t="inlineStr">
        <is>
          <t>●</t>
        </is>
      </c>
      <c r="G43" s="67" t="inlineStr">
        <is>
          <t>●</t>
        </is>
      </c>
      <c r="H43" s="67" t="n"/>
      <c r="I43" s="67" t="inlineStr">
        <is>
          <t>●</t>
        </is>
      </c>
      <c r="J43" s="67" t="n"/>
      <c r="K43" s="67" t="n"/>
      <c r="L43" s="67" t="n"/>
      <c r="M43" s="68" t="inlineStr">
        <is>
          <t>Aucune</t>
        </is>
      </c>
      <c r="N43" s="68" t="inlineStr">
        <is>
          <t>« Vos samedis sont pleins et vos mardis à moitié vides : déplacer une partie de la demande vers les créneaux calmes vaut environ X € par mois. »</t>
        </is>
      </c>
    </row>
    <row r="44" ht="23.85" customHeight="1" s="53">
      <c r="A44" s="81" t="inlineStr">
        <is>
          <t>XA43</t>
        </is>
      </c>
      <c r="B44" s="68" t="inlineStr">
        <is>
          <t>Acquisition &amp; CA</t>
        </is>
      </c>
      <c r="C44" s="65" t="inlineStr">
        <is>
          <t>Avis face aux concurrents</t>
        </is>
      </c>
      <c r="D44" s="68" t="inlineStr">
        <is>
          <t>Vos avis et votre note comparés à ceux des 2 concurrents les plus proches</t>
        </is>
      </c>
      <c r="E44" s="68" t="inlineStr">
        <is>
          <t>ACQ-06.11, ACQ-06.03, ACQ-06.08</t>
        </is>
      </c>
      <c r="F44" s="67" t="inlineStr">
        <is>
          <t>●</t>
        </is>
      </c>
      <c r="G44" s="67" t="inlineStr">
        <is>
          <t>●</t>
        </is>
      </c>
      <c r="H44" s="67" t="n"/>
      <c r="I44" s="67" t="inlineStr">
        <is>
          <t>●</t>
        </is>
      </c>
      <c r="J44" s="67" t="inlineStr">
        <is>
          <t>●</t>
        </is>
      </c>
      <c r="K44" s="67" t="inlineStr">
        <is>
          <t>●</t>
        </is>
      </c>
      <c r="L44" s="67" t="inlineStr">
        <is>
          <t>●</t>
        </is>
      </c>
      <c r="M44" s="68" t="inlineStr">
        <is>
          <t>Aucune</t>
        </is>
      </c>
      <c r="N44" s="68" t="inlineStr">
        <is>
          <t>« Vous avez X avis contre Y pour votre concurrent le plus proche. »</t>
        </is>
      </c>
    </row>
    <row r="45" ht="35.05" customHeight="1" s="53">
      <c r="A45" s="85" t="inlineStr">
        <is>
          <t>XF01</t>
        </is>
      </c>
      <c r="B45" s="86" t="inlineStr">
        <is>
          <t>Finance &amp; Rentabilité</t>
        </is>
      </c>
      <c r="C45" s="87" t="inlineStr">
        <is>
          <t>Seuil de rentabilité</t>
        </is>
      </c>
      <c r="D45" s="86" t="inlineStr">
        <is>
          <t>Charges fixes ÷ taux de marge sur coûts variables, comparé au CA mensuel</t>
        </is>
      </c>
      <c r="E45" s="86" t="inlineStr">
        <is>
          <t>FIN-05.12, FIN-05.11, Inscription · CA mensuel</t>
        </is>
      </c>
      <c r="F45" s="89" t="inlineStr">
        <is>
          <t>●</t>
        </is>
      </c>
      <c r="G45" s="89" t="inlineStr">
        <is>
          <t>●</t>
        </is>
      </c>
      <c r="H45" s="89" t="inlineStr">
        <is>
          <t>●</t>
        </is>
      </c>
      <c r="I45" s="89" t="inlineStr">
        <is>
          <t>●</t>
        </is>
      </c>
      <c r="J45" s="89" t="inlineStr">
        <is>
          <t>●</t>
        </is>
      </c>
      <c r="K45" s="89" t="inlineStr">
        <is>
          <t>●</t>
        </is>
      </c>
      <c r="L45" s="89" t="inlineStr">
        <is>
          <t>●</t>
        </is>
      </c>
      <c r="M45" s="86" t="inlineStr">
        <is>
          <t>Aucune</t>
        </is>
      </c>
      <c r="N45" s="86" t="inlineStr">
        <is>
          <t>« Vos charges fixes représentent X % de votre CA. Votre seuil de rentabilité est d'environ Y € par mois, pour un CA moyen de Z €. »</t>
        </is>
      </c>
    </row>
    <row r="46" ht="23.85" customHeight="1" s="53">
      <c r="A46" s="81" t="inlineStr">
        <is>
          <t>XF02</t>
        </is>
      </c>
      <c r="B46" s="68" t="inlineStr">
        <is>
          <t>Finance &amp; Rentabilité</t>
        </is>
      </c>
      <c r="C46" s="65" t="inlineStr">
        <is>
          <t>Marge de sécurité</t>
        </is>
      </c>
      <c r="D46" s="68" t="inlineStr">
        <is>
          <t>CA mensuel − seuil de rentabilité</t>
        </is>
      </c>
      <c r="E46" s="68" t="inlineStr">
        <is>
          <t>FIN-05.13</t>
        </is>
      </c>
      <c r="F46" s="67" t="inlineStr">
        <is>
          <t>●</t>
        </is>
      </c>
      <c r="G46" s="67" t="inlineStr">
        <is>
          <t>●</t>
        </is>
      </c>
      <c r="H46" s="67" t="inlineStr">
        <is>
          <t>●</t>
        </is>
      </c>
      <c r="I46" s="67" t="inlineStr">
        <is>
          <t>●</t>
        </is>
      </c>
      <c r="J46" s="67" t="inlineStr">
        <is>
          <t>●</t>
        </is>
      </c>
      <c r="K46" s="67" t="inlineStr">
        <is>
          <t>●</t>
        </is>
      </c>
      <c r="L46" s="67" t="inlineStr">
        <is>
          <t>●</t>
        </is>
      </c>
      <c r="M46" s="68" t="inlineStr">
        <is>
          <t>Aucune</t>
        </is>
      </c>
      <c r="N46" s="68" t="inlineStr">
        <is>
          <t>« Votre CA dépasse votre seuil de X % : vous pouvez perdre Y € de CA par mois avant de perdre de l'argent. »</t>
        </is>
      </c>
    </row>
    <row r="47" ht="35.05" customHeight="1" s="53">
      <c r="A47" s="81" t="inlineStr">
        <is>
          <t>XF03</t>
        </is>
      </c>
      <c r="B47" s="68" t="inlineStr">
        <is>
          <t>Finance &amp; Rentabilité</t>
        </is>
      </c>
      <c r="C47" s="65" t="inlineStr">
        <is>
          <t>Seuil en vous rémunérant</t>
        </is>
      </c>
      <c r="D47" s="68" t="inlineStr">
        <is>
          <t>Seuil de rentabilité recalculé avec la rémunération du dirigeant</t>
        </is>
      </c>
      <c r="E47" s="68" t="inlineStr">
        <is>
          <t>FIN-05.01, FIN-05.12</t>
        </is>
      </c>
      <c r="F47" s="67" t="inlineStr">
        <is>
          <t>●</t>
        </is>
      </c>
      <c r="G47" s="67" t="inlineStr">
        <is>
          <t>●</t>
        </is>
      </c>
      <c r="H47" s="67" t="inlineStr">
        <is>
          <t>●</t>
        </is>
      </c>
      <c r="I47" s="67" t="inlineStr">
        <is>
          <t>●</t>
        </is>
      </c>
      <c r="J47" s="67" t="inlineStr">
        <is>
          <t>●</t>
        </is>
      </c>
      <c r="K47" s="67" t="inlineStr">
        <is>
          <t>●</t>
        </is>
      </c>
      <c r="L47" s="67" t="inlineStr">
        <is>
          <t>●</t>
        </is>
      </c>
      <c r="M47" s="68" t="inlineStr">
        <is>
          <t>Aucune</t>
        </is>
      </c>
      <c r="N47" s="68" t="inlineStr">
        <is>
          <t>« Votre rémunération de X € fait passer votre seuil à Y € ; à 0 €, l'entreprise ne paraît rentable que parce que vous ne vous payez pas. »</t>
        </is>
      </c>
    </row>
    <row r="48" ht="23.85" customHeight="1" s="53">
      <c r="A48" s="81" t="inlineStr">
        <is>
          <t>XF04</t>
        </is>
      </c>
      <c r="B48" s="68" t="inlineStr">
        <is>
          <t>Finance &amp; Rentabilité</t>
        </is>
      </c>
      <c r="C48" s="65" t="inlineStr">
        <is>
          <t>Point mort de trésorerie</t>
        </is>
      </c>
      <c r="D48" s="68" t="inlineStr">
        <is>
          <t>(Charges fixes + mensualités d'emprunt) ÷ taux de marge</t>
        </is>
      </c>
      <c r="E48" s="68" t="inlineStr">
        <is>
          <t>FIN-05.08, FIN-22.03, FIN-06.08</t>
        </is>
      </c>
      <c r="F48" s="67" t="inlineStr">
        <is>
          <t>●</t>
        </is>
      </c>
      <c r="G48" s="67" t="inlineStr">
        <is>
          <t>●</t>
        </is>
      </c>
      <c r="H48" s="67" t="inlineStr">
        <is>
          <t>●</t>
        </is>
      </c>
      <c r="I48" s="67" t="inlineStr">
        <is>
          <t>●</t>
        </is>
      </c>
      <c r="J48" s="67" t="inlineStr">
        <is>
          <t>●</t>
        </is>
      </c>
      <c r="K48" s="67" t="inlineStr">
        <is>
          <t>●</t>
        </is>
      </c>
      <c r="L48" s="67" t="inlineStr">
        <is>
          <t>●</t>
        </is>
      </c>
      <c r="M48" s="68" t="inlineStr">
        <is>
          <t>Aucune</t>
        </is>
      </c>
      <c r="N48" s="68" t="inlineStr">
        <is>
          <t>« Pour couvrir aussi vos remboursements, il vous faut X € de CA par mois. »</t>
        </is>
      </c>
    </row>
    <row r="49" ht="23.85" customHeight="1" s="53">
      <c r="A49" s="81" t="inlineStr">
        <is>
          <t>XF05</t>
        </is>
      </c>
      <c r="B49" s="68" t="inlineStr">
        <is>
          <t>Finance &amp; Rentabilité</t>
        </is>
      </c>
      <c r="C49" s="65" t="inlineStr">
        <is>
          <t>Poids des grands postes</t>
        </is>
      </c>
      <c r="D49" s="68" t="inlineStr">
        <is>
          <t>Charges fixes, masse salariale, achats, sous-traitance rapportés au CA</t>
        </is>
      </c>
      <c r="E49" s="68" t="inlineStr">
        <is>
          <t>FIN-05.11, FIN-07.08, FIN-08.07, FIN-08.08</t>
        </is>
      </c>
      <c r="F49" s="67" t="inlineStr">
        <is>
          <t>●</t>
        </is>
      </c>
      <c r="G49" s="67" t="inlineStr">
        <is>
          <t>●</t>
        </is>
      </c>
      <c r="H49" s="67" t="inlineStr">
        <is>
          <t>●</t>
        </is>
      </c>
      <c r="I49" s="67" t="inlineStr">
        <is>
          <t>●</t>
        </is>
      </c>
      <c r="J49" s="67" t="inlineStr">
        <is>
          <t>●</t>
        </is>
      </c>
      <c r="K49" s="67" t="inlineStr">
        <is>
          <t>●</t>
        </is>
      </c>
      <c r="L49" s="67" t="inlineStr">
        <is>
          <t>●</t>
        </is>
      </c>
      <c r="M49" s="68" t="inlineStr">
        <is>
          <t>Ratio de référence du secteur (seuil Marché), à sourcer</t>
        </is>
      </c>
      <c r="N49" s="68" t="inlineStr">
        <is>
          <t>« Votre masse salariale représente X % de votre CA, vos achats Y %. »</t>
        </is>
      </c>
    </row>
    <row r="50" ht="46.25" customHeight="1" s="53">
      <c r="A50" s="81" t="inlineStr">
        <is>
          <t>XF06</t>
        </is>
      </c>
      <c r="B50" s="68" t="inlineStr">
        <is>
          <t>Finance &amp; Rentabilité</t>
        </is>
      </c>
      <c r="C50" s="65" t="inlineStr">
        <is>
          <t>Trois principaux postes de coûts</t>
        </is>
      </c>
      <c r="D50" s="68" t="inlineStr">
        <is>
          <t>Les 3 plus gros postes, économie de 8 % sur ces postes, et poste qui a le plus augmenté</t>
        </is>
      </c>
      <c r="E50" s="68" t="inlineStr">
        <is>
          <t>FIN-05.01, FIN-06.01, FIN-08.01, FIN-05.06</t>
        </is>
      </c>
      <c r="F50" s="67" t="inlineStr">
        <is>
          <t>●</t>
        </is>
      </c>
      <c r="G50" s="67" t="inlineStr">
        <is>
          <t>●</t>
        </is>
      </c>
      <c r="H50" s="67" t="inlineStr">
        <is>
          <t>●</t>
        </is>
      </c>
      <c r="I50" s="67" t="inlineStr">
        <is>
          <t>●</t>
        </is>
      </c>
      <c r="J50" s="67" t="inlineStr">
        <is>
          <t>●</t>
        </is>
      </c>
      <c r="K50" s="67" t="inlineStr">
        <is>
          <t>●</t>
        </is>
      </c>
      <c r="L50" s="67" t="inlineStr">
        <is>
          <t>●</t>
        </is>
      </c>
      <c r="M50" s="68" t="inlineStr">
        <is>
          <t>Aucune</t>
        </is>
      </c>
      <c r="N50" s="68" t="inlineStr">
        <is>
          <t>« Vos trois principaux postes représentent X € par mois. 8 % d'économie dessus améliorerait votre résultat d'environ Y € par an. Commencez par Z, qui a augmenté de N % en un an. »</t>
        </is>
      </c>
    </row>
    <row r="51" ht="23.85" customHeight="1" s="53">
      <c r="A51" s="81" t="inlineStr">
        <is>
          <t>XF07</t>
        </is>
      </c>
      <c r="B51" s="68" t="inlineStr">
        <is>
          <t>Finance &amp; Rentabilité</t>
        </is>
      </c>
      <c r="C51" s="65" t="inlineStr">
        <is>
          <t>Effet ciseau</t>
        </is>
      </c>
      <c r="D51" s="68" t="inlineStr">
        <is>
          <t>Évolution des charges (fixes, salaires, achats) comparée à celle du CA sur 12 mois</t>
        </is>
      </c>
      <c r="E51" s="68" t="inlineStr">
        <is>
          <t>FIN-05.10, FIN-07.15, FIN-08.11, ACQ-23.10</t>
        </is>
      </c>
      <c r="F51" s="67" t="inlineStr">
        <is>
          <t>●</t>
        </is>
      </c>
      <c r="G51" s="67" t="inlineStr">
        <is>
          <t>●</t>
        </is>
      </c>
      <c r="H51" s="67" t="inlineStr">
        <is>
          <t>●</t>
        </is>
      </c>
      <c r="I51" s="67" t="inlineStr">
        <is>
          <t>●</t>
        </is>
      </c>
      <c r="J51" s="67" t="inlineStr">
        <is>
          <t>●</t>
        </is>
      </c>
      <c r="K51" s="67" t="inlineStr">
        <is>
          <t>●</t>
        </is>
      </c>
      <c r="L51" s="67" t="inlineStr">
        <is>
          <t>●</t>
        </is>
      </c>
      <c r="M51" s="68" t="inlineStr">
        <is>
          <t>Aucune</t>
        </is>
      </c>
      <c r="N51" s="68" t="inlineStr">
        <is>
          <t>« Vos charges ont augmenté de X % en un an, votre CA de Y % : votre marge se réduit. »</t>
        </is>
      </c>
    </row>
    <row r="52" ht="35.05" customHeight="1" s="53">
      <c r="A52" s="81" t="inlineStr">
        <is>
          <t>XF08</t>
        </is>
      </c>
      <c r="B52" s="68" t="inlineStr">
        <is>
          <t>Finance &amp; Rentabilité</t>
        </is>
      </c>
      <c r="C52" s="65" t="inlineStr">
        <is>
          <t>Croissance rentable</t>
        </is>
      </c>
      <c r="D52" s="68" t="inlineStr">
        <is>
          <t>Variation des coûts variables quand le CA varie, entre mois fort et mois faible</t>
        </is>
      </c>
      <c r="E52" s="68" t="inlineStr">
        <is>
          <t>FIN-06.09, FIN-06.08</t>
        </is>
      </c>
      <c r="F52" s="67" t="inlineStr">
        <is>
          <t>●</t>
        </is>
      </c>
      <c r="G52" s="67" t="inlineStr">
        <is>
          <t>●</t>
        </is>
      </c>
      <c r="H52" s="67" t="inlineStr">
        <is>
          <t>●</t>
        </is>
      </c>
      <c r="I52" s="67" t="inlineStr">
        <is>
          <t>●</t>
        </is>
      </c>
      <c r="J52" s="67" t="inlineStr">
        <is>
          <t>●</t>
        </is>
      </c>
      <c r="K52" s="67" t="inlineStr">
        <is>
          <t>●</t>
        </is>
      </c>
      <c r="L52" s="67" t="inlineStr">
        <is>
          <t>●</t>
        </is>
      </c>
      <c r="M52" s="68" t="inlineStr">
        <is>
          <t>Aucune</t>
        </is>
      </c>
      <c r="N52" s="68" t="inlineStr">
        <is>
          <t>« Quand votre CA augmente de 10 %, vos coûts variables augmentent de X % : chaque euro de croissance vous rapporte Y centimes. »</t>
        </is>
      </c>
    </row>
    <row r="53" ht="23.85" customHeight="1" s="53">
      <c r="A53" s="81" t="inlineStr">
        <is>
          <t>XF09</t>
        </is>
      </c>
      <c r="B53" s="68" t="inlineStr">
        <is>
          <t>Finance &amp; Rentabilité</t>
        </is>
      </c>
      <c r="C53" s="65" t="inlineStr">
        <is>
          <t>Hausse de coûts non répercutée</t>
        </is>
      </c>
      <c r="D53" s="68" t="inlineStr">
        <is>
          <t>Hausse des prix fournisseurs et des charges face à la hausse de vos prix de vente</t>
        </is>
      </c>
      <c r="E53" s="68" t="inlineStr">
        <is>
          <t>FIN-04.04, FIN-08.11, ACQ-13.06, ACQ-13.04</t>
        </is>
      </c>
      <c r="F53" s="67" t="inlineStr">
        <is>
          <t>●</t>
        </is>
      </c>
      <c r="G53" s="67" t="inlineStr">
        <is>
          <t>●</t>
        </is>
      </c>
      <c r="H53" s="67" t="inlineStr">
        <is>
          <t>●</t>
        </is>
      </c>
      <c r="I53" s="67" t="inlineStr">
        <is>
          <t>●</t>
        </is>
      </c>
      <c r="J53" s="67" t="inlineStr">
        <is>
          <t>●</t>
        </is>
      </c>
      <c r="K53" s="67" t="inlineStr">
        <is>
          <t>●</t>
        </is>
      </c>
      <c r="L53" s="67" t="inlineStr">
        <is>
          <t>●</t>
        </is>
      </c>
      <c r="M53" s="68" t="inlineStr">
        <is>
          <t>Aucune</t>
        </is>
      </c>
      <c r="N53" s="68" t="inlineStr">
        <is>
          <t>« Vos fournisseurs ont augmenté de X % sur 12 mois, vos prix de Y % : Z € de marge perdue par an. »</t>
        </is>
      </c>
    </row>
    <row r="54" ht="35.05" customHeight="1" s="53">
      <c r="A54" s="81" t="inlineStr">
        <is>
          <t>XF10</t>
        </is>
      </c>
      <c r="B54" s="68" t="inlineStr">
        <is>
          <t>Finance &amp; Rentabilité</t>
        </is>
      </c>
      <c r="C54" s="65" t="inlineStr">
        <is>
          <t>Renégociation du 1er fournisseur</t>
        </is>
      </c>
      <c r="D54" s="68" t="inlineStr">
        <is>
          <t>Part du 1er fournisseur, mois depuis la dernière renégociation, économie d'une baisse de 5 %</t>
        </is>
      </c>
      <c r="E54" s="68" t="inlineStr">
        <is>
          <t>FIN-08.09, FIN-08.12, FIN-08.13, FIN-08.05</t>
        </is>
      </c>
      <c r="F54" s="67" t="inlineStr">
        <is>
          <t>●</t>
        </is>
      </c>
      <c r="G54" s="67" t="inlineStr">
        <is>
          <t>●</t>
        </is>
      </c>
      <c r="H54" s="67" t="inlineStr">
        <is>
          <t>●</t>
        </is>
      </c>
      <c r="I54" s="67" t="inlineStr">
        <is>
          <t>●</t>
        </is>
      </c>
      <c r="J54" s="67" t="inlineStr">
        <is>
          <t>●</t>
        </is>
      </c>
      <c r="K54" s="67" t="inlineStr">
        <is>
          <t>●</t>
        </is>
      </c>
      <c r="L54" s="67" t="inlineStr">
        <is>
          <t>●</t>
        </is>
      </c>
      <c r="M54" s="68" t="inlineStr">
        <is>
          <t>Aucune</t>
        </is>
      </c>
      <c r="N54" s="68" t="inlineStr">
        <is>
          <t>« Votre premier fournisseur représente X % de vos achats et n'a pas été renégocié depuis Y mois. Une baisse de 5 % représenterait Z € par an. »</t>
        </is>
      </c>
    </row>
    <row r="55" ht="23.85" customHeight="1" s="53">
      <c r="A55" s="81" t="inlineStr">
        <is>
          <t>XF11</t>
        </is>
      </c>
      <c r="B55" s="68" t="inlineStr">
        <is>
          <t>Finance &amp; Rentabilité</t>
        </is>
      </c>
      <c r="C55" s="65" t="inlineStr">
        <is>
          <t>Dépendance fournisseur</t>
        </is>
      </c>
      <c r="D55" s="68" t="inlineStr">
        <is>
          <t>Part du 1er et des 3 premiers fournisseurs, sans fournisseur de remplacement</t>
        </is>
      </c>
      <c r="E55" s="68" t="inlineStr">
        <is>
          <t>FIN-30.01, FIN-08.10, FIN-08.04</t>
        </is>
      </c>
      <c r="F55" s="67" t="inlineStr">
        <is>
          <t>●</t>
        </is>
      </c>
      <c r="G55" s="67" t="inlineStr">
        <is>
          <t>●</t>
        </is>
      </c>
      <c r="H55" s="67" t="inlineStr">
        <is>
          <t>●</t>
        </is>
      </c>
      <c r="I55" s="67" t="inlineStr">
        <is>
          <t>●</t>
        </is>
      </c>
      <c r="J55" s="67" t="inlineStr">
        <is>
          <t>●</t>
        </is>
      </c>
      <c r="K55" s="67" t="inlineStr">
        <is>
          <t>●</t>
        </is>
      </c>
      <c r="L55" s="67" t="inlineStr">
        <is>
          <t>●</t>
        </is>
      </c>
      <c r="M55" s="68" t="inlineStr">
        <is>
          <t>Aucune</t>
        </is>
      </c>
      <c r="N55" s="68" t="inlineStr">
        <is>
          <t>« X % de vos achats dépendent d'un fournisseur sans solution de remplacement. »</t>
        </is>
      </c>
    </row>
    <row r="56" ht="23.85" customHeight="1" s="53">
      <c r="A56" s="81" t="inlineStr">
        <is>
          <t>XF12</t>
        </is>
      </c>
      <c r="B56" s="68" t="inlineStr">
        <is>
          <t>Finance &amp; Rentabilité</t>
        </is>
      </c>
      <c r="C56" s="65" t="inlineStr">
        <is>
          <t>Coûts silencieux récurrents</t>
        </is>
      </c>
      <c r="D56" s="68" t="inlineStr">
        <is>
          <t>Contrats peu utilisés + doublons + contrats renouvelés dans 90 jours</t>
        </is>
      </c>
      <c r="E56" s="68" t="inlineStr">
        <is>
          <t>FIN-09.07, FIN-09.08, FIN-09.09, FIN-09.05, FIN-09.02</t>
        </is>
      </c>
      <c r="F56" s="67" t="inlineStr">
        <is>
          <t>●</t>
        </is>
      </c>
      <c r="G56" s="67" t="inlineStr">
        <is>
          <t>●</t>
        </is>
      </c>
      <c r="H56" s="67" t="inlineStr">
        <is>
          <t>●</t>
        </is>
      </c>
      <c r="I56" s="67" t="inlineStr">
        <is>
          <t>●</t>
        </is>
      </c>
      <c r="J56" s="67" t="inlineStr">
        <is>
          <t>●</t>
        </is>
      </c>
      <c r="K56" s="67" t="inlineStr">
        <is>
          <t>●</t>
        </is>
      </c>
      <c r="L56" s="67" t="inlineStr">
        <is>
          <t>●</t>
        </is>
      </c>
      <c r="M56" s="68" t="inlineStr">
        <is>
          <t>Aucune</t>
        </is>
      </c>
      <c r="N56" s="68" t="inlineStr">
        <is>
          <t>« Vous pourriez économiser environ X € par an sur vos contrats ; Y arrivent à renouvellement dans les 3 mois. »</t>
        </is>
      </c>
    </row>
    <row r="57" ht="23.85" customHeight="1" s="53">
      <c r="A57" s="81" t="inlineStr">
        <is>
          <t>XF13</t>
        </is>
      </c>
      <c r="B57" s="68" t="inlineStr">
        <is>
          <t>Finance &amp; Rentabilité</t>
        </is>
      </c>
      <c r="C57" s="65" t="inlineStr">
        <is>
          <t>Coût de non-qualité</t>
        </is>
      </c>
      <c r="D57" s="68" t="inlineStr">
        <is>
          <t>Reprises + retours + gestes commerciaux + pertes de stock</t>
        </is>
      </c>
      <c r="E57" s="68" t="inlineStr">
        <is>
          <t>FIN-10.07, FIN-40.03, FIN-10.02, FIN-10.05, FIN-10.08</t>
        </is>
      </c>
      <c r="F57" s="67" t="inlineStr">
        <is>
          <t>●</t>
        </is>
      </c>
      <c r="G57" s="67" t="inlineStr">
        <is>
          <t>●</t>
        </is>
      </c>
      <c r="H57" s="67" t="inlineStr">
        <is>
          <t>●</t>
        </is>
      </c>
      <c r="I57" s="67" t="inlineStr">
        <is>
          <t>●</t>
        </is>
      </c>
      <c r="J57" s="67" t="inlineStr">
        <is>
          <t>●</t>
        </is>
      </c>
      <c r="K57" s="67" t="inlineStr">
        <is>
          <t>●</t>
        </is>
      </c>
      <c r="L57" s="67" t="inlineStr">
        <is>
          <t>●</t>
        </is>
      </c>
      <c r="M57" s="68" t="inlineStr">
        <is>
          <t>Aucune</t>
        </is>
      </c>
      <c r="N57" s="68" t="inlineStr">
        <is>
          <t>« Reprises, retours, gestes commerciaux et pertes vous coûtent X € par an, soit Y % de votre CA. »</t>
        </is>
      </c>
    </row>
    <row r="58" ht="23.85" customHeight="1" s="53">
      <c r="A58" s="81" t="inlineStr">
        <is>
          <t>XF14</t>
        </is>
      </c>
      <c r="B58" s="68" t="inlineStr">
        <is>
          <t>Finance &amp; Rentabilité</t>
        </is>
      </c>
      <c r="C58" s="65" t="inlineStr">
        <is>
          <t>Mois de sécurité</t>
        </is>
      </c>
      <c r="D58" s="68" t="inlineStr">
        <is>
          <t>Trésorerie mobilisable ÷ charges fixes mensuelles</t>
        </is>
      </c>
      <c r="E58" s="68" t="inlineStr">
        <is>
          <t>FIN-11.05, FIN-11.06</t>
        </is>
      </c>
      <c r="F58" s="67" t="inlineStr">
        <is>
          <t>●</t>
        </is>
      </c>
      <c r="G58" s="67" t="inlineStr">
        <is>
          <t>●</t>
        </is>
      </c>
      <c r="H58" s="67" t="inlineStr">
        <is>
          <t>●</t>
        </is>
      </c>
      <c r="I58" s="67" t="inlineStr">
        <is>
          <t>●</t>
        </is>
      </c>
      <c r="J58" s="67" t="inlineStr">
        <is>
          <t>●</t>
        </is>
      </c>
      <c r="K58" s="67" t="inlineStr">
        <is>
          <t>●</t>
        </is>
      </c>
      <c r="L58" s="67" t="inlineStr">
        <is>
          <t>●</t>
        </is>
      </c>
      <c r="M58" s="68" t="inlineStr">
        <is>
          <t>Aucune</t>
        </is>
      </c>
      <c r="N58" s="68" t="inlineStr">
        <is>
          <t>« Votre entreprise dispose d'environ X mois de sécurité de trésorerie. »</t>
        </is>
      </c>
    </row>
    <row r="59" ht="23.85" customHeight="1" s="53">
      <c r="A59" s="81" t="inlineStr">
        <is>
          <t>XF15</t>
        </is>
      </c>
      <c r="B59" s="68" t="inlineStr">
        <is>
          <t>Finance &amp; Rentabilité</t>
        </is>
      </c>
      <c r="C59" s="65" t="inlineStr">
        <is>
          <t>Durée de vie de la trésorerie</t>
        </is>
      </c>
      <c r="D59" s="68" t="inlineStr">
        <is>
          <t>Trésorerie mobilisable ÷ consommation mensuelle, si le solde moyen est négatif</t>
        </is>
      </c>
      <c r="E59" s="68" t="inlineStr">
        <is>
          <t>FIN-12.05</t>
        </is>
      </c>
      <c r="F59" s="67" t="inlineStr">
        <is>
          <t>●</t>
        </is>
      </c>
      <c r="G59" s="67" t="inlineStr">
        <is>
          <t>●</t>
        </is>
      </c>
      <c r="H59" s="67" t="inlineStr">
        <is>
          <t>●</t>
        </is>
      </c>
      <c r="I59" s="67" t="inlineStr">
        <is>
          <t>●</t>
        </is>
      </c>
      <c r="J59" s="67" t="inlineStr">
        <is>
          <t>●</t>
        </is>
      </c>
      <c r="K59" s="67" t="inlineStr">
        <is>
          <t>●</t>
        </is>
      </c>
      <c r="L59" s="67" t="inlineStr">
        <is>
          <t>●</t>
        </is>
      </c>
      <c r="M59" s="68" t="inlineStr">
        <is>
          <t>Aucune</t>
        </is>
      </c>
      <c r="N59" s="68" t="inlineStr">
        <is>
          <t>« Au rythme des 3 derniers mois, votre trésorerie tient X mois. »</t>
        </is>
      </c>
    </row>
    <row r="60" ht="35.05" customHeight="1" s="53">
      <c r="A60" s="81" t="inlineStr">
        <is>
          <t>XF16</t>
        </is>
      </c>
      <c r="B60" s="68" t="inlineStr">
        <is>
          <t>Finance &amp; Rentabilité</t>
        </is>
      </c>
      <c r="C60" s="65" t="inlineStr">
        <is>
          <t>Rentable sur le papier, pas en cash</t>
        </is>
      </c>
      <c r="D60" s="68" t="inlineStr">
        <is>
          <t>Résultat comparé au cash réellement généré, et à l'argent bloqué chez les clients et en stock</t>
        </is>
      </c>
      <c r="E60" s="68" t="inlineStr">
        <is>
          <t>FIN-12.07, FIN-17.09, FIN-37.01</t>
        </is>
      </c>
      <c r="F60" s="67" t="inlineStr">
        <is>
          <t>●</t>
        </is>
      </c>
      <c r="G60" s="67" t="inlineStr">
        <is>
          <t>●</t>
        </is>
      </c>
      <c r="H60" s="67" t="inlineStr">
        <is>
          <t>●</t>
        </is>
      </c>
      <c r="I60" s="67" t="inlineStr">
        <is>
          <t>●</t>
        </is>
      </c>
      <c r="J60" s="67" t="inlineStr">
        <is>
          <t>●</t>
        </is>
      </c>
      <c r="K60" s="67" t="inlineStr">
        <is>
          <t>●</t>
        </is>
      </c>
      <c r="L60" s="67" t="inlineStr">
        <is>
          <t>●</t>
        </is>
      </c>
      <c r="M60" s="68" t="inlineStr">
        <is>
          <t>Aucune</t>
        </is>
      </c>
      <c r="N60" s="68" t="inlineStr">
        <is>
          <t>« Vous êtes rentable sur le papier (X €) mais votre trésorerie a baissé de Y € : l'argent est bloqué dans vos créances et votre stock. »</t>
        </is>
      </c>
    </row>
    <row r="61" ht="23.85" customHeight="1" s="53">
      <c r="A61" s="81" t="inlineStr">
        <is>
          <t>XF17</t>
        </is>
      </c>
      <c r="B61" s="68" t="inlineStr">
        <is>
          <t>Finance &amp; Rentabilité</t>
        </is>
      </c>
      <c r="C61" s="65" t="inlineStr">
        <is>
          <t>CA facturé et argent encaissé</t>
        </is>
      </c>
      <c r="D61" s="68" t="inlineStr">
        <is>
          <t>Entrées des 3 derniers mois comparées au CA des mêmes mois</t>
        </is>
      </c>
      <c r="E61" s="68" t="inlineStr">
        <is>
          <t>FIN-12.06</t>
        </is>
      </c>
      <c r="F61" s="67" t="inlineStr">
        <is>
          <t>●</t>
        </is>
      </c>
      <c r="G61" s="67" t="inlineStr">
        <is>
          <t>●</t>
        </is>
      </c>
      <c r="H61" s="67" t="inlineStr">
        <is>
          <t>●</t>
        </is>
      </c>
      <c r="I61" s="67" t="inlineStr">
        <is>
          <t>●</t>
        </is>
      </c>
      <c r="J61" s="67" t="inlineStr">
        <is>
          <t>●</t>
        </is>
      </c>
      <c r="K61" s="67" t="inlineStr">
        <is>
          <t>●</t>
        </is>
      </c>
      <c r="L61" s="67" t="inlineStr">
        <is>
          <t>●</t>
        </is>
      </c>
      <c r="M61" s="68" t="inlineStr">
        <is>
          <t>Aucune</t>
        </is>
      </c>
      <c r="N61" s="68" t="inlineStr">
        <is>
          <t>« Vous facturez X € par mois mais n'encaissez que Y €. »</t>
        </is>
      </c>
    </row>
    <row r="62" ht="23.85" customHeight="1" s="53">
      <c r="A62" s="81" t="inlineStr">
        <is>
          <t>XF18</t>
        </is>
      </c>
      <c r="B62" s="68" t="inlineStr">
        <is>
          <t>Finance &amp; Rentabilité</t>
        </is>
      </c>
      <c r="C62" s="65" t="inlineStr">
        <is>
          <t>Tension de trésorerie à venir</t>
        </is>
      </c>
      <c r="D62" s="68" t="inlineStr">
        <is>
          <t>Trésorerie projetée sur 3 mois avec les gros paiements et encaissements prévus</t>
        </is>
      </c>
      <c r="E62" s="68" t="inlineStr">
        <is>
          <t>FIN-13.04, FIN-13.03, FIN-13.05</t>
        </is>
      </c>
      <c r="F62" s="67" t="inlineStr">
        <is>
          <t>●</t>
        </is>
      </c>
      <c r="G62" s="67" t="inlineStr">
        <is>
          <t>●</t>
        </is>
      </c>
      <c r="H62" s="67" t="inlineStr">
        <is>
          <t>●</t>
        </is>
      </c>
      <c r="I62" s="67" t="inlineStr">
        <is>
          <t>●</t>
        </is>
      </c>
      <c r="J62" s="67" t="inlineStr">
        <is>
          <t>●</t>
        </is>
      </c>
      <c r="K62" s="67" t="inlineStr">
        <is>
          <t>●</t>
        </is>
      </c>
      <c r="L62" s="67" t="inlineStr">
        <is>
          <t>●</t>
        </is>
      </c>
      <c r="M62" s="68" t="inlineStr">
        <is>
          <t>Aucune</t>
        </is>
      </c>
      <c r="N62" s="68" t="inlineStr">
        <is>
          <t>« En X, votre trésorerie passera sous Y € à cause de Z ; ce paiement peut être étalé. »</t>
        </is>
      </c>
    </row>
    <row r="63" ht="23.85" customHeight="1" s="53">
      <c r="A63" s="81" t="inlineStr">
        <is>
          <t>XF19</t>
        </is>
      </c>
      <c r="B63" s="68" t="inlineStr">
        <is>
          <t>Finance &amp; Rentabilité</t>
        </is>
      </c>
      <c r="C63" s="65" t="inlineStr">
        <is>
          <t>Résilience</t>
        </is>
      </c>
      <c r="D63" s="68" t="inlineStr">
        <is>
          <t>Imprévu absorbable comparé au plus gros imprévu des 24 derniers mois</t>
        </is>
      </c>
      <c r="E63" s="68" t="inlineStr">
        <is>
          <t>FIN-15.04, FIN-15.02</t>
        </is>
      </c>
      <c r="F63" s="67" t="inlineStr">
        <is>
          <t>●</t>
        </is>
      </c>
      <c r="G63" s="67" t="inlineStr">
        <is>
          <t>●</t>
        </is>
      </c>
      <c r="H63" s="67" t="inlineStr">
        <is>
          <t>●</t>
        </is>
      </c>
      <c r="I63" s="67" t="inlineStr">
        <is>
          <t>●</t>
        </is>
      </c>
      <c r="J63" s="67" t="inlineStr">
        <is>
          <t>●</t>
        </is>
      </c>
      <c r="K63" s="67" t="inlineStr">
        <is>
          <t>●</t>
        </is>
      </c>
      <c r="L63" s="67" t="inlineStr">
        <is>
          <t>●</t>
        </is>
      </c>
      <c r="M63" s="68" t="inlineStr">
        <is>
          <t>Aucune</t>
        </is>
      </c>
      <c r="N63" s="68" t="inlineStr">
        <is>
          <t>« Vous pouvez absorber un imprévu de X € ; celui de l'an dernier (Y €) vous mettrait aujourd'hui à découvert. »</t>
        </is>
      </c>
    </row>
    <row r="64" ht="23.85" customHeight="1" s="53">
      <c r="A64" s="81" t="inlineStr">
        <is>
          <t>XF20</t>
        </is>
      </c>
      <c r="B64" s="68" t="inlineStr">
        <is>
          <t>Finance &amp; Rentabilité</t>
        </is>
      </c>
      <c r="C64" s="65" t="inlineStr">
        <is>
          <t>Argent immobilisé par l'activité</t>
        </is>
      </c>
      <c r="D64" s="68" t="inlineStr">
        <is>
          <t>Argent dû par les clients + stock + travaux non facturés − argent dû aux fournisseurs</t>
        </is>
      </c>
      <c r="E64" s="68" t="inlineStr">
        <is>
          <t>FIN-17.09, FIN-37.01, FIN-21.01, FIN-20.05</t>
        </is>
      </c>
      <c r="F64" s="67" t="inlineStr">
        <is>
          <t>●</t>
        </is>
      </c>
      <c r="G64" s="67" t="inlineStr">
        <is>
          <t>●</t>
        </is>
      </c>
      <c r="H64" s="67" t="inlineStr">
        <is>
          <t>●</t>
        </is>
      </c>
      <c r="I64" s="67" t="inlineStr">
        <is>
          <t>●</t>
        </is>
      </c>
      <c r="J64" s="67" t="inlineStr">
        <is>
          <t>●</t>
        </is>
      </c>
      <c r="K64" s="67" t="inlineStr">
        <is>
          <t>●</t>
        </is>
      </c>
      <c r="L64" s="67" t="inlineStr">
        <is>
          <t>●</t>
        </is>
      </c>
      <c r="M64" s="68" t="inlineStr">
        <is>
          <t>Aucune</t>
        </is>
      </c>
      <c r="N64" s="68" t="inlineStr">
        <is>
          <t>« Votre activité immobilise X € : Y € chez vos clients, Z € en stock. »</t>
        </is>
      </c>
    </row>
    <row r="65" ht="35.05" customHeight="1" s="53">
      <c r="A65" s="81" t="inlineStr">
        <is>
          <t>XF21</t>
        </is>
      </c>
      <c r="B65" s="68" t="inlineStr">
        <is>
          <t>Finance &amp; Rentabilité</t>
        </is>
      </c>
      <c r="C65" s="65" t="inlineStr">
        <is>
          <t>Délais clients contre délais fournisseurs</t>
        </is>
      </c>
      <c r="D65" s="68" t="inlineStr">
        <is>
          <t>Délai réel d'encaissement − délai réel de paiement fournisseur, converti en €</t>
        </is>
      </c>
      <c r="E65" s="68" t="inlineStr">
        <is>
          <t>FIN-20.06, FIN-17.09, FIN-20.05, FIN-17.04, FIN-17.08</t>
        </is>
      </c>
      <c r="F65" s="67" t="inlineStr">
        <is>
          <t>●</t>
        </is>
      </c>
      <c r="G65" s="67" t="inlineStr">
        <is>
          <t>●</t>
        </is>
      </c>
      <c r="H65" s="67" t="inlineStr">
        <is>
          <t>●</t>
        </is>
      </c>
      <c r="I65" s="67" t="inlineStr">
        <is>
          <t>●</t>
        </is>
      </c>
      <c r="J65" s="67" t="inlineStr">
        <is>
          <t>●</t>
        </is>
      </c>
      <c r="K65" s="67" t="inlineStr">
        <is>
          <t>●</t>
        </is>
      </c>
      <c r="L65" s="67" t="inlineStr">
        <is>
          <t>●</t>
        </is>
      </c>
      <c r="M65" s="68" t="inlineStr">
        <is>
          <t>Aucune</t>
        </is>
      </c>
      <c r="N65" s="68" t="inlineStr">
        <is>
          <t>« Vos clients vous paient en X jours, vous payez vos fournisseurs en Y jours : cet écart immobilise Z € de trésorerie. »</t>
        </is>
      </c>
    </row>
    <row r="66" ht="23.85" customHeight="1" s="53">
      <c r="A66" s="81" t="inlineStr">
        <is>
          <t>XF22</t>
        </is>
      </c>
      <c r="B66" s="68" t="inlineStr">
        <is>
          <t>Finance &amp; Rentabilité</t>
        </is>
      </c>
      <c r="C66" s="65" t="inlineStr">
        <is>
          <t>Trésorerie libérable sur les délais</t>
        </is>
      </c>
      <c r="D66" s="68" t="inlineStr">
        <is>
          <t>Facturer le jour même + 15 jours de délai client en moins + délai fournisseur pleinement utilisé</t>
        </is>
      </c>
      <c r="E66" s="68" t="inlineStr">
        <is>
          <t>FIN-16.07, FIN-17.07, FIN-20.07, Inscription · CA mensuel, FIN-16.04</t>
        </is>
      </c>
      <c r="F66" s="67" t="n"/>
      <c r="G66" s="67" t="n"/>
      <c r="H66" s="67" t="n"/>
      <c r="I66" s="67" t="n"/>
      <c r="J66" s="67" t="inlineStr">
        <is>
          <t>●</t>
        </is>
      </c>
      <c r="K66" s="67" t="inlineStr">
        <is>
          <t>●</t>
        </is>
      </c>
      <c r="L66" s="67" t="inlineStr">
        <is>
          <t>●</t>
        </is>
      </c>
      <c r="M66" s="68" t="inlineStr">
        <is>
          <t>Aucune</t>
        </is>
      </c>
      <c r="N66" s="68" t="inlineStr">
        <is>
          <t>« Facturer le jour même et réduire vos délais clients de 15 jours libérerait environ X €. »</t>
        </is>
      </c>
    </row>
    <row r="67" ht="23.85" customHeight="1" s="53">
      <c r="A67" s="81" t="inlineStr">
        <is>
          <t>XF23</t>
        </is>
      </c>
      <c r="B67" s="68" t="inlineStr">
        <is>
          <t>Finance &amp; Rentabilité</t>
        </is>
      </c>
      <c r="C67" s="65" t="inlineStr">
        <is>
          <t>Retards de paiement</t>
        </is>
      </c>
      <c r="D67" s="68" t="inlineStr">
        <is>
          <t>Total en retard en % du CA mensuel, et part de plus de 90 jours</t>
        </is>
      </c>
      <c r="E67" s="68" t="inlineStr">
        <is>
          <t>FIN-18.08, FIN-18.09, FIN-18.10, FIN-18.02</t>
        </is>
      </c>
      <c r="F67" s="67" t="inlineStr">
        <is>
          <t>●</t>
        </is>
      </c>
      <c r="G67" s="67" t="n"/>
      <c r="H67" s="67" t="n"/>
      <c r="I67" s="67" t="n"/>
      <c r="J67" s="67" t="inlineStr">
        <is>
          <t>●</t>
        </is>
      </c>
      <c r="K67" s="67" t="inlineStr">
        <is>
          <t>●</t>
        </is>
      </c>
      <c r="L67" s="67" t="inlineStr">
        <is>
          <t>●</t>
        </is>
      </c>
      <c r="M67" s="68" t="inlineStr">
        <is>
          <t>Aucune</t>
        </is>
      </c>
      <c r="N67" s="68" t="inlineStr">
        <is>
          <t>« X € de factures sont en retard, soit Y % de votre CA mensuel ; Z € ont plus de 90 jours. »</t>
        </is>
      </c>
    </row>
    <row r="68" ht="23.85" customHeight="1" s="53">
      <c r="A68" s="81" t="inlineStr">
        <is>
          <t>XF24</t>
        </is>
      </c>
      <c r="B68" s="68" t="inlineStr">
        <is>
          <t>Finance &amp; Rentabilité</t>
        </is>
      </c>
      <c r="C68" s="65" t="inlineStr">
        <is>
          <t>Coût des impayés</t>
        </is>
      </c>
      <c r="D68" s="68" t="inlineStr">
        <is>
          <t>Pertes définitives ÷ CA, et évolution sur un an</t>
        </is>
      </c>
      <c r="E68" s="68" t="inlineStr">
        <is>
          <t>FIN-18.11, FIN-18.12</t>
        </is>
      </c>
      <c r="F68" s="67" t="inlineStr">
        <is>
          <t>●</t>
        </is>
      </c>
      <c r="G68" s="67" t="n"/>
      <c r="H68" s="67" t="n"/>
      <c r="I68" s="67" t="n"/>
      <c r="J68" s="67" t="inlineStr">
        <is>
          <t>●</t>
        </is>
      </c>
      <c r="K68" s="67" t="inlineStr">
        <is>
          <t>●</t>
        </is>
      </c>
      <c r="L68" s="67" t="inlineStr">
        <is>
          <t>●</t>
        </is>
      </c>
      <c r="M68" s="68" t="inlineStr">
        <is>
          <t>Aucune</t>
        </is>
      </c>
      <c r="N68" s="68" t="inlineStr">
        <is>
          <t>« Les impayés vous ont coûté X % de votre CA l'an dernier, contre Y % l'année d'avant. »</t>
        </is>
      </c>
    </row>
    <row r="69" ht="35.05" customHeight="1" s="53">
      <c r="A69" s="81" t="inlineStr">
        <is>
          <t>XF25</t>
        </is>
      </c>
      <c r="B69" s="68" t="inlineStr">
        <is>
          <t>Finance &amp; Rentabilité</t>
        </is>
      </c>
      <c r="C69" s="65" t="inlineStr">
        <is>
          <t>L'entreprise finance ses clients</t>
        </is>
      </c>
      <c r="D69" s="68" t="inlineStr">
        <is>
          <t>Montant avancé sur les projets sans acompte, et trésorerie libérée par un acompte de 30 %</t>
        </is>
      </c>
      <c r="E69" s="68" t="inlineStr">
        <is>
          <t>FIN-19.03, FIN-19.04</t>
        </is>
      </c>
      <c r="F69" s="67" t="n"/>
      <c r="G69" s="67" t="n"/>
      <c r="H69" s="67" t="n"/>
      <c r="I69" s="67" t="n"/>
      <c r="J69" s="67" t="inlineStr">
        <is>
          <t>●</t>
        </is>
      </c>
      <c r="K69" s="67" t="inlineStr">
        <is>
          <t>●</t>
        </is>
      </c>
      <c r="L69" s="67" t="n"/>
      <c r="M69" s="68" t="inlineStr">
        <is>
          <t>Aucune</t>
        </is>
      </c>
      <c r="N69" s="68" t="inlineStr">
        <is>
          <t>« Sur vos chantiers sans acompte, vous avancez en moyenne X € ; un acompte de 30 % libérerait Y € de trésorerie. »</t>
        </is>
      </c>
    </row>
    <row r="70" ht="23.85" customHeight="1" s="53">
      <c r="A70" s="81" t="inlineStr">
        <is>
          <t>XF26</t>
        </is>
      </c>
      <c r="B70" s="68" t="inlineStr">
        <is>
          <t>Finance &amp; Rentabilité</t>
        </is>
      </c>
      <c r="C70" s="65" t="inlineStr">
        <is>
          <t>Remise pour paiement rapide face au découvert</t>
        </is>
      </c>
      <c r="D70" s="68" t="inlineStr">
        <is>
          <t>Remise proposée par le fournisseur comparée au coût du découvert</t>
        </is>
      </c>
      <c r="E70" s="68" t="inlineStr">
        <is>
          <t>FIN-20.03, FIN-24.07, FIN-11.05</t>
        </is>
      </c>
      <c r="F70" s="67" t="inlineStr">
        <is>
          <t>●</t>
        </is>
      </c>
      <c r="G70" s="67" t="inlineStr">
        <is>
          <t>●</t>
        </is>
      </c>
      <c r="H70" s="67" t="inlineStr">
        <is>
          <t>●</t>
        </is>
      </c>
      <c r="I70" s="67" t="inlineStr">
        <is>
          <t>●</t>
        </is>
      </c>
      <c r="J70" s="67" t="inlineStr">
        <is>
          <t>●</t>
        </is>
      </c>
      <c r="K70" s="67" t="inlineStr">
        <is>
          <t>●</t>
        </is>
      </c>
      <c r="L70" s="67" t="inlineStr">
        <is>
          <t>●</t>
        </is>
      </c>
      <c r="M70" s="68" t="inlineStr">
        <is>
          <t>Aucune</t>
        </is>
      </c>
      <c r="N70" s="68" t="inlineStr">
        <is>
          <t>« Payer comptant votre fournisseur vous ferait gagner X % ; avec votre trésorerie actuelle, c'est rentable / risqué. »</t>
        </is>
      </c>
    </row>
    <row r="71" ht="23.85" customHeight="1" s="53">
      <c r="A71" s="81" t="inlineStr">
        <is>
          <t>XF27</t>
        </is>
      </c>
      <c r="B71" s="68" t="inlineStr">
        <is>
          <t>Finance &amp; Rentabilité</t>
        </is>
      </c>
      <c r="C71" s="65" t="inlineStr">
        <is>
          <t>Poids de la dette</t>
        </is>
      </c>
      <c r="D71" s="68" t="inlineStr">
        <is>
          <t>Mensualités ÷ marge disponible, et mensualités libérées dans l'année</t>
        </is>
      </c>
      <c r="E71" s="68" t="inlineStr">
        <is>
          <t>FIN-22.05, FIN-22.06</t>
        </is>
      </c>
      <c r="F71" s="67" t="inlineStr">
        <is>
          <t>●</t>
        </is>
      </c>
      <c r="G71" s="67" t="inlineStr">
        <is>
          <t>●</t>
        </is>
      </c>
      <c r="H71" s="67" t="inlineStr">
        <is>
          <t>●</t>
        </is>
      </c>
      <c r="I71" s="67" t="inlineStr">
        <is>
          <t>●</t>
        </is>
      </c>
      <c r="J71" s="67" t="inlineStr">
        <is>
          <t>●</t>
        </is>
      </c>
      <c r="K71" s="67" t="inlineStr">
        <is>
          <t>●</t>
        </is>
      </c>
      <c r="L71" s="67" t="inlineStr">
        <is>
          <t>●</t>
        </is>
      </c>
      <c r="M71" s="68" t="inlineStr">
        <is>
          <t>Aucune</t>
        </is>
      </c>
      <c r="N71" s="68" t="inlineStr">
        <is>
          <t>« Vos remboursements absorbent X % de votre marge ; Y € par mois seront libérés dans Z mois. »</t>
        </is>
      </c>
    </row>
    <row r="72" ht="23.85" customHeight="1" s="53">
      <c r="A72" s="81" t="inlineStr">
        <is>
          <t>XF28</t>
        </is>
      </c>
      <c r="B72" s="68" t="inlineStr">
        <is>
          <t>Finance &amp; Rentabilité</t>
        </is>
      </c>
      <c r="C72" s="65" t="inlineStr">
        <is>
          <t>Découvert structurel</t>
        </is>
      </c>
      <c r="D72" s="68" t="inlineStr">
        <is>
          <t>Jours de découvert, mois concernés et coût annuel</t>
        </is>
      </c>
      <c r="E72" s="68" t="inlineStr">
        <is>
          <t>FIN-24.06, FIN-24.07, FIN-24.04, FIN-20.04</t>
        </is>
      </c>
      <c r="F72" s="67" t="inlineStr">
        <is>
          <t>●</t>
        </is>
      </c>
      <c r="G72" s="67" t="inlineStr">
        <is>
          <t>●</t>
        </is>
      </c>
      <c r="H72" s="67" t="inlineStr">
        <is>
          <t>●</t>
        </is>
      </c>
      <c r="I72" s="67" t="inlineStr">
        <is>
          <t>●</t>
        </is>
      </c>
      <c r="J72" s="67" t="inlineStr">
        <is>
          <t>●</t>
        </is>
      </c>
      <c r="K72" s="67" t="inlineStr">
        <is>
          <t>●</t>
        </is>
      </c>
      <c r="L72" s="67" t="inlineStr">
        <is>
          <t>●</t>
        </is>
      </c>
      <c r="M72" s="68" t="inlineStr">
        <is>
          <t>Aucune</t>
        </is>
      </c>
      <c r="N72" s="68" t="inlineStr">
        <is>
          <t>« Vous êtes à découvert X jours par mois depuis Y mois : ce n'est plus un accident, et cela vous coûte Z € par an. »</t>
        </is>
      </c>
    </row>
    <row r="73" ht="35.05" customHeight="1" s="53">
      <c r="A73" s="81" t="inlineStr">
        <is>
          <t>XF29</t>
        </is>
      </c>
      <c r="B73" s="68" t="inlineStr">
        <is>
          <t>Finance &amp; Rentabilité</t>
        </is>
      </c>
      <c r="C73" s="65" t="inlineStr">
        <is>
          <t>Investissement : prévu et réel</t>
        </is>
      </c>
      <c r="D73" s="68" t="inlineStr">
        <is>
          <t>Gain financier attendu et réel, écart, délai de remboursement</t>
        </is>
      </c>
      <c r="E73" s="68" t="inlineStr">
        <is>
          <t>FIN-28.04, FIN-27.03, FIN-28.06, FIN-28.02, FIN-25.02</t>
        </is>
      </c>
      <c r="F73" s="67" t="inlineStr">
        <is>
          <t>●</t>
        </is>
      </c>
      <c r="G73" s="67" t="inlineStr">
        <is>
          <t>●</t>
        </is>
      </c>
      <c r="H73" s="67" t="inlineStr">
        <is>
          <t>●</t>
        </is>
      </c>
      <c r="I73" s="67" t="inlineStr">
        <is>
          <t>●</t>
        </is>
      </c>
      <c r="J73" s="67" t="inlineStr">
        <is>
          <t>●</t>
        </is>
      </c>
      <c r="K73" s="67" t="inlineStr">
        <is>
          <t>●</t>
        </is>
      </c>
      <c r="L73" s="67" t="inlineStr">
        <is>
          <t>●</t>
        </is>
      </c>
      <c r="M73" s="68" t="inlineStr">
        <is>
          <t>Aucune</t>
        </is>
      </c>
      <c r="N73" s="68" t="inlineStr">
        <is>
          <t>« Cet investissement devait rapporter X € par mois, il en rapporte Y € (écart de Z %) ; il sera remboursé dans N mois. »</t>
        </is>
      </c>
    </row>
    <row r="74" ht="23.85" customHeight="1" s="53">
      <c r="A74" s="81" t="inlineStr">
        <is>
          <t>XF30</t>
        </is>
      </c>
      <c r="B74" s="68" t="inlineStr">
        <is>
          <t>Finance &amp; Rentabilité</t>
        </is>
      </c>
      <c r="C74" s="65" t="inlineStr">
        <is>
          <t>Financement de l'investissement</t>
        </is>
      </c>
      <c r="D74" s="68" t="inlineStr">
        <is>
          <t>Mois de sécurité avant et après la part payée en trésorerie</t>
        </is>
      </c>
      <c r="E74" s="68" t="inlineStr">
        <is>
          <t>FIN-23.02</t>
        </is>
      </c>
      <c r="F74" s="67" t="inlineStr">
        <is>
          <t>●</t>
        </is>
      </c>
      <c r="G74" s="67" t="inlineStr">
        <is>
          <t>●</t>
        </is>
      </c>
      <c r="H74" s="67" t="inlineStr">
        <is>
          <t>●</t>
        </is>
      </c>
      <c r="I74" s="67" t="inlineStr">
        <is>
          <t>●</t>
        </is>
      </c>
      <c r="J74" s="67" t="inlineStr">
        <is>
          <t>●</t>
        </is>
      </c>
      <c r="K74" s="67" t="inlineStr">
        <is>
          <t>●</t>
        </is>
      </c>
      <c r="L74" s="67" t="inlineStr">
        <is>
          <t>●</t>
        </is>
      </c>
      <c r="M74" s="68" t="inlineStr">
        <is>
          <t>Aucune</t>
        </is>
      </c>
      <c r="N74" s="68" t="inlineStr">
        <is>
          <t>« Vous avez payé X € comptant : vos mois de sécurité sont passés de Y à Z. »</t>
        </is>
      </c>
    </row>
    <row r="75" ht="23.85" customHeight="1" s="53">
      <c r="A75" s="81" t="inlineStr">
        <is>
          <t>XF31</t>
        </is>
      </c>
      <c r="B75" s="68" t="inlineStr">
        <is>
          <t>Finance &amp; Rentabilité</t>
        </is>
      </c>
      <c r="C75" s="65" t="inlineStr">
        <is>
          <t>Départ du plus gros client</t>
        </is>
      </c>
      <c r="D75" s="68" t="inlineStr">
        <is>
          <t>Trésorerie ÷ déficit mensuel après départ du 1er client</t>
        </is>
      </c>
      <c r="E75" s="68" t="inlineStr">
        <is>
          <t>FIN-31.01, ACQ-16.04</t>
        </is>
      </c>
      <c r="F75" s="67" t="n"/>
      <c r="G75" s="67" t="n"/>
      <c r="H75" s="67" t="n"/>
      <c r="I75" s="67" t="n"/>
      <c r="J75" s="67" t="inlineStr">
        <is>
          <t>●</t>
        </is>
      </c>
      <c r="K75" s="67" t="inlineStr">
        <is>
          <t>●</t>
        </is>
      </c>
      <c r="L75" s="67" t="inlineStr">
        <is>
          <t>●</t>
        </is>
      </c>
      <c r="M75" s="68" t="inlineStr">
        <is>
          <t>Aucune</t>
        </is>
      </c>
      <c r="N75" s="68" t="inlineStr">
        <is>
          <t>« Si votre plus gros client partait demain, votre trésorerie vous permettrait de tenir environ X mois. »</t>
        </is>
      </c>
    </row>
    <row r="76" ht="23.85" customHeight="1" s="53">
      <c r="A76" s="81" t="inlineStr">
        <is>
          <t>XF32</t>
        </is>
      </c>
      <c r="B76" s="68" t="inlineStr">
        <is>
          <t>Finance &amp; Rentabilité</t>
        </is>
      </c>
      <c r="C76" s="65" t="inlineStr">
        <is>
          <t>Trésorerie à avancer pour l'objectif</t>
        </is>
      </c>
      <c r="D76" s="68" t="inlineStr">
        <is>
          <t>Besoin de trésorerie créé par le CA supplémentaire avant qu'il soit encaissé</t>
        </is>
      </c>
      <c r="E76" s="68" t="inlineStr">
        <is>
          <t>FIN-32.01</t>
        </is>
      </c>
      <c r="F76" s="67" t="inlineStr">
        <is>
          <t>●</t>
        </is>
      </c>
      <c r="G76" s="67" t="inlineStr">
        <is>
          <t>●</t>
        </is>
      </c>
      <c r="H76" s="67" t="inlineStr">
        <is>
          <t>●</t>
        </is>
      </c>
      <c r="I76" s="67" t="inlineStr">
        <is>
          <t>●</t>
        </is>
      </c>
      <c r="J76" s="67" t="inlineStr">
        <is>
          <t>●</t>
        </is>
      </c>
      <c r="K76" s="67" t="inlineStr">
        <is>
          <t>●</t>
        </is>
      </c>
      <c r="L76" s="67" t="inlineStr">
        <is>
          <t>●</t>
        </is>
      </c>
      <c r="M76" s="68" t="inlineStr">
        <is>
          <t>Aucune</t>
        </is>
      </c>
      <c r="N76" s="68" t="inlineStr">
        <is>
          <t>« Atteindre votre objectif nécessiterait environ X € de trésorerie avant que la croissance ne génère du cash. »</t>
        </is>
      </c>
    </row>
    <row r="77" ht="23.85" customHeight="1" s="53">
      <c r="A77" s="81" t="inlineStr">
        <is>
          <t>XF33</t>
        </is>
      </c>
      <c r="B77" s="68" t="inlineStr">
        <is>
          <t>Finance &amp; Rentabilité</t>
        </is>
      </c>
      <c r="C77" s="65" t="inlineStr">
        <is>
          <t>Croissance finançable sans emprunt</t>
        </is>
      </c>
      <c r="D77" s="68" t="inlineStr">
        <is>
          <t>Trésorerie au-delà de 2 mois de sécurité ÷ besoin de trésorerie par € de CA supplémentaire</t>
        </is>
      </c>
      <c r="E77" s="68" t="inlineStr">
        <is>
          <t>FIN-11.04, FIN-05.08, FIN-32.01</t>
        </is>
      </c>
      <c r="F77" s="67" t="inlineStr">
        <is>
          <t>●</t>
        </is>
      </c>
      <c r="G77" s="67" t="inlineStr">
        <is>
          <t>●</t>
        </is>
      </c>
      <c r="H77" s="67" t="inlineStr">
        <is>
          <t>●</t>
        </is>
      </c>
      <c r="I77" s="67" t="inlineStr">
        <is>
          <t>●</t>
        </is>
      </c>
      <c r="J77" s="67" t="inlineStr">
        <is>
          <t>●</t>
        </is>
      </c>
      <c r="K77" s="67" t="inlineStr">
        <is>
          <t>●</t>
        </is>
      </c>
      <c r="L77" s="67" t="inlineStr">
        <is>
          <t>●</t>
        </is>
      </c>
      <c r="M77" s="68" t="inlineStr">
        <is>
          <t>Aucune</t>
        </is>
      </c>
      <c r="N77" s="68" t="inlineStr">
        <is>
          <t>« Avec votre trésorerie actuelle, vous pouvez financer environ X € de CA supplémentaire par mois sans emprunter. »</t>
        </is>
      </c>
    </row>
    <row r="78" ht="23.85" customHeight="1" s="53">
      <c r="A78" s="81" t="inlineStr">
        <is>
          <t>XF34</t>
        </is>
      </c>
      <c r="B78" s="68" t="inlineStr">
        <is>
          <t>Finance &amp; Rentabilité</t>
        </is>
      </c>
      <c r="C78" s="65" t="inlineStr">
        <is>
          <t>Marge par offre et effet du mix</t>
        </is>
      </c>
      <c r="D78" s="68" t="inlineStr">
        <is>
          <t>Marge de chaque offre comparée à son poids dans le CA</t>
        </is>
      </c>
      <c r="E78" s="68" t="inlineStr">
        <is>
          <t>FIN-01.04, FIN-01.06, ACQ-13.02</t>
        </is>
      </c>
      <c r="F78" s="67" t="inlineStr">
        <is>
          <t>●</t>
        </is>
      </c>
      <c r="G78" s="67" t="inlineStr">
        <is>
          <t>●</t>
        </is>
      </c>
      <c r="H78" s="67" t="inlineStr">
        <is>
          <t>●</t>
        </is>
      </c>
      <c r="I78" s="67" t="inlineStr">
        <is>
          <t>●</t>
        </is>
      </c>
      <c r="J78" s="67" t="inlineStr">
        <is>
          <t>●</t>
        </is>
      </c>
      <c r="K78" s="67" t="inlineStr">
        <is>
          <t>●</t>
        </is>
      </c>
      <c r="L78" s="67" t="inlineStr">
        <is>
          <t>●</t>
        </is>
      </c>
      <c r="M78" s="68" t="inlineStr">
        <is>
          <t>Aucune</t>
        </is>
      </c>
      <c r="N78" s="68" t="inlineStr">
        <is>
          <t>« Votre offre A fait 50 % de votre CA avec 15 % de marge ; l'offre B 20 % avec 45 %. »</t>
        </is>
      </c>
    </row>
    <row r="79" ht="23.85" customHeight="1" s="53">
      <c r="A79" s="81" t="inlineStr">
        <is>
          <t>XF35</t>
        </is>
      </c>
      <c r="B79" s="68" t="inlineStr">
        <is>
          <t>Finance &amp; Rentabilité</t>
        </is>
      </c>
      <c r="C79" s="65" t="inlineStr">
        <is>
          <t>Offres vendues à perte</t>
        </is>
      </c>
      <c r="D79" s="68" t="inlineStr">
        <is>
          <t>Prix comparé au coût complet de l'offre</t>
        </is>
      </c>
      <c r="E79" s="68" t="inlineStr">
        <is>
          <t>FIN-03.03, FIN-03.02</t>
        </is>
      </c>
      <c r="F79" s="67" t="inlineStr">
        <is>
          <t>●</t>
        </is>
      </c>
      <c r="G79" s="67" t="inlineStr">
        <is>
          <t>●</t>
        </is>
      </c>
      <c r="H79" s="67" t="inlineStr">
        <is>
          <t>●</t>
        </is>
      </c>
      <c r="I79" s="67" t="inlineStr">
        <is>
          <t>●</t>
        </is>
      </c>
      <c r="J79" s="67" t="inlineStr">
        <is>
          <t>●</t>
        </is>
      </c>
      <c r="K79" s="67" t="inlineStr">
        <is>
          <t>●</t>
        </is>
      </c>
      <c r="L79" s="67" t="inlineStr">
        <is>
          <t>●</t>
        </is>
      </c>
      <c r="M79" s="68" t="inlineStr">
        <is>
          <t>Aucune</t>
        </is>
      </c>
      <c r="N79" s="68" t="inlineStr">
        <is>
          <t>« Votre offre A coûte X € une fois les charges réparties : vendue Y €, elle ne couvre pas ses frais. »</t>
        </is>
      </c>
    </row>
    <row r="80" ht="23.85" customHeight="1" s="53">
      <c r="A80" s="81" t="inlineStr">
        <is>
          <t>XF36</t>
        </is>
      </c>
      <c r="B80" s="68" t="inlineStr">
        <is>
          <t>Finance &amp; Rentabilité</t>
        </is>
      </c>
      <c r="C80" s="65" t="inlineStr">
        <is>
          <t>Clients qui coûtent</t>
        </is>
      </c>
      <c r="D80" s="68" t="inlineStr">
        <is>
          <t>Marge réelle des gros clients une fois le temps passé compté</t>
        </is>
      </c>
      <c r="E80" s="68" t="inlineStr">
        <is>
          <t>FIN-02.02, FIN-02.03</t>
        </is>
      </c>
      <c r="F80" s="67" t="n"/>
      <c r="G80" s="67" t="n"/>
      <c r="H80" s="67" t="n"/>
      <c r="I80" s="67" t="n"/>
      <c r="J80" s="67" t="n"/>
      <c r="K80" s="67" t="inlineStr">
        <is>
          <t>●</t>
        </is>
      </c>
      <c r="L80" s="67" t="inlineStr">
        <is>
          <t>●</t>
        </is>
      </c>
      <c r="M80" s="68" t="inlineStr">
        <is>
          <t>Aucune</t>
        </is>
      </c>
      <c r="N80" s="68" t="inlineStr">
        <is>
          <t>« Le client A vous prend X heures par mois pour Y € : il vous rapporte Z €, contre N € en moyenne. »</t>
        </is>
      </c>
    </row>
    <row r="81" ht="23.85" customHeight="1" s="53">
      <c r="A81" s="81" t="inlineStr">
        <is>
          <t>XF37</t>
        </is>
      </c>
      <c r="B81" s="68" t="inlineStr">
        <is>
          <t>Finance &amp; Rentabilité</t>
        </is>
      </c>
      <c r="C81" s="65" t="inlineStr">
        <is>
          <t>Rentabilité d'une heure de travail</t>
        </is>
      </c>
      <c r="D81" s="68" t="inlineStr">
        <is>
          <t>Coût d'une heure, CA et marge par heure, part des heures facturées (calcul de l'agent Acquisition, ACQ-21)</t>
        </is>
      </c>
      <c r="E81" s="68" t="inlineStr">
        <is>
          <t>FIN-07.12, FIN-07.13, FIN-07.14, ACQ-21.12</t>
        </is>
      </c>
      <c r="F81" s="67" t="inlineStr">
        <is>
          <t>●</t>
        </is>
      </c>
      <c r="G81" s="67" t="n"/>
      <c r="H81" s="67" t="n"/>
      <c r="I81" s="67" t="n"/>
      <c r="J81" s="67" t="inlineStr">
        <is>
          <t>●</t>
        </is>
      </c>
      <c r="K81" s="67" t="inlineStr">
        <is>
          <t>●</t>
        </is>
      </c>
      <c r="L81" s="67" t="n"/>
      <c r="M81" s="68" t="inlineStr">
        <is>
          <t>Aucune</t>
        </is>
      </c>
      <c r="N81" s="68" t="inlineStr">
        <is>
          <t>« Une heure de travail vous coûte X € et vous rapporte Y € ; seules Z % des heures sont facturées. »</t>
        </is>
      </c>
    </row>
    <row r="82" ht="23.85" customHeight="1" s="53">
      <c r="A82" s="81" t="inlineStr">
        <is>
          <t>XF38</t>
        </is>
      </c>
      <c r="B82" s="68" t="inlineStr">
        <is>
          <t>Finance &amp; Rentabilité</t>
        </is>
      </c>
      <c r="C82" s="65" t="inlineStr">
        <is>
          <t>Ce que l'entreprise peut verser au dirigeant</t>
        </is>
      </c>
      <c r="D82" s="68" t="inlineStr">
        <is>
          <t>Rémunération actuelle comparée à la marge disponible après charges et remboursements</t>
        </is>
      </c>
      <c r="E82" s="68" t="inlineStr">
        <is>
          <t>FIN-05.01, FIN-05.13, FIN-22.03</t>
        </is>
      </c>
      <c r="F82" s="67" t="inlineStr">
        <is>
          <t>●</t>
        </is>
      </c>
      <c r="G82" s="67" t="inlineStr">
        <is>
          <t>●</t>
        </is>
      </c>
      <c r="H82" s="67" t="inlineStr">
        <is>
          <t>●</t>
        </is>
      </c>
      <c r="I82" s="67" t="inlineStr">
        <is>
          <t>●</t>
        </is>
      </c>
      <c r="J82" s="67" t="inlineStr">
        <is>
          <t>●</t>
        </is>
      </c>
      <c r="K82" s="67" t="inlineStr">
        <is>
          <t>●</t>
        </is>
      </c>
      <c r="L82" s="67" t="inlineStr">
        <is>
          <t>●</t>
        </is>
      </c>
      <c r="M82" s="68" t="inlineStr">
        <is>
          <t>Aucune</t>
        </is>
      </c>
      <c r="N82" s="68" t="inlineStr">
        <is>
          <t>« Vous vous versez X € par mois ; après charges et remboursements, l'entreprise dégage Y € de marge. »</t>
        </is>
      </c>
    </row>
    <row r="83" ht="23.85" customHeight="1" s="53">
      <c r="A83" s="81" t="inlineStr">
        <is>
          <t>XF39</t>
        </is>
      </c>
      <c r="B83" s="68" t="inlineStr">
        <is>
          <t>Finance &amp; Rentabilité</t>
        </is>
      </c>
      <c r="C83" s="65" t="inlineStr">
        <is>
          <t>Marge pensée et marge réelle</t>
        </is>
      </c>
      <c r="D83" s="68" t="inlineStr">
        <is>
          <t>Taux de marge déclaré comparé au taux calculé</t>
        </is>
      </c>
      <c r="E83" s="68" t="inlineStr">
        <is>
          <t>FIN-05.16</t>
        </is>
      </c>
      <c r="F83" s="67" t="inlineStr">
        <is>
          <t>●</t>
        </is>
      </c>
      <c r="G83" s="67" t="inlineStr">
        <is>
          <t>●</t>
        </is>
      </c>
      <c r="H83" s="67" t="inlineStr">
        <is>
          <t>●</t>
        </is>
      </c>
      <c r="I83" s="67" t="inlineStr">
        <is>
          <t>●</t>
        </is>
      </c>
      <c r="J83" s="67" t="inlineStr">
        <is>
          <t>●</t>
        </is>
      </c>
      <c r="K83" s="67" t="inlineStr">
        <is>
          <t>●</t>
        </is>
      </c>
      <c r="L83" s="67" t="inlineStr">
        <is>
          <t>●</t>
        </is>
      </c>
      <c r="M83" s="68" t="inlineStr">
        <is>
          <t>Aucune</t>
        </is>
      </c>
      <c r="N83" s="68" t="inlineStr">
        <is>
          <t>« Vous estimez votre marge à X % ; vos chiffres indiquent Y %. »</t>
        </is>
      </c>
    </row>
    <row r="84" ht="23.85" customHeight="1" s="53">
      <c r="A84" s="81" t="inlineStr">
        <is>
          <t>XF40</t>
        </is>
      </c>
      <c r="B84" s="68" t="inlineStr">
        <is>
          <t>Finance &amp; Rentabilité</t>
        </is>
      </c>
      <c r="C84" s="65" t="inlineStr">
        <is>
          <t>Argent dormant en stock</t>
        </is>
      </c>
      <c r="D84" s="68" t="inlineStr">
        <is>
          <t>Stock total et stock sans vente depuis 6 mois</t>
        </is>
      </c>
      <c r="E84" s="68" t="inlineStr">
        <is>
          <t>FIN-37.01, FIN-39.01, FIN-39.04, FIN-39.05, FIN-39.02</t>
        </is>
      </c>
      <c r="F84" s="67" t="n"/>
      <c r="G84" s="67" t="inlineStr">
        <is>
          <t>●</t>
        </is>
      </c>
      <c r="H84" s="67" t="inlineStr">
        <is>
          <t>●</t>
        </is>
      </c>
      <c r="I84" s="67" t="inlineStr">
        <is>
          <t>●</t>
        </is>
      </c>
      <c r="J84" s="67" t="inlineStr">
        <is>
          <t>●</t>
        </is>
      </c>
      <c r="K84" s="67" t="n"/>
      <c r="L84" s="67" t="n"/>
      <c r="M84" s="68" t="inlineStr">
        <is>
          <t>Aucune</t>
        </is>
      </c>
      <c r="N84" s="68" t="inlineStr">
        <is>
          <t>« Vous avez X € immobilisés en stock, dont Y € n'ont généré aucune vente depuis six mois. »</t>
        </is>
      </c>
    </row>
    <row r="85" ht="23.85" customHeight="1" s="53">
      <c r="A85" s="81" t="inlineStr">
        <is>
          <t>XF41</t>
        </is>
      </c>
      <c r="B85" s="68" t="inlineStr">
        <is>
          <t>Finance &amp; Rentabilité</t>
        </is>
      </c>
      <c r="C85" s="65" t="inlineStr">
        <is>
          <t>Jours de stock et rotation</t>
        </is>
      </c>
      <c r="D85" s="68" t="inlineStr">
        <is>
          <t>Stock en jours de ventes et rotation annuelle</t>
        </is>
      </c>
      <c r="E85" s="68" t="inlineStr">
        <is>
          <t>FIN-38.01, FIN-37.06</t>
        </is>
      </c>
      <c r="F85" s="67" t="n"/>
      <c r="G85" s="67" t="inlineStr">
        <is>
          <t>●</t>
        </is>
      </c>
      <c r="H85" s="67" t="inlineStr">
        <is>
          <t>●</t>
        </is>
      </c>
      <c r="I85" s="67" t="inlineStr">
        <is>
          <t>●</t>
        </is>
      </c>
      <c r="J85" s="67" t="inlineStr">
        <is>
          <t>●</t>
        </is>
      </c>
      <c r="K85" s="67" t="n"/>
      <c r="L85" s="67" t="n"/>
      <c r="M85" s="68" t="inlineStr">
        <is>
          <t>Ratio de référence du secteur (seuil Marché), à sourcer</t>
        </is>
      </c>
      <c r="N85" s="68" t="inlineStr">
        <is>
          <t>« Votre stock représente X jours de ventes ; il a augmenté de Y % quand votre CA a augmenté de Z %. »</t>
        </is>
      </c>
    </row>
    <row r="86" ht="23.85" customHeight="1" s="53">
      <c r="A86" s="81" t="inlineStr">
        <is>
          <t>XF42</t>
        </is>
      </c>
      <c r="B86" s="68" t="inlineStr">
        <is>
          <t>Finance &amp; Rentabilité</t>
        </is>
      </c>
      <c r="C86" s="65" t="inlineStr">
        <is>
          <t>Pertes de stock</t>
        </is>
      </c>
      <c r="D86" s="68" t="inlineStr">
        <is>
          <t>Pertes annuelles ÷ achats annuels, et cause principale</t>
        </is>
      </c>
      <c r="E86" s="68" t="inlineStr">
        <is>
          <t>FIN-40.04, FIN-40.03, FIN-40.05, FIN-40.02</t>
        </is>
      </c>
      <c r="F86" s="67" t="n"/>
      <c r="G86" s="67" t="inlineStr">
        <is>
          <t>●</t>
        </is>
      </c>
      <c r="H86" s="67" t="inlineStr">
        <is>
          <t>●</t>
        </is>
      </c>
      <c r="I86" s="67" t="inlineStr">
        <is>
          <t>●</t>
        </is>
      </c>
      <c r="J86" s="67" t="inlineStr">
        <is>
          <t>●</t>
        </is>
      </c>
      <c r="K86" s="67" t="n"/>
      <c r="L86" s="67" t="n"/>
      <c r="M86" s="68" t="inlineStr">
        <is>
          <t>Ratio de référence du secteur (seuil Marché), à sourcer</t>
        </is>
      </c>
      <c r="N86" s="68" t="inlineStr">
        <is>
          <t>« Vos pertes représentent X % de vos achats, soit Y € par an, surtout à cause de Z. »</t>
        </is>
      </c>
    </row>
    <row r="87" ht="23.85" customHeight="1" s="53">
      <c r="A87" s="81" t="inlineStr">
        <is>
          <t>XF43</t>
        </is>
      </c>
      <c r="B87" s="68" t="inlineStr">
        <is>
          <t>Finance &amp; Rentabilité</t>
        </is>
      </c>
      <c r="C87" s="65" t="inlineStr">
        <is>
          <t>Ruptures</t>
        </is>
      </c>
      <c r="D87" s="68" t="inlineStr">
        <is>
          <t>Ventes perdues × panier, puis × marge</t>
        </is>
      </c>
      <c r="E87" s="68" t="inlineStr">
        <is>
          <t>FIN-41.03, FIN-41.04, FIN-41.05, FIN-42.01</t>
        </is>
      </c>
      <c r="F87" s="67" t="n"/>
      <c r="G87" s="67" t="inlineStr">
        <is>
          <t>●</t>
        </is>
      </c>
      <c r="H87" s="67" t="inlineStr">
        <is>
          <t>●</t>
        </is>
      </c>
      <c r="I87" s="67" t="inlineStr">
        <is>
          <t>●</t>
        </is>
      </c>
      <c r="J87" s="67" t="inlineStr">
        <is>
          <t>●</t>
        </is>
      </c>
      <c r="K87" s="67" t="n"/>
      <c r="L87" s="67" t="n"/>
      <c r="M87" s="68" t="inlineStr">
        <is>
          <t>Aucune</t>
        </is>
      </c>
      <c r="N87" s="68" t="inlineStr">
        <is>
          <t>« Vos ruptures représentent environ X € de CA et Y € de marge perdus par an. »</t>
        </is>
      </c>
    </row>
    <row r="88" ht="23.85" customHeight="1" s="53">
      <c r="A88" s="81" t="inlineStr">
        <is>
          <t>XF44</t>
        </is>
      </c>
      <c r="B88" s="68" t="inlineStr">
        <is>
          <t>Finance &amp; Rentabilité</t>
        </is>
      </c>
      <c r="C88" s="65" t="inlineStr">
        <is>
          <t>Quantités minimum imposées</t>
        </is>
      </c>
      <c r="D88" s="68" t="inlineStr">
        <is>
          <t>Stock acheté pour atteindre les minimums, comparé à la remise obtenue</t>
        </is>
      </c>
      <c r="E88" s="68" t="inlineStr">
        <is>
          <t>FIN-44.02</t>
        </is>
      </c>
      <c r="F88" s="67" t="n"/>
      <c r="G88" s="67" t="inlineStr">
        <is>
          <t>●</t>
        </is>
      </c>
      <c r="H88" s="67" t="inlineStr">
        <is>
          <t>●</t>
        </is>
      </c>
      <c r="I88" s="67" t="inlineStr">
        <is>
          <t>●</t>
        </is>
      </c>
      <c r="J88" s="67" t="inlineStr">
        <is>
          <t>●</t>
        </is>
      </c>
      <c r="K88" s="67" t="n"/>
      <c r="L88" s="67" t="n"/>
      <c r="M88" s="68" t="inlineStr">
        <is>
          <t>Aucune</t>
        </is>
      </c>
      <c r="N88" s="68" t="inlineStr">
        <is>
          <t>« Les minimums de commande vous font immobiliser X € de stock pour Y € de remise par an. »</t>
        </is>
      </c>
    </row>
    <row r="89" ht="23.85" customHeight="1" s="53">
      <c r="A89" s="81" t="inlineStr">
        <is>
          <t>XF45</t>
        </is>
      </c>
      <c r="B89" s="68" t="inlineStr">
        <is>
          <t>Finance &amp; Rentabilité</t>
        </is>
      </c>
      <c r="C89" s="65" t="inlineStr">
        <is>
          <t>Écart d'inventaire</t>
        </is>
      </c>
      <c r="D89" s="68" t="inlineStr">
        <is>
          <t>Écart en € et en % du stock, comparé à l'inventaire précédent</t>
        </is>
      </c>
      <c r="E89" s="68" t="inlineStr">
        <is>
          <t>FIN-45.04, FIN-45.02, FIN-45.03, FIN-45.01</t>
        </is>
      </c>
      <c r="F89" s="67" t="n"/>
      <c r="G89" s="67" t="inlineStr">
        <is>
          <t>●</t>
        </is>
      </c>
      <c r="H89" s="67" t="inlineStr">
        <is>
          <t>●</t>
        </is>
      </c>
      <c r="I89" s="67" t="inlineStr">
        <is>
          <t>●</t>
        </is>
      </c>
      <c r="J89" s="67" t="inlineStr">
        <is>
          <t>●</t>
        </is>
      </c>
      <c r="K89" s="67" t="n"/>
      <c r="L89" s="67" t="n"/>
      <c r="M89" s="68" t="inlineStr">
        <is>
          <t>Aucune</t>
        </is>
      </c>
      <c r="N89" s="68" t="inlineStr">
        <is>
          <t>« Votre dernier inventaire a révélé X € d'écart, soit Y % du stock. »</t>
        </is>
      </c>
    </row>
    <row r="90" ht="35.05" customHeight="1" s="53">
      <c r="A90" s="81" t="inlineStr">
        <is>
          <t>XF46</t>
        </is>
      </c>
      <c r="B90" s="68" t="inlineStr">
        <is>
          <t>Finance &amp; Rentabilité</t>
        </is>
      </c>
      <c r="C90" s="65" t="inlineStr">
        <is>
          <t>Niveau de pilotage financier</t>
        </is>
      </c>
      <c r="D90" s="68" t="inlineStr">
        <is>
          <t>Maîtrise des chiffres Finance comparée à celle des chiffres commerciaux, et indicateurs suivis</t>
        </is>
      </c>
      <c r="E90" s="68" t="inlineStr">
        <is>
          <t>FIN-33.01, ACQ-20.03, FIN-34.01, FIN-34.02, FIN-34.03, FIN-34.04, FIN-34.05, FIN-35.01, FIN-36.01</t>
        </is>
      </c>
      <c r="F90" s="67" t="inlineStr">
        <is>
          <t>●</t>
        </is>
      </c>
      <c r="G90" s="67" t="inlineStr">
        <is>
          <t>●</t>
        </is>
      </c>
      <c r="H90" s="67" t="inlineStr">
        <is>
          <t>●</t>
        </is>
      </c>
      <c r="I90" s="67" t="inlineStr">
        <is>
          <t>●</t>
        </is>
      </c>
      <c r="J90" s="67" t="inlineStr">
        <is>
          <t>●</t>
        </is>
      </c>
      <c r="K90" s="67" t="inlineStr">
        <is>
          <t>●</t>
        </is>
      </c>
      <c r="L90" s="67" t="inlineStr">
        <is>
          <t>●</t>
        </is>
      </c>
      <c r="M90" s="68" t="inlineStr">
        <is>
          <t>Aucune</t>
        </is>
      </c>
      <c r="N90" s="68" t="inlineStr">
        <is>
          <t>« Vous maîtrisez bien votre activité commerciale, mais X indicateurs essentiels de rentabilité et de trésorerie ne sont pas suivis. »</t>
        </is>
      </c>
    </row>
    <row r="91" ht="23.85" customHeight="1" s="53">
      <c r="A91" s="81" t="inlineStr">
        <is>
          <t>XF47</t>
        </is>
      </c>
      <c r="B91" s="68" t="inlineStr">
        <is>
          <t>Finance &amp; Rentabilité</t>
        </is>
      </c>
      <c r="C91" s="65" t="inlineStr">
        <is>
          <t>Abonnement : couverture des charges par le revenu récurrent</t>
        </is>
      </c>
      <c r="D91" s="68" t="inlineStr">
        <is>
          <t>Revenu récurrent × taux de marge ÷ charges fixes</t>
        </is>
      </c>
      <c r="E91" s="68" t="inlineStr">
        <is>
          <t>ACQ-17.11, FIN-06.08, FIN-05.08</t>
        </is>
      </c>
      <c r="F91" s="67" t="n"/>
      <c r="G91" s="67" t="n"/>
      <c r="H91" s="67" t="n"/>
      <c r="I91" s="67" t="n"/>
      <c r="J91" s="67" t="n"/>
      <c r="K91" s="67" t="n"/>
      <c r="L91" s="67" t="inlineStr">
        <is>
          <t>●</t>
        </is>
      </c>
      <c r="M91" s="68" t="inlineStr">
        <is>
          <t>Aucune</t>
        </is>
      </c>
      <c r="N91" s="68" t="inlineStr">
        <is>
          <t>« Votre revenu récurrent couvre X % de vos charges fixes. »</t>
        </is>
      </c>
    </row>
    <row r="92" ht="23.85" customHeight="1" s="53">
      <c r="A92" s="81" t="inlineStr">
        <is>
          <t>XF48</t>
        </is>
      </c>
      <c r="B92" s="68" t="inlineStr">
        <is>
          <t>Finance &amp; Rentabilité</t>
        </is>
      </c>
      <c r="C92" s="65" t="inlineStr">
        <is>
          <t>E-commerce : ce qui reste d'une commande</t>
        </is>
      </c>
      <c r="D92" s="68" t="inlineStr">
        <is>
          <t>Panier − coût d'achat − livraison − frais de paiement − part des retours − coût d'acquisition</t>
        </is>
      </c>
      <c r="E92" s="68" t="inlineStr">
        <is>
          <t>ACQ-15.06, FIN-06.07, FIN-10.04, ACQ-07.11</t>
        </is>
      </c>
      <c r="F92" s="67" t="n"/>
      <c r="G92" s="67" t="n"/>
      <c r="H92" s="67" t="inlineStr">
        <is>
          <t>●</t>
        </is>
      </c>
      <c r="I92" s="67" t="n"/>
      <c r="J92" s="67" t="n"/>
      <c r="K92" s="67" t="n"/>
      <c r="L92" s="67" t="n"/>
      <c r="M92" s="68" t="inlineStr">
        <is>
          <t>Aucune</t>
        </is>
      </c>
      <c r="N92" s="68" t="inlineStr">
        <is>
          <t>« Une commande de X € vous laisse Y € une fois la livraison, le paiement, les retours et la publicité payés. »</t>
        </is>
      </c>
    </row>
    <row r="93" ht="23.85" customHeight="1" s="53">
      <c r="A93" s="81" t="inlineStr">
        <is>
          <t>XF49</t>
        </is>
      </c>
      <c r="B93" s="68" t="inlineStr">
        <is>
          <t>Finance &amp; Rentabilité</t>
        </is>
      </c>
      <c r="C93" s="65" t="inlineStr">
        <is>
          <t>Restaurant : coût matière et marge par couvert</t>
        </is>
      </c>
      <c r="D93" s="68" t="inlineStr">
        <is>
          <t>Achats ÷ CA, marge par couvert, pertes alimentaires</t>
        </is>
      </c>
      <c r="E93" s="68" t="inlineStr">
        <is>
          <t>FIN-08.07, FIN-05.14, FIN-40.03</t>
        </is>
      </c>
      <c r="F93" s="67" t="n"/>
      <c r="G93" s="67" t="n"/>
      <c r="H93" s="67" t="n"/>
      <c r="I93" s="67" t="inlineStr">
        <is>
          <t>●</t>
        </is>
      </c>
      <c r="J93" s="67" t="n"/>
      <c r="K93" s="67" t="n"/>
      <c r="L93" s="67" t="n"/>
      <c r="M93" s="68" t="inlineStr">
        <is>
          <t>Ratio de référence du secteur (seuil Marché), à sourcer</t>
        </is>
      </c>
      <c r="N93" s="68" t="inlineStr">
        <is>
          <t>« Votre coût matière représente X % du CA ; chaque couvert vous laisse Y €, et les pertes alimentaires Z € par an. »</t>
        </is>
      </c>
    </row>
    <row r="94" ht="23.85" customHeight="1" s="53">
      <c r="A94" s="81" t="inlineStr">
        <is>
          <t>XF50</t>
        </is>
      </c>
      <c r="B94" s="68" t="inlineStr">
        <is>
          <t>Finance &amp; Rentabilité</t>
        </is>
      </c>
      <c r="C94" s="65" t="inlineStr">
        <is>
          <t>Artisan : ce que rapporte un chantier</t>
        </is>
      </c>
      <c r="D94" s="68" t="inlineStr">
        <is>
          <t>Montant moyen − matériaux − heures × coût d'une heure</t>
        </is>
      </c>
      <c r="E94" s="68" t="inlineStr">
        <is>
          <t>ACQ-15.06, FIN-06.07, FIN-07.12, FIN-07.14</t>
        </is>
      </c>
      <c r="F94" s="67" t="n"/>
      <c r="G94" s="67" t="n"/>
      <c r="H94" s="67" t="n"/>
      <c r="I94" s="67" t="n"/>
      <c r="J94" s="67" t="inlineStr">
        <is>
          <t>●</t>
        </is>
      </c>
      <c r="K94" s="67" t="n"/>
      <c r="L94" s="67" t="n"/>
      <c r="M94" s="68" t="inlineStr">
        <is>
          <t>Aucune</t>
        </is>
      </c>
      <c r="N94" s="68" t="inlineStr">
        <is>
          <t>« Un chantier moyen vous laisse X €, soit Y % de son montant. »</t>
        </is>
      </c>
    </row>
    <row r="95" ht="57.45" customHeight="1" s="53">
      <c r="A95" s="85" t="inlineStr">
        <is>
          <t>XC01</t>
        </is>
      </c>
      <c r="B95" s="86" t="inlineStr">
        <is>
          <t>Comm &amp; Création</t>
        </is>
      </c>
      <c r="C95" s="87" t="inlineStr">
        <is>
          <t>Chaîne de la communication</t>
        </is>
      </c>
      <c r="D95" s="86" t="inlineStr">
        <is>
          <t>Production → distribution → engagement → intention → conversion → business : remonter aussi loin que les données le permettent et repérer le maillon qui casse</t>
        </is>
      </c>
      <c r="E95" s="86" t="inlineStr">
        <is>
          <t>COM-10.01, COM-31.05, COM-17.01, COM-18.01, COM-19.01, COM-22.02, COM-22.03</t>
        </is>
      </c>
      <c r="F95" s="89" t="inlineStr">
        <is>
          <t>●</t>
        </is>
      </c>
      <c r="G95" s="89" t="inlineStr">
        <is>
          <t>●</t>
        </is>
      </c>
      <c r="H95" s="89" t="inlineStr">
        <is>
          <t>●</t>
        </is>
      </c>
      <c r="I95" s="89" t="inlineStr">
        <is>
          <t>●</t>
        </is>
      </c>
      <c r="J95" s="89" t="inlineStr">
        <is>
          <t>●</t>
        </is>
      </c>
      <c r="K95" s="89" t="inlineStr">
        <is>
          <t>●</t>
        </is>
      </c>
      <c r="L95" s="89" t="inlineStr">
        <is>
          <t>●</t>
        </is>
      </c>
      <c r="M95" s="86" t="inlineStr">
        <is>
          <t>Aucune</t>
        </is>
      </c>
      <c r="N95" s="86" t="inlineStr">
        <is>
          <t>« Vous publiez environ X contenus par mois pour Y heures de travail. Ils génèrent Z impressions, mais seulement N clics et M demandes. Le problème n'est pas votre capacité à produire, mais la capacité du contenu à déclencher une action. »</t>
        </is>
      </c>
    </row>
    <row r="96" ht="35.05" customHeight="1" s="53">
      <c r="A96" s="81" t="inlineStr">
        <is>
          <t>XC02</t>
        </is>
      </c>
      <c r="B96" s="68" t="inlineStr">
        <is>
          <t>Comm &amp; Création</t>
        </is>
      </c>
      <c r="C96" s="65" t="inlineStr">
        <is>
          <t>Part de chaque réseau : temps, publications, demandes</t>
        </is>
      </c>
      <c r="D96" s="68" t="inlineStr">
        <is>
          <t>Part du temps et des publications de chaque réseau comparée à sa part des demandes</t>
        </is>
      </c>
      <c r="E96" s="68" t="inlineStr">
        <is>
          <t>COM-31.03, COM-10.01, COM-22.02</t>
        </is>
      </c>
      <c r="F96" s="67" t="inlineStr">
        <is>
          <t>●</t>
        </is>
      </c>
      <c r="G96" s="67" t="inlineStr">
        <is>
          <t>●</t>
        </is>
      </c>
      <c r="H96" s="67" t="inlineStr">
        <is>
          <t>●</t>
        </is>
      </c>
      <c r="I96" s="67" t="inlineStr">
        <is>
          <t>●</t>
        </is>
      </c>
      <c r="J96" s="67" t="inlineStr">
        <is>
          <t>●</t>
        </is>
      </c>
      <c r="K96" s="67" t="inlineStr">
        <is>
          <t>●</t>
        </is>
      </c>
      <c r="L96" s="67" t="inlineStr">
        <is>
          <t>●</t>
        </is>
      </c>
      <c r="M96" s="68" t="inlineStr">
        <is>
          <t>Aucune</t>
        </is>
      </c>
      <c r="N96" s="68" t="inlineStr">
        <is>
          <t>« Instagram représente X % de votre temps mais Y % des demandes ; LinkedIn Z % du temps mais N % des demandes. »</t>
        </is>
      </c>
    </row>
    <row r="97" ht="35.05" customHeight="1" s="53">
      <c r="A97" s="81" t="inlineStr">
        <is>
          <t>XC03</t>
        </is>
      </c>
      <c r="B97" s="68" t="inlineStr">
        <is>
          <t>Comm &amp; Création</t>
        </is>
      </c>
      <c r="C97" s="65" t="inlineStr">
        <is>
          <t>Formats qui prennent du temps sans résultat</t>
        </is>
      </c>
      <c r="D97" s="68" t="inlineStr">
        <is>
          <t>Part du temps par format comparée à sa part des résultats</t>
        </is>
      </c>
      <c r="E97" s="68" t="inlineStr">
        <is>
          <t>COM-31.04, COM-39.05, COM-41.01</t>
        </is>
      </c>
      <c r="F97" s="67" t="inlineStr">
        <is>
          <t>●</t>
        </is>
      </c>
      <c r="G97" s="67" t="inlineStr">
        <is>
          <t>●</t>
        </is>
      </c>
      <c r="H97" s="67" t="inlineStr">
        <is>
          <t>●</t>
        </is>
      </c>
      <c r="I97" s="67" t="inlineStr">
        <is>
          <t>●</t>
        </is>
      </c>
      <c r="J97" s="67" t="inlineStr">
        <is>
          <t>●</t>
        </is>
      </c>
      <c r="K97" s="67" t="inlineStr">
        <is>
          <t>●</t>
        </is>
      </c>
      <c r="L97" s="67" t="inlineStr">
        <is>
          <t>●</t>
        </is>
      </c>
      <c r="M97" s="68" t="inlineStr">
        <is>
          <t>Aucune</t>
        </is>
      </c>
      <c r="N97" s="68" t="inlineStr">
        <is>
          <t>« Deux formats prennent X % de votre temps pour Y % des résultats : réallouer ce temps améliorerait l'efficacité sans travailler plus. »</t>
        </is>
      </c>
    </row>
    <row r="98" ht="35.05" customHeight="1" s="53">
      <c r="A98" s="81" t="inlineStr">
        <is>
          <t>XC04</t>
        </is>
      </c>
      <c r="B98" s="68" t="inlineStr">
        <is>
          <t>Comm &amp; Création</t>
        </is>
      </c>
      <c r="C98" s="65" t="inlineStr">
        <is>
          <t>Ce qui marche et ce qui est publié</t>
        </is>
      </c>
      <c r="D98" s="68" t="inlineStr">
        <is>
          <t>Format ou sujet le plus performant comparé à sa part dans les publications</t>
        </is>
      </c>
      <c r="E98" s="68" t="inlineStr">
        <is>
          <t>COM-40.01, COM-39.06, COM-27.01</t>
        </is>
      </c>
      <c r="F98" s="67" t="inlineStr">
        <is>
          <t>●</t>
        </is>
      </c>
      <c r="G98" s="67" t="inlineStr">
        <is>
          <t>●</t>
        </is>
      </c>
      <c r="H98" s="67" t="inlineStr">
        <is>
          <t>●</t>
        </is>
      </c>
      <c r="I98" s="67" t="inlineStr">
        <is>
          <t>●</t>
        </is>
      </c>
      <c r="J98" s="67" t="inlineStr">
        <is>
          <t>●</t>
        </is>
      </c>
      <c r="K98" s="67" t="inlineStr">
        <is>
          <t>●</t>
        </is>
      </c>
      <c r="L98" s="67" t="inlineStr">
        <is>
          <t>●</t>
        </is>
      </c>
      <c r="M98" s="68" t="inlineStr">
        <is>
          <t>Aucune</t>
        </is>
      </c>
      <c r="N98" s="68" t="inlineStr">
        <is>
          <t>« Vos 5 meilleures publications sont des cas clients, mais ce format ne représente que X % de votre contenu. Passez-le à 25-30 % pendant 30 jours et mesurez les demandes. »</t>
        </is>
      </c>
    </row>
    <row r="99" ht="35.05" customHeight="1" s="53">
      <c r="A99" s="81" t="inlineStr">
        <is>
          <t>XC05</t>
        </is>
      </c>
      <c r="B99" s="68" t="inlineStr">
        <is>
          <t>Comm &amp; Création</t>
        </is>
      </c>
      <c r="C99" s="65" t="inlineStr">
        <is>
          <t>Performance par format et par sujet</t>
        </is>
      </c>
      <c r="D99" s="68" t="inlineStr">
        <is>
          <t>Portée, engagement, clics, messages et contacts moyens par format et par sujet</t>
        </is>
      </c>
      <c r="E99" s="68" t="inlineStr">
        <is>
          <t>COM-39.05</t>
        </is>
      </c>
      <c r="F99" s="67" t="inlineStr">
        <is>
          <t>●</t>
        </is>
      </c>
      <c r="G99" s="67" t="inlineStr">
        <is>
          <t>●</t>
        </is>
      </c>
      <c r="H99" s="67" t="inlineStr">
        <is>
          <t>●</t>
        </is>
      </c>
      <c r="I99" s="67" t="inlineStr">
        <is>
          <t>●</t>
        </is>
      </c>
      <c r="J99" s="67" t="inlineStr">
        <is>
          <t>●</t>
        </is>
      </c>
      <c r="K99" s="67" t="inlineStr">
        <is>
          <t>●</t>
        </is>
      </c>
      <c r="L99" s="67" t="inlineStr">
        <is>
          <t>●</t>
        </is>
      </c>
      <c r="M99" s="68" t="inlineStr">
        <is>
          <t>Aucune</t>
        </is>
      </c>
      <c r="N99" s="68" t="inlineStr">
        <is>
          <t>« Vos contenus pédagogiques touchent beaucoup de monde mais génèrent peu de clics ; vos cas clients touchent moins mais génèrent trois fois plus de demandes. »</t>
        </is>
      </c>
    </row>
    <row r="100" ht="46.25" customHeight="1" s="53">
      <c r="A100" s="81" t="inlineStr">
        <is>
          <t>XC06</t>
        </is>
      </c>
      <c r="B100" s="68" t="inlineStr">
        <is>
          <t>Comm &amp; Création</t>
        </is>
      </c>
      <c r="C100" s="65" t="inlineStr">
        <is>
          <t>Visibilité sans action</t>
        </is>
      </c>
      <c r="D100" s="68" t="inlineStr">
        <is>
          <t>Portée élevée et taux de clic faible, croisés avec la grille « appel à l'action »</t>
        </is>
      </c>
      <c r="E100" s="68" t="inlineStr">
        <is>
          <t>COM-19.02, COM-17.01, COM-53.01</t>
        </is>
      </c>
      <c r="F100" s="67" t="inlineStr">
        <is>
          <t>●</t>
        </is>
      </c>
      <c r="G100" s="67" t="inlineStr">
        <is>
          <t>●</t>
        </is>
      </c>
      <c r="H100" s="67" t="inlineStr">
        <is>
          <t>●</t>
        </is>
      </c>
      <c r="I100" s="67" t="inlineStr">
        <is>
          <t>●</t>
        </is>
      </c>
      <c r="J100" s="67" t="inlineStr">
        <is>
          <t>●</t>
        </is>
      </c>
      <c r="K100" s="67" t="inlineStr">
        <is>
          <t>●</t>
        </is>
      </c>
      <c r="L100" s="67" t="inlineStr">
        <is>
          <t>●</t>
        </is>
      </c>
      <c r="M100" s="68" t="inlineStr">
        <is>
          <t>Seuil de taux de clic faible, à valider</t>
        </is>
      </c>
      <c r="N100" s="68" t="inlineStr">
        <is>
          <t>« Votre problème n'est pas la visibilité : vos contenus touchent X personnes par mois, mais moins de Y % cliquent. Retravaillez l'appel à l'action et l'offre avant d'augmenter la fréquence. »</t>
        </is>
      </c>
    </row>
    <row r="101" ht="35.05" customHeight="1" s="53">
      <c r="A101" s="81" t="inlineStr">
        <is>
          <t>XC07</t>
        </is>
      </c>
      <c r="B101" s="68" t="inlineStr">
        <is>
          <t>Comm &amp; Création</t>
        </is>
      </c>
      <c r="C101" s="65" t="inlineStr">
        <is>
          <t>Audience qui grandit sans demandes</t>
        </is>
      </c>
      <c r="D101" s="68" t="inlineStr">
        <is>
          <t>Croissance de l'audience comparée à l'évolution des demandes venant des réseaux</t>
        </is>
      </c>
      <c r="E101" s="68" t="inlineStr">
        <is>
          <t>COM-37.02, COM-22.02, ACQ-02.06</t>
        </is>
      </c>
      <c r="F101" s="67" t="inlineStr">
        <is>
          <t>●</t>
        </is>
      </c>
      <c r="G101" s="67" t="inlineStr">
        <is>
          <t>●</t>
        </is>
      </c>
      <c r="H101" s="67" t="inlineStr">
        <is>
          <t>●</t>
        </is>
      </c>
      <c r="I101" s="67" t="inlineStr">
        <is>
          <t>●</t>
        </is>
      </c>
      <c r="J101" s="67" t="inlineStr">
        <is>
          <t>●</t>
        </is>
      </c>
      <c r="K101" s="67" t="inlineStr">
        <is>
          <t>●</t>
        </is>
      </c>
      <c r="L101" s="67" t="inlineStr">
        <is>
          <t>●</t>
        </is>
      </c>
      <c r="M101" s="68" t="inlineStr">
        <is>
          <t>Aucune</t>
        </is>
      </c>
      <c r="N101" s="68" t="inlineStr">
        <is>
          <t>« Votre audience a augmenté de X %, mais vos demandes sont restées stables : la visibilité ne se transforme pas encore en clients. »</t>
        </is>
      </c>
    </row>
    <row r="102" ht="35.05" customHeight="1" s="53">
      <c r="A102" s="81" t="inlineStr">
        <is>
          <t>XC08</t>
        </is>
      </c>
      <c r="B102" s="68" t="inlineStr">
        <is>
          <t>Comm &amp; Création</t>
        </is>
      </c>
      <c r="C102" s="65" t="inlineStr">
        <is>
          <t>Conversion du site</t>
        </is>
      </c>
      <c r="D102" s="68" t="inlineStr">
        <is>
          <t>Demandes du site ÷ visites (calcul de l'agent Acquisition : ACQ-06, e-commerce ACQ-11), et choix entre attirer et convertir</t>
        </is>
      </c>
      <c r="E102" s="68" t="inlineStr">
        <is>
          <t>ACQ-06.09, ACQ-11.28, COM-13.08, COM-13.07</t>
        </is>
      </c>
      <c r="F102" s="67" t="inlineStr">
        <is>
          <t>●</t>
        </is>
      </c>
      <c r="G102" s="67" t="inlineStr">
        <is>
          <t>●</t>
        </is>
      </c>
      <c r="H102" s="67" t="inlineStr">
        <is>
          <t>●</t>
        </is>
      </c>
      <c r="I102" s="67" t="inlineStr">
        <is>
          <t>●</t>
        </is>
      </c>
      <c r="J102" s="67" t="inlineStr">
        <is>
          <t>●</t>
        </is>
      </c>
      <c r="K102" s="67" t="inlineStr">
        <is>
          <t>●</t>
        </is>
      </c>
      <c r="L102" s="67" t="inlineStr">
        <is>
          <t>●</t>
        </is>
      </c>
      <c r="M102" s="68" t="inlineStr">
        <is>
          <t>Seuils de trafic et de conversion, à valider</t>
        </is>
      </c>
      <c r="N102" s="68" t="inlineStr">
        <is>
          <t>« Votre site reçoit X visiteurs par mois pour Y demandes (Z %). Augmenter le trafic avant d'améliorer la conversion aurait un rendement limité. »</t>
        </is>
      </c>
    </row>
    <row r="103" ht="23.85" customHeight="1" s="53">
      <c r="A103" s="81" t="inlineStr">
        <is>
          <t>XC09</t>
        </is>
      </c>
      <c r="B103" s="68" t="inlineStr">
        <is>
          <t>Comm &amp; Création</t>
        </is>
      </c>
      <c r="C103" s="65" t="inlineStr">
        <is>
          <t>Conversion du trafic social</t>
        </is>
      </c>
      <c r="D103" s="68" t="inlineStr">
        <is>
          <t>Demandes venant des réseaux ÷ clics</t>
        </is>
      </c>
      <c r="E103" s="68" t="inlineStr">
        <is>
          <t>COM-19.03, COM-19.01</t>
        </is>
      </c>
      <c r="F103" s="67" t="inlineStr">
        <is>
          <t>●</t>
        </is>
      </c>
      <c r="G103" s="67" t="inlineStr">
        <is>
          <t>●</t>
        </is>
      </c>
      <c r="H103" s="67" t="inlineStr">
        <is>
          <t>●</t>
        </is>
      </c>
      <c r="I103" s="67" t="inlineStr">
        <is>
          <t>●</t>
        </is>
      </c>
      <c r="J103" s="67" t="inlineStr">
        <is>
          <t>●</t>
        </is>
      </c>
      <c r="K103" s="67" t="inlineStr">
        <is>
          <t>●</t>
        </is>
      </c>
      <c r="L103" s="67" t="inlineStr">
        <is>
          <t>●</t>
        </is>
      </c>
      <c r="M103" s="68" t="inlineStr">
        <is>
          <t>Aucune</t>
        </is>
      </c>
      <c r="N103" s="68" t="inlineStr">
        <is>
          <t>« Sur X clics depuis vos réseaux, seuls Y deviennent une demande : la page d'arrivée ne fait pas son travail. »</t>
        </is>
      </c>
    </row>
    <row r="104" ht="35.05" customHeight="1" s="53">
      <c r="A104" s="81" t="inlineStr">
        <is>
          <t>XC10</t>
        </is>
      </c>
      <c r="B104" s="68" t="inlineStr">
        <is>
          <t>Comm &amp; Création</t>
        </is>
      </c>
      <c r="C104" s="65" t="inlineStr">
        <is>
          <t>Fichier de contacts inexploité</t>
        </is>
      </c>
      <c r="D104" s="68" t="inlineStr">
        <is>
          <t>Contacts joignables sans envoi depuis plus de 3 mois, et potentiel d'un envoi</t>
        </is>
      </c>
      <c r="E104" s="68" t="inlineStr">
        <is>
          <t>COM-15.09, COM-15.11, COM-15.08</t>
        </is>
      </c>
      <c r="F104" s="67" t="inlineStr">
        <is>
          <t>●</t>
        </is>
      </c>
      <c r="G104" s="67" t="inlineStr">
        <is>
          <t>●</t>
        </is>
      </c>
      <c r="H104" s="67" t="inlineStr">
        <is>
          <t>●</t>
        </is>
      </c>
      <c r="I104" s="67" t="inlineStr">
        <is>
          <t>●</t>
        </is>
      </c>
      <c r="J104" s="67" t="inlineStr">
        <is>
          <t>●</t>
        </is>
      </c>
      <c r="K104" s="67" t="inlineStr">
        <is>
          <t>●</t>
        </is>
      </c>
      <c r="L104" s="67" t="inlineStr">
        <is>
          <t>●</t>
        </is>
      </c>
      <c r="M104" s="68" t="inlineStr">
        <is>
          <t>Taux de réponse prudent à un envoi, à sourcer</t>
        </is>
      </c>
      <c r="N104" s="68" t="inlineStr">
        <is>
          <t>« Vous possédez X contacts qui n'ont pas été sollicités depuis Y mois. Avant d'investir dans l'acquisition, cette audience est un actif sous-exploité. »</t>
        </is>
      </c>
    </row>
    <row r="105" ht="23.85" customHeight="1" s="53">
      <c r="A105" s="81" t="inlineStr">
        <is>
          <t>XC11</t>
        </is>
      </c>
      <c r="B105" s="68" t="inlineStr">
        <is>
          <t>Comm &amp; Création</t>
        </is>
      </c>
      <c r="C105" s="65" t="inlineStr">
        <is>
          <t>Valeur de l'offre d'appel</t>
        </is>
      </c>
      <c r="D105" s="68" t="inlineStr">
        <is>
          <t>Contacts ÷ visiteurs, clients ÷ contacts, CA généré, coût par contact</t>
        </is>
      </c>
      <c r="E105" s="68" t="inlineStr">
        <is>
          <t>COM-21.05, COM-21.06, COM-21.08, COM-21.07</t>
        </is>
      </c>
      <c r="F105" s="67" t="inlineStr">
        <is>
          <t>●</t>
        </is>
      </c>
      <c r="G105" s="67" t="inlineStr">
        <is>
          <t>●</t>
        </is>
      </c>
      <c r="H105" s="67" t="inlineStr">
        <is>
          <t>●</t>
        </is>
      </c>
      <c r="I105" s="67" t="inlineStr">
        <is>
          <t>●</t>
        </is>
      </c>
      <c r="J105" s="67" t="inlineStr">
        <is>
          <t>●</t>
        </is>
      </c>
      <c r="K105" s="67" t="inlineStr">
        <is>
          <t>●</t>
        </is>
      </c>
      <c r="L105" s="67" t="inlineStr">
        <is>
          <t>●</t>
        </is>
      </c>
      <c r="M105" s="68" t="inlineStr">
        <is>
          <t>Aucune</t>
        </is>
      </c>
      <c r="N105" s="68" t="inlineStr">
        <is>
          <t>« Votre guide récolte X contacts par mois, dont Y deviennent clients : chaque contact vaut environ Z €. »</t>
        </is>
      </c>
    </row>
    <row r="106" ht="35.05" customHeight="1" s="53">
      <c r="A106" s="81" t="inlineStr">
        <is>
          <t>XC12</t>
        </is>
      </c>
      <c r="B106" s="68" t="inlineStr">
        <is>
          <t>Comm &amp; Création</t>
        </is>
      </c>
      <c r="C106" s="65" t="inlineStr">
        <is>
          <t>Messages → ventes</t>
        </is>
      </c>
      <c r="D106" s="68" t="inlineStr">
        <is>
          <t>Messages → demandes commerciales → rendez-vous → ventes, et messages sans réponse</t>
        </is>
      </c>
      <c r="E106" s="68" t="inlineStr">
        <is>
          <t>COM-23.04, COM-23.05, COM-23.06</t>
        </is>
      </c>
      <c r="F106" s="67" t="inlineStr">
        <is>
          <t>●</t>
        </is>
      </c>
      <c r="G106" s="67" t="inlineStr">
        <is>
          <t>●</t>
        </is>
      </c>
      <c r="H106" s="67" t="inlineStr">
        <is>
          <t>●</t>
        </is>
      </c>
      <c r="I106" s="67" t="inlineStr">
        <is>
          <t>●</t>
        </is>
      </c>
      <c r="J106" s="67" t="inlineStr">
        <is>
          <t>●</t>
        </is>
      </c>
      <c r="K106" s="67" t="inlineStr">
        <is>
          <t>●</t>
        </is>
      </c>
      <c r="L106" s="67" t="inlineStr">
        <is>
          <t>●</t>
        </is>
      </c>
      <c r="M106" s="68" t="inlineStr">
        <is>
          <t>Aucune</t>
        </is>
      </c>
      <c r="N106" s="68" t="inlineStr">
        <is>
          <t>« Sur X messages par mois, Y sont des demandes commerciales et Z deviennent des ventes ; les messages restés sans réponse représentent environ N € par an. »</t>
        </is>
      </c>
    </row>
    <row r="107" ht="23.85" customHeight="1" s="53">
      <c r="A107" s="81" t="inlineStr">
        <is>
          <t>XC13</t>
        </is>
      </c>
      <c r="B107" s="68" t="inlineStr">
        <is>
          <t>Comm &amp; Création</t>
        </is>
      </c>
      <c r="C107" s="65" t="inlineStr">
        <is>
          <t>Preuves disponibles et preuves publiées</t>
        </is>
      </c>
      <c r="D107" s="68" t="inlineStr">
        <is>
          <t>Preuves publiées ÷ preuves disponibles</t>
        </is>
      </c>
      <c r="E107" s="68" t="inlineStr">
        <is>
          <t>COM-09.05, COM-09.04</t>
        </is>
      </c>
      <c r="F107" s="67" t="inlineStr">
        <is>
          <t>●</t>
        </is>
      </c>
      <c r="G107" s="67" t="inlineStr">
        <is>
          <t>●</t>
        </is>
      </c>
      <c r="H107" s="67" t="inlineStr">
        <is>
          <t>●</t>
        </is>
      </c>
      <c r="I107" s="67" t="inlineStr">
        <is>
          <t>●</t>
        </is>
      </c>
      <c r="J107" s="67" t="inlineStr">
        <is>
          <t>●</t>
        </is>
      </c>
      <c r="K107" s="67" t="inlineStr">
        <is>
          <t>●</t>
        </is>
      </c>
      <c r="L107" s="67" t="inlineStr">
        <is>
          <t>●</t>
        </is>
      </c>
      <c r="M107" s="68" t="inlineStr">
        <is>
          <t>Aucune</t>
        </is>
      </c>
      <c r="N107" s="68" t="inlineStr">
        <is>
          <t>« Vous disposez de X réalisations exploitables mais seulement Y sont visibles sur vos supports. »</t>
        </is>
      </c>
    </row>
    <row r="108" ht="35.05" customHeight="1" s="53">
      <c r="A108" s="81" t="inlineStr">
        <is>
          <t>XC14</t>
        </is>
      </c>
      <c r="B108" s="68" t="inlineStr">
        <is>
          <t>Comm &amp; Création</t>
        </is>
      </c>
      <c r="C108" s="65" t="inlineStr">
        <is>
          <t>Stock de preuves inexploité</t>
        </is>
      </c>
      <c r="D108" s="68" t="inlineStr">
        <is>
          <t>Clients de la période comparés aux avis, cas clients et témoignages publiés</t>
        </is>
      </c>
      <c r="E108" s="68" t="inlineStr">
        <is>
          <t>COM-09.06, COM-44.07, COM-09.05</t>
        </is>
      </c>
      <c r="F108" s="67" t="inlineStr">
        <is>
          <t>●</t>
        </is>
      </c>
      <c r="G108" s="67" t="inlineStr">
        <is>
          <t>●</t>
        </is>
      </c>
      <c r="H108" s="67" t="inlineStr">
        <is>
          <t>●</t>
        </is>
      </c>
      <c r="I108" s="67" t="inlineStr">
        <is>
          <t>●</t>
        </is>
      </c>
      <c r="J108" s="67" t="inlineStr">
        <is>
          <t>●</t>
        </is>
      </c>
      <c r="K108" s="67" t="inlineStr">
        <is>
          <t>●</t>
        </is>
      </c>
      <c r="L108" s="67" t="inlineStr">
        <is>
          <t>●</t>
        </is>
      </c>
      <c r="M108" s="68" t="inlineStr">
        <is>
          <t>Aucune</t>
        </is>
      </c>
      <c r="N108" s="68" t="inlineStr">
        <is>
          <t>« Vous avez réalisé X prestations mais n'avez que Y avis et Z cas clients publiés : votre activité produit bien plus de preuves que votre communication n'en exploite. »</t>
        </is>
      </c>
    </row>
    <row r="109" ht="35.05" customHeight="1" s="53">
      <c r="A109" s="81" t="inlineStr">
        <is>
          <t>XC15</t>
        </is>
      </c>
      <c r="B109" s="68" t="inlineStr">
        <is>
          <t>Comm &amp; Création</t>
        </is>
      </c>
      <c r="C109" s="65" t="inlineStr">
        <is>
          <t>Contenu réutilisable</t>
        </is>
      </c>
      <c r="D109" s="68" t="inlineStr">
        <is>
          <t>Contenus déclinables sans nouvelle production</t>
        </is>
      </c>
      <c r="E109" s="68" t="inlineStr">
        <is>
          <t>COM-34.03, COM-09.01</t>
        </is>
      </c>
      <c r="F109" s="67" t="inlineStr">
        <is>
          <t>●</t>
        </is>
      </c>
      <c r="G109" s="67" t="inlineStr">
        <is>
          <t>●</t>
        </is>
      </c>
      <c r="H109" s="67" t="inlineStr">
        <is>
          <t>●</t>
        </is>
      </c>
      <c r="I109" s="67" t="inlineStr">
        <is>
          <t>●</t>
        </is>
      </c>
      <c r="J109" s="67" t="inlineStr">
        <is>
          <t>●</t>
        </is>
      </c>
      <c r="K109" s="67" t="inlineStr">
        <is>
          <t>●</t>
        </is>
      </c>
      <c r="L109" s="67" t="inlineStr">
        <is>
          <t>●</t>
        </is>
      </c>
      <c r="M109" s="68" t="inlineStr">
        <is>
          <t>Aucune</t>
        </is>
      </c>
      <c r="N109" s="68" t="inlineStr">
        <is>
          <t>« Vous disposez de X témoignages dont Y ont été utilisés : votre priorité n'est pas de trouver de nouvelles idées mais d'exploiter les preuves existantes. »</t>
        </is>
      </c>
    </row>
    <row r="110" ht="35.05" customHeight="1" s="53">
      <c r="A110" s="81" t="inlineStr">
        <is>
          <t>XC16</t>
        </is>
      </c>
      <c r="B110" s="68" t="inlineStr">
        <is>
          <t>Comm &amp; Création</t>
        </is>
      </c>
      <c r="C110" s="65" t="inlineStr">
        <is>
          <t>Régularité éditoriale</t>
        </is>
      </c>
      <c r="D110" s="68" t="inlineStr">
        <is>
          <t>Semaines publiées ÷ semaines analysées, écart moyen et plus longue interruption</t>
        </is>
      </c>
      <c r="E110" s="68" t="inlineStr">
        <is>
          <t>COM-33.02, COM-33.03, COM-10.02</t>
        </is>
      </c>
      <c r="F110" s="67" t="inlineStr">
        <is>
          <t>●</t>
        </is>
      </c>
      <c r="G110" s="67" t="inlineStr">
        <is>
          <t>●</t>
        </is>
      </c>
      <c r="H110" s="67" t="inlineStr">
        <is>
          <t>●</t>
        </is>
      </c>
      <c r="I110" s="67" t="inlineStr">
        <is>
          <t>●</t>
        </is>
      </c>
      <c r="J110" s="67" t="inlineStr">
        <is>
          <t>●</t>
        </is>
      </c>
      <c r="K110" s="67" t="inlineStr">
        <is>
          <t>●</t>
        </is>
      </c>
      <c r="L110" s="67" t="inlineStr">
        <is>
          <t>●</t>
        </is>
      </c>
      <c r="M110" s="68" t="inlineStr">
        <is>
          <t>Aucune</t>
        </is>
      </c>
      <c r="N110" s="68" t="inlineStr">
        <is>
          <t>« Vous publiez 12 fois par mois, mais en 4 jours puis plus rien pendant 3 semaines : le volume est bon, la régularité non. »</t>
        </is>
      </c>
    </row>
    <row r="111" ht="35.05" customHeight="1" s="53">
      <c r="A111" s="81" t="inlineStr">
        <is>
          <t>XC17</t>
        </is>
      </c>
      <c r="B111" s="68" t="inlineStr">
        <is>
          <t>Comm &amp; Création</t>
        </is>
      </c>
      <c r="C111" s="65" t="inlineStr">
        <is>
          <t>Semaines d'avance</t>
        </is>
      </c>
      <c r="D111" s="68" t="inlineStr">
        <is>
          <t>Contenus prêts ÷ publications par semaine</t>
        </is>
      </c>
      <c r="E111" s="68" t="inlineStr">
        <is>
          <t>COM-35.03, COM-28.01</t>
        </is>
      </c>
      <c r="F111" s="67" t="inlineStr">
        <is>
          <t>●</t>
        </is>
      </c>
      <c r="G111" s="67" t="inlineStr">
        <is>
          <t>●</t>
        </is>
      </c>
      <c r="H111" s="67" t="inlineStr">
        <is>
          <t>●</t>
        </is>
      </c>
      <c r="I111" s="67" t="inlineStr">
        <is>
          <t>●</t>
        </is>
      </c>
      <c r="J111" s="67" t="inlineStr">
        <is>
          <t>●</t>
        </is>
      </c>
      <c r="K111" s="67" t="inlineStr">
        <is>
          <t>●</t>
        </is>
      </c>
      <c r="L111" s="67" t="inlineStr">
        <is>
          <t>●</t>
        </is>
      </c>
      <c r="M111" s="68" t="inlineStr">
        <is>
          <t>Aucune</t>
        </is>
      </c>
      <c r="N111" s="68" t="inlineStr">
        <is>
          <t>« Vous avez X contenus prêts, soit Y semaines d'avance : le problème n'est pas la production mais la distribution et la conversion. »</t>
        </is>
      </c>
    </row>
    <row r="112" ht="23.85" customHeight="1" s="53">
      <c r="A112" s="81" t="inlineStr">
        <is>
          <t>XC18</t>
        </is>
      </c>
      <c r="B112" s="68" t="inlineStr">
        <is>
          <t>Comm &amp; Création</t>
        </is>
      </c>
      <c r="C112" s="65" t="inlineStr">
        <is>
          <t>Croissance de l'audience</t>
        </is>
      </c>
      <c r="D112" s="68" t="inlineStr">
        <is>
          <t>(Abonnés actuels − abonnés de départ) ÷ abonnés de départ, par mois</t>
        </is>
      </c>
      <c r="E112" s="68" t="inlineStr">
        <is>
          <t>COM-37.02</t>
        </is>
      </c>
      <c r="F112" s="67" t="inlineStr">
        <is>
          <t>●</t>
        </is>
      </c>
      <c r="G112" s="67" t="inlineStr">
        <is>
          <t>●</t>
        </is>
      </c>
      <c r="H112" s="67" t="inlineStr">
        <is>
          <t>●</t>
        </is>
      </c>
      <c r="I112" s="67" t="inlineStr">
        <is>
          <t>●</t>
        </is>
      </c>
      <c r="J112" s="67" t="inlineStr">
        <is>
          <t>●</t>
        </is>
      </c>
      <c r="K112" s="67" t="inlineStr">
        <is>
          <t>●</t>
        </is>
      </c>
      <c r="L112" s="67" t="inlineStr">
        <is>
          <t>●</t>
        </is>
      </c>
      <c r="M112" s="68" t="inlineStr">
        <is>
          <t>Aucune</t>
        </is>
      </c>
      <c r="N112" s="68" t="inlineStr">
        <is>
          <t>« Votre audience LinkedIn progresse de X % par mois, Instagram stagne. »</t>
        </is>
      </c>
    </row>
    <row r="113" ht="23.85" customHeight="1" s="53">
      <c r="A113" s="81" t="inlineStr">
        <is>
          <t>XC19</t>
        </is>
      </c>
      <c r="B113" s="68" t="inlineStr">
        <is>
          <t>Comm &amp; Création</t>
        </is>
      </c>
      <c r="C113" s="65" t="inlineStr">
        <is>
          <t>Portée, engagement et clic par publication</t>
        </is>
      </c>
      <c r="D113" s="68" t="inlineStr">
        <is>
          <t>Portée ÷ publications ; réactions ÷ publications ; réactions ÷ portée ; clics ÷ portée</t>
        </is>
      </c>
      <c r="E113" s="68" t="inlineStr">
        <is>
          <t>COM-17.04, COM-18.02, COM-36.01, COM-19.02, COM-18.03</t>
        </is>
      </c>
      <c r="F113" s="67" t="inlineStr">
        <is>
          <t>●</t>
        </is>
      </c>
      <c r="G113" s="67" t="inlineStr">
        <is>
          <t>●</t>
        </is>
      </c>
      <c r="H113" s="67" t="inlineStr">
        <is>
          <t>●</t>
        </is>
      </c>
      <c r="I113" s="67" t="inlineStr">
        <is>
          <t>●</t>
        </is>
      </c>
      <c r="J113" s="67" t="inlineStr">
        <is>
          <t>●</t>
        </is>
      </c>
      <c r="K113" s="67" t="inlineStr">
        <is>
          <t>●</t>
        </is>
      </c>
      <c r="L113" s="67" t="inlineStr">
        <is>
          <t>●</t>
        </is>
      </c>
      <c r="M113" s="68" t="inlineStr">
        <is>
          <t>Taux de référence par réseau, à sourcer</t>
        </is>
      </c>
      <c r="N113" s="68" t="inlineStr">
        <is>
          <t>« Chaque publication touche en moyenne X personnes et en fait cliquer Y. »</t>
        </is>
      </c>
    </row>
    <row r="114" ht="23.85" customHeight="1" s="53">
      <c r="A114" s="81" t="inlineStr">
        <is>
          <t>XC20</t>
        </is>
      </c>
      <c r="B114" s="68" t="inlineStr">
        <is>
          <t>Comm &amp; Création</t>
        </is>
      </c>
      <c r="C114" s="65" t="inlineStr">
        <is>
          <t>Rendement de l'audience</t>
        </is>
      </c>
      <c r="D114" s="68" t="inlineStr">
        <is>
          <t>Demandes venant des réseaux ÷ abonnés</t>
        </is>
      </c>
      <c r="E114" s="68" t="inlineStr">
        <is>
          <t>COM-38.01</t>
        </is>
      </c>
      <c r="F114" s="67" t="inlineStr">
        <is>
          <t>●</t>
        </is>
      </c>
      <c r="G114" s="67" t="inlineStr">
        <is>
          <t>●</t>
        </is>
      </c>
      <c r="H114" s="67" t="inlineStr">
        <is>
          <t>●</t>
        </is>
      </c>
      <c r="I114" s="67" t="inlineStr">
        <is>
          <t>●</t>
        </is>
      </c>
      <c r="J114" s="67" t="inlineStr">
        <is>
          <t>●</t>
        </is>
      </c>
      <c r="K114" s="67" t="inlineStr">
        <is>
          <t>●</t>
        </is>
      </c>
      <c r="L114" s="67" t="inlineStr">
        <is>
          <t>●</t>
        </is>
      </c>
      <c r="M114" s="68" t="inlineStr">
        <is>
          <t>Aucune</t>
        </is>
      </c>
      <c r="N114" s="68" t="inlineStr">
        <is>
          <t>« Pour 1 000 abonnés, vous obtenez X demandes par mois. »</t>
        </is>
      </c>
    </row>
    <row r="115" ht="23.85" customHeight="1" s="53">
      <c r="A115" s="81" t="inlineStr">
        <is>
          <t>XC21</t>
        </is>
      </c>
      <c r="B115" s="68" t="inlineStr">
        <is>
          <t>Comm &amp; Création</t>
        </is>
      </c>
      <c r="C115" s="65" t="inlineStr">
        <is>
          <t>Production et efficacité du temps</t>
        </is>
      </c>
      <c r="D115" s="68" t="inlineStr">
        <is>
          <t>Publications par heure ; demandes et clients par heure ; valeur du temps</t>
        </is>
      </c>
      <c r="E115" s="68" t="inlineStr">
        <is>
          <t>COM-31.06, COM-31.07, COM-31.08</t>
        </is>
      </c>
      <c r="F115" s="67" t="inlineStr">
        <is>
          <t>●</t>
        </is>
      </c>
      <c r="G115" s="67" t="inlineStr">
        <is>
          <t>●</t>
        </is>
      </c>
      <c r="H115" s="67" t="inlineStr">
        <is>
          <t>●</t>
        </is>
      </c>
      <c r="I115" s="67" t="inlineStr">
        <is>
          <t>●</t>
        </is>
      </c>
      <c r="J115" s="67" t="inlineStr">
        <is>
          <t>●</t>
        </is>
      </c>
      <c r="K115" s="67" t="inlineStr">
        <is>
          <t>●</t>
        </is>
      </c>
      <c r="L115" s="67" t="inlineStr">
        <is>
          <t>●</t>
        </is>
      </c>
      <c r="M115" s="68" t="inlineStr">
        <is>
          <t>Aucune</t>
        </is>
      </c>
      <c r="N115" s="68" t="inlineStr">
        <is>
          <t>« Vous consacrez X heures par semaine à la communication, soit environ Y € de temps par mois, pour Z demandes. »</t>
        </is>
      </c>
    </row>
    <row r="116" ht="35.05" customHeight="1" s="53">
      <c r="A116" s="81" t="inlineStr">
        <is>
          <t>XC22</t>
        </is>
      </c>
      <c r="B116" s="68" t="inlineStr">
        <is>
          <t>Comm &amp; Création</t>
        </is>
      </c>
      <c r="C116" s="65" t="inlineStr">
        <is>
          <t>Coût de la communication</t>
        </is>
      </c>
      <c r="D116" s="68" t="inlineStr">
        <is>
          <t>Coût par contenu, par demande et par client, temps compris</t>
        </is>
      </c>
      <c r="E116" s="68" t="inlineStr">
        <is>
          <t>COM-32.05, COM-32.06, COM-32.07</t>
        </is>
      </c>
      <c r="F116" s="67" t="inlineStr">
        <is>
          <t>●</t>
        </is>
      </c>
      <c r="G116" s="67" t="inlineStr">
        <is>
          <t>●</t>
        </is>
      </c>
      <c r="H116" s="67" t="inlineStr">
        <is>
          <t>●</t>
        </is>
      </c>
      <c r="I116" s="67" t="inlineStr">
        <is>
          <t>●</t>
        </is>
      </c>
      <c r="J116" s="67" t="inlineStr">
        <is>
          <t>●</t>
        </is>
      </c>
      <c r="K116" s="67" t="inlineStr">
        <is>
          <t>●</t>
        </is>
      </c>
      <c r="L116" s="67" t="inlineStr">
        <is>
          <t>●</t>
        </is>
      </c>
      <c r="M116" s="68" t="inlineStr">
        <is>
          <t>Aucune</t>
        </is>
      </c>
      <c r="N116" s="68" t="inlineStr">
        <is>
          <t>« Chaque contenu vous coûte X €, chaque demande venant de la communication Y €, contre Z € par la publicité (agent Acquisition). »</t>
        </is>
      </c>
    </row>
    <row r="117" ht="35.05" customHeight="1" s="53">
      <c r="A117" s="81" t="inlineStr">
        <is>
          <t>XC23</t>
        </is>
      </c>
      <c r="B117" s="68" t="inlineStr">
        <is>
          <t>Comm &amp; Création</t>
        </is>
      </c>
      <c r="C117" s="65" t="inlineStr">
        <is>
          <t>Réponse aux avis</t>
        </is>
      </c>
      <c r="D117" s="68" t="inlineStr">
        <is>
          <t>Taux de réponse aux avis positifs et négatifs, délai, avis sans réponse</t>
        </is>
      </c>
      <c r="E117" s="68" t="inlineStr">
        <is>
          <t>COM-46.03, COM-46.02</t>
        </is>
      </c>
      <c r="F117" s="67" t="inlineStr">
        <is>
          <t>●</t>
        </is>
      </c>
      <c r="G117" s="67" t="inlineStr">
        <is>
          <t>●</t>
        </is>
      </c>
      <c r="H117" s="67" t="inlineStr">
        <is>
          <t>●</t>
        </is>
      </c>
      <c r="I117" s="67" t="inlineStr">
        <is>
          <t>●</t>
        </is>
      </c>
      <c r="J117" s="67" t="inlineStr">
        <is>
          <t>●</t>
        </is>
      </c>
      <c r="K117" s="67" t="inlineStr">
        <is>
          <t>●</t>
        </is>
      </c>
      <c r="L117" s="67" t="inlineStr">
        <is>
          <t>●</t>
        </is>
      </c>
      <c r="M117" s="68" t="inlineStr">
        <is>
          <t>Aucune</t>
        </is>
      </c>
      <c r="N117" s="68" t="inlineStr">
        <is>
          <t>« Vous répondez à X % de vos avis avec un délai moyen de Y jours. Avant de chercher plus d'avis, mettez en place une réponse en moins de 48 heures. »</t>
        </is>
      </c>
    </row>
    <row r="118" ht="23.85" customHeight="1" s="53">
      <c r="A118" s="81" t="inlineStr">
        <is>
          <t>XC24</t>
        </is>
      </c>
      <c r="B118" s="68" t="inlineStr">
        <is>
          <t>Comm &amp; Création</t>
        </is>
      </c>
      <c r="C118" s="65" t="inlineStr">
        <is>
          <t>Vitesse de constitution des avis</t>
        </is>
      </c>
      <c r="D118" s="68" t="inlineStr">
        <is>
          <t>Nouveaux avis par mois, et part des clients qui en laissent un</t>
        </is>
      </c>
      <c r="E118" s="68" t="inlineStr">
        <is>
          <t>COM-44.06, COM-44.07, COM-45.01</t>
        </is>
      </c>
      <c r="F118" s="67" t="inlineStr">
        <is>
          <t>●</t>
        </is>
      </c>
      <c r="G118" s="67" t="inlineStr">
        <is>
          <t>●</t>
        </is>
      </c>
      <c r="H118" s="67" t="inlineStr">
        <is>
          <t>●</t>
        </is>
      </c>
      <c r="I118" s="67" t="inlineStr">
        <is>
          <t>●</t>
        </is>
      </c>
      <c r="J118" s="67" t="inlineStr">
        <is>
          <t>●</t>
        </is>
      </c>
      <c r="K118" s="67" t="inlineStr">
        <is>
          <t>●</t>
        </is>
      </c>
      <c r="L118" s="67" t="inlineStr">
        <is>
          <t>●</t>
        </is>
      </c>
      <c r="M118" s="68" t="inlineStr">
        <is>
          <t>Aucune</t>
        </is>
      </c>
      <c r="N118" s="68" t="inlineStr">
        <is>
          <t>« Vous obtenez X avis par mois pour Y clients : demander l'avis systématiquement en apporterait Z de plus. »</t>
        </is>
      </c>
    </row>
    <row r="119" ht="23.85" customHeight="1" s="53">
      <c r="A119" s="81" t="inlineStr">
        <is>
          <t>XC25</t>
        </is>
      </c>
      <c r="B119" s="68" t="inlineStr">
        <is>
          <t>Comm &amp; Création</t>
        </is>
      </c>
      <c r="C119" s="65" t="inlineStr">
        <is>
          <t>Ce que disent les avis</t>
        </is>
      </c>
      <c r="D119" s="68" t="inlineStr">
        <is>
          <t>Thèmes positifs à mettre en avant, motifs négatifs à traiter (renvoi vers l'agent concerné)</t>
        </is>
      </c>
      <c r="E119" s="68" t="inlineStr">
        <is>
          <t>COM-44.05</t>
        </is>
      </c>
      <c r="F119" s="67" t="inlineStr">
        <is>
          <t>●</t>
        </is>
      </c>
      <c r="G119" s="67" t="inlineStr">
        <is>
          <t>●</t>
        </is>
      </c>
      <c r="H119" s="67" t="inlineStr">
        <is>
          <t>●</t>
        </is>
      </c>
      <c r="I119" s="67" t="inlineStr">
        <is>
          <t>●</t>
        </is>
      </c>
      <c r="J119" s="67" t="inlineStr">
        <is>
          <t>●</t>
        </is>
      </c>
      <c r="K119" s="67" t="inlineStr">
        <is>
          <t>●</t>
        </is>
      </c>
      <c r="L119" s="67" t="inlineStr">
        <is>
          <t>●</t>
        </is>
      </c>
      <c r="M119" s="68" t="inlineStr">
        <is>
          <t>Aucune</t>
        </is>
      </c>
      <c r="N119" s="68" t="inlineStr">
        <is>
          <t>« Vos clients citent surtout X : c'est votre meilleur argument. Le motif négatif le plus fréquent est Y. »</t>
        </is>
      </c>
    </row>
    <row r="120" ht="23.85" customHeight="1" s="53">
      <c r="A120" s="81" t="inlineStr">
        <is>
          <t>XC26</t>
        </is>
      </c>
      <c r="B120" s="68" t="inlineStr">
        <is>
          <t>Comm &amp; Création</t>
        </is>
      </c>
      <c r="C120" s="65" t="inlineStr">
        <is>
          <t>Réseaux ouverts mais non tenus</t>
        </is>
      </c>
      <c r="D120" s="68" t="inlineStr">
        <is>
          <t>Réseaux ouverts comparés aux réseaux tenus et à ceux où est la cible</t>
        </is>
      </c>
      <c r="E120" s="68" t="inlineStr">
        <is>
          <t>COM-10.06, COM-11.01</t>
        </is>
      </c>
      <c r="F120" s="67" t="inlineStr">
        <is>
          <t>●</t>
        </is>
      </c>
      <c r="G120" s="67" t="inlineStr">
        <is>
          <t>●</t>
        </is>
      </c>
      <c r="H120" s="67" t="inlineStr">
        <is>
          <t>●</t>
        </is>
      </c>
      <c r="I120" s="67" t="inlineStr">
        <is>
          <t>●</t>
        </is>
      </c>
      <c r="J120" s="67" t="inlineStr">
        <is>
          <t>●</t>
        </is>
      </c>
      <c r="K120" s="67" t="inlineStr">
        <is>
          <t>●</t>
        </is>
      </c>
      <c r="L120" s="67" t="inlineStr">
        <is>
          <t>●</t>
        </is>
      </c>
      <c r="M120" s="68" t="inlineStr">
        <is>
          <t>Aucune</t>
        </is>
      </c>
      <c r="N120" s="68" t="inlineStr">
        <is>
          <t>« Vous avez X comptes ouverts mais n'en tenez qu'un ; celui où se trouvent vos clients est Y. »</t>
        </is>
      </c>
    </row>
    <row r="121" ht="23.85" customHeight="1" s="53">
      <c r="A121" s="81" t="inlineStr">
        <is>
          <t>XC27</t>
        </is>
      </c>
      <c r="B121" s="68" t="inlineStr">
        <is>
          <t>Comm &amp; Création</t>
        </is>
      </c>
      <c r="C121" s="65" t="inlineStr">
        <is>
          <t>Cible de la communication et clients qui rapportent</t>
        </is>
      </c>
      <c r="D121" s="68" t="inlineStr">
        <is>
          <t>Cible déclarée face au type de client le plus rentable (ACQ-01)</t>
        </is>
      </c>
      <c r="E121" s="68" t="inlineStr">
        <is>
          <t>COM-02.02</t>
        </is>
      </c>
      <c r="F121" s="67" t="inlineStr">
        <is>
          <t>●</t>
        </is>
      </c>
      <c r="G121" s="67" t="inlineStr">
        <is>
          <t>●</t>
        </is>
      </c>
      <c r="H121" s="67" t="inlineStr">
        <is>
          <t>●</t>
        </is>
      </c>
      <c r="I121" s="67" t="inlineStr">
        <is>
          <t>●</t>
        </is>
      </c>
      <c r="J121" s="67" t="inlineStr">
        <is>
          <t>●</t>
        </is>
      </c>
      <c r="K121" s="67" t="inlineStr">
        <is>
          <t>●</t>
        </is>
      </c>
      <c r="L121" s="67" t="inlineStr">
        <is>
          <t>●</t>
        </is>
      </c>
      <c r="M121" s="68" t="inlineStr">
        <is>
          <t>Aucune</t>
        </is>
      </c>
      <c r="N121" s="68" t="inlineStr">
        <is>
          <t>« Votre communication vise les particuliers, alors que vos clients professionnels vous rapportent X fois plus par an. »</t>
        </is>
      </c>
    </row>
    <row r="122" ht="35.05" customHeight="1" s="53">
      <c r="A122" s="81" t="inlineStr">
        <is>
          <t>XC28</t>
        </is>
      </c>
      <c r="B122" s="68" t="inlineStr">
        <is>
          <t>Comm &amp; Création</t>
        </is>
      </c>
      <c r="C122" s="65" t="inlineStr">
        <is>
          <t>Objectif et dispositif</t>
        </is>
      </c>
      <c r="D122" s="68" t="inlineStr">
        <is>
          <t>Objectif « trouver des clients » face à l'appel à l'action, à l'offre d'appel et au suivi</t>
        </is>
      </c>
      <c r="E122" s="68" t="inlineStr">
        <is>
          <t>COM-24.02</t>
        </is>
      </c>
      <c r="F122" s="67" t="inlineStr">
        <is>
          <t>●</t>
        </is>
      </c>
      <c r="G122" s="67" t="inlineStr">
        <is>
          <t>●</t>
        </is>
      </c>
      <c r="H122" s="67" t="inlineStr">
        <is>
          <t>●</t>
        </is>
      </c>
      <c r="I122" s="67" t="inlineStr">
        <is>
          <t>●</t>
        </is>
      </c>
      <c r="J122" s="67" t="inlineStr">
        <is>
          <t>●</t>
        </is>
      </c>
      <c r="K122" s="67" t="inlineStr">
        <is>
          <t>●</t>
        </is>
      </c>
      <c r="L122" s="67" t="inlineStr">
        <is>
          <t>●</t>
        </is>
      </c>
      <c r="M122" s="68" t="inlineStr">
        <is>
          <t>Aucune</t>
        </is>
      </c>
      <c r="N122" s="68" t="inlineStr">
        <is>
          <t>« Votre objectif est de trouver des clients, mais aucune publication ne dit quoi faire ensuite et aucune demande n'est suivie. »</t>
        </is>
      </c>
    </row>
    <row r="123" ht="35.05" customHeight="1" s="53">
      <c r="A123" s="81" t="inlineStr">
        <is>
          <t>XC29</t>
        </is>
      </c>
      <c r="B123" s="68" t="inlineStr">
        <is>
          <t>Comm &amp; Création</t>
        </is>
      </c>
      <c r="C123" s="65" t="inlineStr">
        <is>
          <t>Fiche Google et actions</t>
        </is>
      </c>
      <c r="D123" s="68" t="inlineStr">
        <is>
          <t>Complétude de la fiche comparée aux actions générées et à la position locale</t>
        </is>
      </c>
      <c r="E123" s="68" t="inlineStr">
        <is>
          <t>COM-14.03, ACQ-06.04, COM-16.01</t>
        </is>
      </c>
      <c r="F123" s="67" t="inlineStr">
        <is>
          <t>●</t>
        </is>
      </c>
      <c r="G123" s="67" t="inlineStr">
        <is>
          <t>●</t>
        </is>
      </c>
      <c r="H123" s="67" t="n"/>
      <c r="I123" s="67" t="inlineStr">
        <is>
          <t>●</t>
        </is>
      </c>
      <c r="J123" s="67" t="inlineStr">
        <is>
          <t>●</t>
        </is>
      </c>
      <c r="K123" s="67" t="inlineStr">
        <is>
          <t>●</t>
        </is>
      </c>
      <c r="L123" s="67" t="inlineStr">
        <is>
          <t>●</t>
        </is>
      </c>
      <c r="M123" s="68" t="inlineStr">
        <is>
          <t>Aucune</t>
        </is>
      </c>
      <c r="N123" s="68" t="inlineStr">
        <is>
          <t>« Votre fiche Google n'est complète qu'à X % et vous apparaissez en Y position : c'est votre canal le plus rentable à améliorer. »</t>
        </is>
      </c>
    </row>
    <row r="124" ht="35.05" customHeight="1" s="53">
      <c r="A124" s="81" t="inlineStr">
        <is>
          <t>XC30</t>
        </is>
      </c>
      <c r="B124" s="68" t="inlineStr">
        <is>
          <t>Comm &amp; Création</t>
        </is>
      </c>
      <c r="C124" s="65" t="inlineStr">
        <is>
          <t>Pilotage de la communication</t>
        </is>
      </c>
      <c r="D124" s="68" t="inlineStr">
        <is>
          <t>Activité connue (publications) face à la contribution commerciale inconnue (clics, contacts, clients)</t>
        </is>
      </c>
      <c r="E124" s="68" t="inlineStr">
        <is>
          <t>COM-43.02, COM-43.01</t>
        </is>
      </c>
      <c r="F124" s="67" t="inlineStr">
        <is>
          <t>●</t>
        </is>
      </c>
      <c r="G124" s="67" t="inlineStr">
        <is>
          <t>●</t>
        </is>
      </c>
      <c r="H124" s="67" t="inlineStr">
        <is>
          <t>●</t>
        </is>
      </c>
      <c r="I124" s="67" t="inlineStr">
        <is>
          <t>●</t>
        </is>
      </c>
      <c r="J124" s="67" t="inlineStr">
        <is>
          <t>●</t>
        </is>
      </c>
      <c r="K124" s="67" t="inlineStr">
        <is>
          <t>●</t>
        </is>
      </c>
      <c r="L124" s="67" t="inlineStr">
        <is>
          <t>●</t>
        </is>
      </c>
      <c r="M124" s="68" t="inlineStr">
        <is>
          <t>Aucune</t>
        </is>
      </c>
      <c r="N124" s="68" t="inlineStr">
        <is>
          <t>« Vous publiez régulièrement mais ne suivez ni les clics ni les contacts générés : vous connaissez votre activité de communication, pas encore sa contribution commerciale. »</t>
        </is>
      </c>
    </row>
    <row r="125" ht="23.85" customHeight="1" s="53">
      <c r="A125" s="81" t="inlineStr">
        <is>
          <t>XC31</t>
        </is>
      </c>
      <c r="B125" s="68" t="inlineStr">
        <is>
          <t>Comm &amp; Création</t>
        </is>
      </c>
      <c r="C125" s="65" t="inlineStr">
        <is>
          <t>Attribution locale</t>
        </is>
      </c>
      <c r="D125" s="68" t="inlineStr">
        <is>
          <t>Part des clients en boutique ou en salle venant des réseaux ou de Google</t>
        </is>
      </c>
      <c r="E125" s="68" t="inlineStr">
        <is>
          <t>COM-22.01, COM-22.03</t>
        </is>
      </c>
      <c r="F125" s="67" t="n"/>
      <c r="G125" s="67" t="inlineStr">
        <is>
          <t>●</t>
        </is>
      </c>
      <c r="H125" s="67" t="n"/>
      <c r="I125" s="67" t="inlineStr">
        <is>
          <t>●</t>
        </is>
      </c>
      <c r="J125" s="67" t="n"/>
      <c r="K125" s="67" t="n"/>
      <c r="L125" s="67" t="n"/>
      <c r="M125" s="68" t="inlineStr">
        <is>
          <t>Aucune</t>
        </is>
      </c>
      <c r="N125" s="68" t="inlineStr">
        <is>
          <t>« X clients sur 20 disent venir des réseaux ou de Google : environ Y € de CA par mois. »</t>
        </is>
      </c>
    </row>
    <row r="126" ht="23.85" customHeight="1" s="53">
      <c r="A126" s="81" t="inlineStr">
        <is>
          <t>XC32</t>
        </is>
      </c>
      <c r="B126" s="68" t="inlineStr">
        <is>
          <t>Comm &amp; Création</t>
        </is>
      </c>
      <c r="C126" s="65" t="inlineStr">
        <is>
          <t>Influence</t>
        </is>
      </c>
      <c r="D126" s="68" t="inlineStr">
        <is>
          <t>Coût d'une vente par les créateurs de contenu comparé au coût d'acquisition des autres canaux</t>
        </is>
      </c>
      <c r="E126" s="68" t="inlineStr">
        <is>
          <t>COM-48.02, ACQ-03.10</t>
        </is>
      </c>
      <c r="F126" s="67" t="n"/>
      <c r="G126" s="67" t="inlineStr">
        <is>
          <t>●</t>
        </is>
      </c>
      <c r="H126" s="67" t="inlineStr">
        <is>
          <t>●</t>
        </is>
      </c>
      <c r="I126" s="67" t="inlineStr">
        <is>
          <t>●</t>
        </is>
      </c>
      <c r="J126" s="67" t="n"/>
      <c r="K126" s="67" t="n"/>
      <c r="L126" s="67" t="n"/>
      <c r="M126" s="68" t="inlineStr">
        <is>
          <t>Aucune</t>
        </is>
      </c>
      <c r="N126" s="68" t="inlineStr">
        <is>
          <t>« Une vente obtenue par vos collaborations coûte X €, contre Y € par la publicité. »</t>
        </is>
      </c>
    </row>
    <row r="127" ht="35.05" customHeight="1" s="53">
      <c r="A127" s="81" t="inlineStr">
        <is>
          <t>XC33</t>
        </is>
      </c>
      <c r="B127" s="68" t="inlineStr">
        <is>
          <t>Comm &amp; Création</t>
        </is>
      </c>
      <c r="C127" s="65" t="inlineStr">
        <is>
          <t>Démarrage : potentiel du réseau existant</t>
        </is>
      </c>
      <c r="D127" s="68" t="inlineStr">
        <is>
          <t>Contacts sollicitables dès le départ × part prudente qui suit ou laisse un avis</t>
        </is>
      </c>
      <c r="E127" s="68" t="inlineStr">
        <is>
          <t>COM-10.05, COM-10.04</t>
        </is>
      </c>
      <c r="F127" s="67" t="inlineStr">
        <is>
          <t>●</t>
        </is>
      </c>
      <c r="G127" s="67" t="inlineStr">
        <is>
          <t>●</t>
        </is>
      </c>
      <c r="H127" s="67" t="inlineStr">
        <is>
          <t>●</t>
        </is>
      </c>
      <c r="I127" s="67" t="inlineStr">
        <is>
          <t>●</t>
        </is>
      </c>
      <c r="J127" s="67" t="inlineStr">
        <is>
          <t>●</t>
        </is>
      </c>
      <c r="K127" s="67" t="inlineStr">
        <is>
          <t>●</t>
        </is>
      </c>
      <c r="L127" s="67" t="inlineStr">
        <is>
          <t>●</t>
        </is>
      </c>
      <c r="M127" s="68" t="inlineStr">
        <is>
          <t>Part prudente de contacts qui répondent, à sourcer</t>
        </is>
      </c>
      <c r="N127" s="68" t="inlineStr">
        <is>
          <t>« En sollicitant vos X contacts existants, vous pouvez viser environ Y premiers abonnés et Z premiers avis dans le premier mois. »</t>
        </is>
      </c>
    </row>
  </sheetData>
  <autoFilter ref="A1:N127"/>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J32"/>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8" customWidth="1" style="52" min="1" max="1"/>
    <col width="18" customWidth="1" style="52" min="2" max="2"/>
    <col width="30" customWidth="1" style="52" min="3" max="3"/>
    <col width="46" customWidth="1" style="52" min="4" max="4"/>
    <col width="30" customWidth="1" style="52" min="5" max="5"/>
    <col width="6.51" customWidth="1" style="52" min="6" max="8"/>
    <col width="30" customWidth="1" style="52" min="9" max="9"/>
    <col width="50" customWidth="1" style="52" min="10" max="10"/>
  </cols>
  <sheetData>
    <row r="1" ht="31.5" customHeight="1" s="53">
      <c r="A1" s="75" t="inlineStr">
        <is>
          <t>Code</t>
        </is>
      </c>
      <c r="B1" s="75" t="inlineStr">
        <is>
          <t>Agent</t>
        </is>
      </c>
      <c r="C1" s="75" t="inlineStr">
        <is>
          <t>Croisement</t>
        </is>
      </c>
      <c r="D1" s="75" t="inlineStr">
        <is>
          <t>Calcul</t>
        </is>
      </c>
      <c r="E1" s="75" t="inlineStr">
        <is>
          <t>Données utilisées</t>
        </is>
      </c>
      <c r="F1" s="75" t="inlineStr">
        <is>
          <t>Seul</t>
        </is>
      </c>
      <c r="G1" s="75" t="inlineStr">
        <is>
          <t>2 à 5</t>
        </is>
      </c>
      <c r="H1" s="75" t="inlineStr">
        <is>
          <t>6 et +</t>
        </is>
      </c>
      <c r="I1" s="75" t="inlineStr">
        <is>
          <t>Hypothèse externe</t>
        </is>
      </c>
      <c r="J1" s="75" t="inlineStr">
        <is>
          <t>Phrase de rapport</t>
        </is>
      </c>
    </row>
    <row r="2" ht="23.85" customHeight="1" s="53">
      <c r="A2" s="81" t="inlineStr">
        <is>
          <t>XR01</t>
        </is>
      </c>
      <c r="B2" s="68" t="inlineStr">
        <is>
          <t>RH &amp; Organisation</t>
        </is>
      </c>
      <c r="C2" s="65" t="inlineStr">
        <is>
          <t>Temps du dirigeant pris par les sollicitations</t>
        </is>
      </c>
      <c r="D2" s="68" t="inlineStr">
        <is>
          <t>Sollicitations × temps moyen × jours travaillés</t>
        </is>
      </c>
      <c r="E2" s="68" t="inlineStr">
        <is>
          <t>RH-03.06, RH-03.01, RH-03.02</t>
        </is>
      </c>
      <c r="F2" s="67" t="n"/>
      <c r="G2" s="67" t="inlineStr">
        <is>
          <t>●</t>
        </is>
      </c>
      <c r="H2" s="67" t="inlineStr">
        <is>
          <t>●</t>
        </is>
      </c>
      <c r="I2" s="68" t="inlineStr">
        <is>
          <t>Aucune</t>
        </is>
      </c>
      <c r="J2" s="68" t="inlineStr">
        <is>
          <t>« Vous recevez environ X sollicitations par jour de Y minutes : Z heures par semaine. »</t>
        </is>
      </c>
    </row>
    <row r="3" ht="35.05" customHeight="1" s="53">
      <c r="A3" s="81" t="inlineStr">
        <is>
          <t>XR02</t>
        </is>
      </c>
      <c r="B3" s="68" t="inlineStr">
        <is>
          <t>RH &amp; Organisation</t>
        </is>
      </c>
      <c r="C3" s="65" t="inlineStr">
        <is>
          <t>Sollicitations évitables</t>
        </is>
      </c>
      <c r="D3" s="68" t="inlineStr">
        <is>
          <t>Temps des sollicitations × part évitable, et sujets les plus fréquents</t>
        </is>
      </c>
      <c r="E3" s="68" t="inlineStr">
        <is>
          <t>RH-03.07, RH-03.03, RH-03.05</t>
        </is>
      </c>
      <c r="F3" s="67" t="n"/>
      <c r="G3" s="67" t="inlineStr">
        <is>
          <t>●</t>
        </is>
      </c>
      <c r="H3" s="67" t="inlineStr">
        <is>
          <t>●</t>
        </is>
      </c>
      <c r="I3" s="68" t="inlineStr">
        <is>
          <t>Aucune</t>
        </is>
      </c>
      <c r="J3" s="68" t="inlineStr">
        <is>
          <t>« 60 % de ces sollicitations portent sur des validations récurrentes : des règles de décision écrites récupéreraient environ X heures par semaine. »</t>
        </is>
      </c>
    </row>
    <row r="4" ht="35.05" customHeight="1" s="53">
      <c r="A4" s="81" t="inlineStr">
        <is>
          <t>XR03</t>
        </is>
      </c>
      <c r="B4" s="68" t="inlineStr">
        <is>
          <t>RH &amp; Organisation</t>
        </is>
      </c>
      <c r="C4" s="65" t="inlineStr">
        <is>
          <t>Temps fragmenté par les interruptions</t>
        </is>
      </c>
      <c r="D4" s="68" t="inlineStr">
        <is>
          <t>Interruptions × durée × jours, puis part évitable et source principale</t>
        </is>
      </c>
      <c r="E4" s="68" t="inlineStr">
        <is>
          <t>RH-10.07, RH-10.08, RH-10.03, RH-10.06</t>
        </is>
      </c>
      <c r="F4" s="67" t="inlineStr">
        <is>
          <t>●</t>
        </is>
      </c>
      <c r="G4" s="67" t="inlineStr">
        <is>
          <t>●</t>
        </is>
      </c>
      <c r="H4" s="67" t="inlineStr">
        <is>
          <t>●</t>
        </is>
      </c>
      <c r="I4" s="68" t="inlineStr">
        <is>
          <t>Aucune</t>
        </is>
      </c>
      <c r="J4" s="68" t="inlineStr">
        <is>
          <t>« Environ X interruptions par jour de Y minutes : Z heures fragmentées par semaine. Comme N % pourraient attendre, regrouper les échanges récupérerait environ M heures. »</t>
        </is>
      </c>
    </row>
    <row r="5" ht="46.25" customHeight="1" s="53">
      <c r="A5" s="81" t="inlineStr">
        <is>
          <t>XR04</t>
        </is>
      </c>
      <c r="B5" s="68" t="inlineStr">
        <is>
          <t>RH &amp; Organisation</t>
        </is>
      </c>
      <c r="C5" s="65" t="inlineStr">
        <is>
          <t>Heures du dirigeant récupérables</t>
        </is>
      </c>
      <c r="D5" s="68" t="inlineStr">
        <is>
          <t>Tâches délégables + sollicitations évitables + interruptions évitables, sans double compte</t>
        </is>
      </c>
      <c r="E5" s="68" t="inlineStr">
        <is>
          <t>RH-05.08, RH-05.01, RH-05.03</t>
        </is>
      </c>
      <c r="F5" s="67" t="inlineStr">
        <is>
          <t>●</t>
        </is>
      </c>
      <c r="G5" s="67" t="inlineStr">
        <is>
          <t>●</t>
        </is>
      </c>
      <c r="H5" s="67" t="inlineStr">
        <is>
          <t>●</t>
        </is>
      </c>
      <c r="I5" s="68" t="inlineStr">
        <is>
          <t>Aucune</t>
        </is>
      </c>
      <c r="J5" s="68" t="inlineStr">
        <is>
          <t>« Vous travaillez X heures par semaine, dont Y sur des tâches délégables ou automatisables : votre premier levier n'est probablement pas de recruter mais de récupérer ces heures. »</t>
        </is>
      </c>
    </row>
    <row r="6" ht="35.05" customHeight="1" s="53">
      <c r="A6" s="81" t="inlineStr">
        <is>
          <t>XR05</t>
        </is>
      </c>
      <c r="B6" s="68" t="inlineStr">
        <is>
          <t>RH &amp; Organisation</t>
        </is>
      </c>
      <c r="C6" s="65" t="inlineStr">
        <is>
          <t>Temps consacré au développement</t>
        </is>
      </c>
      <c r="D6" s="68" t="inlineStr">
        <is>
          <t>Heures × part « développement et stratégie », comparées aux heures à faible valeur</t>
        </is>
      </c>
      <c r="E6" s="68" t="inlineStr">
        <is>
          <t>RH-05.07, RH-05.06, RH-05.04</t>
        </is>
      </c>
      <c r="F6" s="67" t="inlineStr">
        <is>
          <t>●</t>
        </is>
      </c>
      <c r="G6" s="67" t="inlineStr">
        <is>
          <t>●</t>
        </is>
      </c>
      <c r="H6" s="67" t="inlineStr">
        <is>
          <t>●</t>
        </is>
      </c>
      <c r="I6" s="68" t="inlineStr">
        <is>
          <t>Aucune</t>
        </is>
      </c>
      <c r="J6" s="68" t="inlineStr">
        <is>
          <t>« Sur X heures par semaine, seules Y vont au développement de l'entreprise, contre Z sur des tâches qu'un autre pourrait faire. »</t>
        </is>
      </c>
    </row>
    <row r="7" ht="35.05" customHeight="1" s="53">
      <c r="A7" s="81" t="inlineStr">
        <is>
          <t>XR06</t>
        </is>
      </c>
      <c r="B7" s="68" t="inlineStr">
        <is>
          <t>RH &amp; Organisation</t>
        </is>
      </c>
      <c r="C7" s="65" t="inlineStr">
        <is>
          <t>Efficacité de la délégation</t>
        </is>
      </c>
      <c r="D7" s="68" t="inlineStr">
        <is>
          <t>Tâches confiées non reprises ÷ tâches confiées, et origine du problème</t>
        </is>
      </c>
      <c r="E7" s="68" t="inlineStr">
        <is>
          <t>RH-04.06, RH-04.07, RH-04.04, RH-04.05</t>
        </is>
      </c>
      <c r="F7" s="67" t="n"/>
      <c r="G7" s="67" t="inlineStr">
        <is>
          <t>●</t>
        </is>
      </c>
      <c r="H7" s="67" t="inlineStr">
        <is>
          <t>●</t>
        </is>
      </c>
      <c r="I7" s="68" t="inlineStr">
        <is>
          <t>Aucune</t>
        </is>
      </c>
      <c r="J7" s="68" t="inlineStr">
        <is>
          <t>« X % des tâches déléguées ont été reprises. Le problème vient moins du volume délégué que de la méthode : les consignes ne sont pas écrites. »</t>
        </is>
      </c>
    </row>
    <row r="8" ht="35.05" customHeight="1" s="53">
      <c r="A8" s="81" t="inlineStr">
        <is>
          <t>XR07</t>
        </is>
      </c>
      <c r="B8" s="68" t="inlineStr">
        <is>
          <t>RH &amp; Organisation</t>
        </is>
      </c>
      <c r="C8" s="65" t="inlineStr">
        <is>
          <t>Quoi déléguer en premier</t>
        </is>
      </c>
      <c r="D8" s="68" t="inlineStr">
        <is>
          <t>Tâches délégables du dirigeant et de la personne la plus chargée, classées par heures, hors tâches stratégiques</t>
        </is>
      </c>
      <c r="E8" s="68" t="inlineStr">
        <is>
          <t>RH-05.03, RH-08.04, RH-17.01, RH-05.02</t>
        </is>
      </c>
      <c r="F8" s="67" t="inlineStr">
        <is>
          <t>●</t>
        </is>
      </c>
      <c r="G8" s="67" t="inlineStr">
        <is>
          <t>●</t>
        </is>
      </c>
      <c r="H8" s="67" t="inlineStr">
        <is>
          <t>●</t>
        </is>
      </c>
      <c r="I8" s="68" t="inlineStr">
        <is>
          <t>Aucune</t>
        </is>
      </c>
      <c r="J8" s="68" t="inlineStr">
        <is>
          <t>« Commencez par déléguer A et B, qui prennent environ X heures par semaine sans exiger votre intervention ; gardez C, qui reste stratégique. »</t>
        </is>
      </c>
    </row>
    <row r="9" ht="35.05" customHeight="1" s="53">
      <c r="A9" s="81" t="inlineStr">
        <is>
          <t>XR08</t>
        </is>
      </c>
      <c r="B9" s="68" t="inlineStr">
        <is>
          <t>RH &amp; Organisation</t>
        </is>
      </c>
      <c r="C9" s="65" t="inlineStr">
        <is>
          <t>Surcharge ponctuelle ou structurelle</t>
        </is>
      </c>
      <c r="D9" s="68" t="inlineStr">
        <is>
          <t>Écart heures réelles / contrat et fréquence des heures supplémentaires</t>
        </is>
      </c>
      <c r="E9" s="68" t="inlineStr">
        <is>
          <t>RH-06.08, RH-06.09, RH-06.05, RH-06.03</t>
        </is>
      </c>
      <c r="F9" s="67" t="n"/>
      <c r="G9" s="67" t="inlineStr">
        <is>
          <t>●</t>
        </is>
      </c>
      <c r="H9" s="67" t="inlineStr">
        <is>
          <t>●</t>
        </is>
      </c>
      <c r="I9" s="68" t="inlineStr">
        <is>
          <t>Aucune</t>
        </is>
      </c>
      <c r="J9" s="68" t="inlineStr">
        <is>
          <t>« Des heures supplémentaires X semaines sur Y : ce n'est plus un pic, l'organisation manque structurellement de capacité. »</t>
        </is>
      </c>
    </row>
    <row r="10" ht="35.05" customHeight="1" s="53">
      <c r="A10" s="81" t="inlineStr">
        <is>
          <t>XR09</t>
        </is>
      </c>
      <c r="B10" s="68" t="inlineStr">
        <is>
          <t>RH &amp; Organisation</t>
        </is>
      </c>
      <c r="C10" s="65" t="inlineStr">
        <is>
          <t>Capacité réellement utile</t>
        </is>
      </c>
      <c r="D10" s="68" t="inlineStr">
        <is>
          <t>Heures disponibles sur la production comparées aux heures disponibles totales</t>
        </is>
      </c>
      <c r="E10" s="68" t="inlineStr">
        <is>
          <t>RH-07.04, RH-07.03</t>
        </is>
      </c>
      <c r="F10" s="67" t="inlineStr">
        <is>
          <t>●</t>
        </is>
      </c>
      <c r="G10" s="67" t="inlineStr">
        <is>
          <t>●</t>
        </is>
      </c>
      <c r="H10" s="67" t="inlineStr">
        <is>
          <t>●</t>
        </is>
      </c>
      <c r="I10" s="68" t="inlineStr">
        <is>
          <t>Aucune</t>
        </is>
      </c>
      <c r="J10" s="68" t="inlineStr">
        <is>
          <t>« L'entreprise dispose de X heures libres par semaine, mais Y sont sur des fonctions qui ne produisent pas ce que vous vendez : votre capacité réelle est de Z heures. »</t>
        </is>
      </c>
    </row>
    <row r="11" ht="35.05" customHeight="1" s="53">
      <c r="A11" s="81" t="inlineStr">
        <is>
          <t>XR10</t>
        </is>
      </c>
      <c r="B11" s="68" t="inlineStr">
        <is>
          <t>RH &amp; Organisation</t>
        </is>
      </c>
      <c r="C11" s="65" t="inlineStr">
        <is>
          <t>Ventes absorbables sans recruter</t>
        </is>
      </c>
      <c r="D11" s="68" t="inlineStr">
        <is>
          <t>Heures utiles ÷ temps moyen par vente, puis × panier moyen. Sans agent RH : capacité inutilisée déclarée à l'agent Acquisition (ACQ-21)</t>
        </is>
      </c>
      <c r="E11" s="68" t="inlineStr">
        <is>
          <t>RH-07.05, ACQ-21.14, ACQ-15.06</t>
        </is>
      </c>
      <c r="F11" s="67" t="inlineStr">
        <is>
          <t>●</t>
        </is>
      </c>
      <c r="G11" s="67" t="inlineStr">
        <is>
          <t>●</t>
        </is>
      </c>
      <c r="H11" s="67" t="inlineStr">
        <is>
          <t>●</t>
        </is>
      </c>
      <c r="I11" s="68" t="inlineStr">
        <is>
          <t>Aucune</t>
        </is>
      </c>
      <c r="J11" s="68" t="inlineStr">
        <is>
          <t>« Votre équipe peut absorber environ X ventes de plus par mois sans recruter, soit Y € de CA. »</t>
        </is>
      </c>
    </row>
    <row r="12" ht="35.05" customHeight="1" s="53">
      <c r="A12" s="81" t="inlineStr">
        <is>
          <t>XR11</t>
        </is>
      </c>
      <c r="B12" s="68" t="inlineStr">
        <is>
          <t>RH &amp; Organisation</t>
        </is>
      </c>
      <c r="C12" s="65" t="inlineStr">
        <is>
          <t>Objectif absorbable</t>
        </is>
      </c>
      <c r="D12" s="68" t="inlineStr">
        <is>
          <t>Ventes absorbables ÷ ventes supplémentaires nécessaires pour l'objectif, avec les semaines libres du planning (agent Acquisition) quand elles sont connues</t>
        </is>
      </c>
      <c r="E12" s="68" t="inlineStr">
        <is>
          <t>RH-07.06, Inscription · objectif chiffré, ACQ-21.14, ACQ-19.06</t>
        </is>
      </c>
      <c r="F12" s="67" t="inlineStr">
        <is>
          <t>●</t>
        </is>
      </c>
      <c r="G12" s="67" t="inlineStr">
        <is>
          <t>●</t>
        </is>
      </c>
      <c r="H12" s="67" t="inlineStr">
        <is>
          <t>●</t>
        </is>
      </c>
      <c r="I12" s="68" t="inlineStr">
        <is>
          <t>Aucune</t>
        </is>
      </c>
      <c r="J12" s="68" t="inlineStr">
        <is>
          <t>« Votre capacité actuelle couvre X % de l'objectif : il est absorbable à court terme sans recrutement / au-delà, il faudra un renfort. »</t>
        </is>
      </c>
    </row>
    <row r="13" ht="46.25" customHeight="1" s="53">
      <c r="A13" s="81" t="inlineStr">
        <is>
          <t>XR12</t>
        </is>
      </c>
      <c r="B13" s="68" t="inlineStr">
        <is>
          <t>RH &amp; Organisation</t>
        </is>
      </c>
      <c r="C13" s="65" t="inlineStr">
        <is>
          <t>Goulot d'étranglement humain</t>
        </is>
      </c>
      <c r="D13" s="68" t="inlineStr">
        <is>
          <t>Charge de la personne la plus chargée, personnes qui en dépendent, heures transférables</t>
        </is>
      </c>
      <c r="E13" s="68" t="inlineStr">
        <is>
          <t>RH-08.08, RH-08.07, RH-08.03, RH-08.04, RH-08.05, RH-08.01</t>
        </is>
      </c>
      <c r="F13" s="67" t="n"/>
      <c r="G13" s="67" t="inlineStr">
        <is>
          <t>●</t>
        </is>
      </c>
      <c r="H13" s="67" t="inlineStr">
        <is>
          <t>●</t>
        </is>
      </c>
      <c r="I13" s="68" t="inlineStr">
        <is>
          <t>Aucune</t>
        </is>
      </c>
      <c r="J13" s="68" t="inlineStr">
        <is>
          <t>« Votre responsable de production travaille X heures par semaine et Y personnes attendent son travail : c'est votre goulot. Z heures de ses tâches pourraient être reprises par un autre. »</t>
        </is>
      </c>
    </row>
    <row r="14" ht="46.25" customHeight="1" s="53">
      <c r="A14" s="81" t="inlineStr">
        <is>
          <t>XR13</t>
        </is>
      </c>
      <c r="B14" s="68" t="inlineStr">
        <is>
          <t>RH &amp; Organisation</t>
        </is>
      </c>
      <c r="C14" s="65" t="inlineStr">
        <is>
          <t>Anticipation ou réaction permanente</t>
        </is>
      </c>
      <c r="D14" s="68" t="inlineStr">
        <is>
          <t>Part du temps dans l'urgence, causes et part anticipable</t>
        </is>
      </c>
      <c r="E14" s="68" t="inlineStr">
        <is>
          <t>RH-09.07, RH-09.05, RH-09.02, RH-09.06</t>
        </is>
      </c>
      <c r="F14" s="67" t="inlineStr">
        <is>
          <t>●</t>
        </is>
      </c>
      <c r="G14" s="67" t="inlineStr">
        <is>
          <t>●</t>
        </is>
      </c>
      <c r="H14" s="67" t="inlineStr">
        <is>
          <t>●</t>
        </is>
      </c>
      <c r="I14" s="68" t="inlineStr">
        <is>
          <t>Seuils de réaction permanente, à valider</t>
        </is>
      </c>
      <c r="J14" s="68" t="inlineStr">
        <is>
          <t>« Environ X % du temps de l'équipe se passe dans l'urgence, surtout à cause des demandes de dernière minute et de deux activités sans procédure. Y heures par semaine pourraient être anticipées. »</t>
        </is>
      </c>
    </row>
    <row r="15" ht="23.85" customHeight="1" s="53">
      <c r="A15" s="81" t="inlineStr">
        <is>
          <t>XR14</t>
        </is>
      </c>
      <c r="B15" s="68" t="inlineStr">
        <is>
          <t>RH &amp; Organisation</t>
        </is>
      </c>
      <c r="C15" s="65" t="inlineStr">
        <is>
          <t>Temps et coût des reprises</t>
        </is>
      </c>
      <c r="D15" s="68" t="inlineStr">
        <is>
          <t>Reprises × temps moyen (heures, calculées ici) ; coût repris de l'agent Finance (FIN-10), jamais recalculé</t>
        </is>
      </c>
      <c r="E15" s="68" t="inlineStr">
        <is>
          <t>RH-16.05, FIN-10.06, RH-06.04, RH-16.02</t>
        </is>
      </c>
      <c r="F15" s="67" t="inlineStr">
        <is>
          <t>●</t>
        </is>
      </c>
      <c r="G15" s="67" t="inlineStr">
        <is>
          <t>●</t>
        </is>
      </c>
      <c r="H15" s="67" t="inlineStr">
        <is>
          <t>●</t>
        </is>
      </c>
      <c r="I15" s="68" t="inlineStr">
        <is>
          <t>Aucune</t>
        </is>
      </c>
      <c r="J15" s="68" t="inlineStr">
        <is>
          <t>« Les reprises représentent environ X heures par mois : à votre coût horaire, Y € de capacité perdue par an. »</t>
        </is>
      </c>
    </row>
    <row r="16" ht="35.05" customHeight="1" s="53">
      <c r="A16" s="81" t="inlineStr">
        <is>
          <t>XR15</t>
        </is>
      </c>
      <c r="B16" s="68" t="inlineStr">
        <is>
          <t>RH &amp; Organisation</t>
        </is>
      </c>
      <c r="C16" s="65" t="inlineStr">
        <is>
          <t>Potentiel d'automatisation</t>
        </is>
      </c>
      <c r="D16" s="68" t="inlineStr">
        <is>
          <t>Heures des tâches répétitives classées « automatiser »</t>
        </is>
      </c>
      <c r="E16" s="68" t="inlineStr">
        <is>
          <t>RH-17.04, RH-17.01, RH-17.05</t>
        </is>
      </c>
      <c r="F16" s="67" t="inlineStr">
        <is>
          <t>●</t>
        </is>
      </c>
      <c r="G16" s="67" t="inlineStr">
        <is>
          <t>●</t>
        </is>
      </c>
      <c r="H16" s="67" t="inlineStr">
        <is>
          <t>●</t>
        </is>
      </c>
      <c r="I16" s="68" t="inlineStr">
        <is>
          <t>Part automatisable prudente, à sourcer</t>
        </is>
      </c>
      <c r="J16" s="68" t="inlineStr">
        <is>
          <t>« Vous perdez environ X heures par semaine en tâches répétitives ; automatiser les trois principales récupérerait une grande partie de ce temps. »</t>
        </is>
      </c>
    </row>
    <row r="17" ht="35.05" customHeight="1" s="53">
      <c r="A17" s="81" t="inlineStr">
        <is>
          <t>XR16</t>
        </is>
      </c>
      <c r="B17" s="68" t="inlineStr">
        <is>
          <t>RH &amp; Organisation</t>
        </is>
      </c>
      <c r="C17" s="65" t="inlineStr">
        <is>
          <t>Temps passé en réunion</t>
        </is>
      </c>
      <c r="D17" s="68" t="inlineStr">
        <is>
          <t>Réunions × durée × participants, et utilité déclarée</t>
        </is>
      </c>
      <c r="E17" s="68" t="inlineStr">
        <is>
          <t>RH-19.05, RH-19.06, RH-19.04</t>
        </is>
      </c>
      <c r="F17" s="67" t="n"/>
      <c r="G17" s="67" t="inlineStr">
        <is>
          <t>●</t>
        </is>
      </c>
      <c r="H17" s="67" t="inlineStr">
        <is>
          <t>●</t>
        </is>
      </c>
      <c r="I17" s="68" t="inlineStr">
        <is>
          <t>Seuil de surcharge, à valider</t>
        </is>
      </c>
      <c r="J17" s="68" t="inlineStr">
        <is>
          <t>« Vos réunions mobilisent X heures par mois, toutes personnes comprises, et n'aboutissent pas toujours à des décisions notées. »</t>
        </is>
      </c>
    </row>
    <row r="18" ht="35.05" customHeight="1" s="53">
      <c r="A18" s="81" t="inlineStr">
        <is>
          <t>XR17</t>
        </is>
      </c>
      <c r="B18" s="68" t="inlineStr">
        <is>
          <t>RH &amp; Organisation</t>
        </is>
      </c>
      <c r="C18" s="65" t="inlineStr">
        <is>
          <t>Taux de départ</t>
        </is>
      </c>
      <c r="D18" s="68" t="inlineStr">
        <is>
          <t>Départs ÷ effectif, ramené à 12 mois</t>
        </is>
      </c>
      <c r="E18" s="68" t="inlineStr">
        <is>
          <t>RH-32.05, RH-32.02</t>
        </is>
      </c>
      <c r="F18" s="67" t="n"/>
      <c r="G18" s="67" t="n"/>
      <c r="H18" s="67" t="inlineStr">
        <is>
          <t>●</t>
        </is>
      </c>
      <c r="I18" s="68" t="inlineStr">
        <is>
          <t>Taux de référence du secteur (seulement à partir de 10 personnes)</t>
        </is>
      </c>
      <c r="J18" s="68" t="inlineStr">
        <is>
          <t>« X départs sur la période, soit Y % de l'effectif, dont un sur un poste clé non remplacé. »</t>
        </is>
      </c>
    </row>
    <row r="19" ht="35.05" customHeight="1" s="53">
      <c r="A19" s="81" t="inlineStr">
        <is>
          <t>XR18</t>
        </is>
      </c>
      <c r="B19" s="68" t="inlineStr">
        <is>
          <t>RH &amp; Organisation</t>
        </is>
      </c>
      <c r="C19" s="65" t="inlineStr">
        <is>
          <t>Échec d'intégration</t>
        </is>
      </c>
      <c r="D19" s="68" t="inlineStr">
        <is>
          <t>Départs de la première année ÷ recrutements, et période du départ</t>
        </is>
      </c>
      <c r="E19" s="68" t="inlineStr">
        <is>
          <t>RH-33.02, RH-33.03</t>
        </is>
      </c>
      <c r="F19" s="67" t="n"/>
      <c r="G19" s="67" t="n"/>
      <c r="H19" s="67" t="inlineStr">
        <is>
          <t>●</t>
        </is>
      </c>
      <c r="I19" s="68" t="inlineStr">
        <is>
          <t>Aucune</t>
        </is>
      </c>
      <c r="J19" s="68" t="inlineStr">
        <is>
          <t>« X recrues sur Y sont parties dans l'année, la plupart avant 3 mois : le problème se situe plutôt au recrutement qu'à l'intégration. »</t>
        </is>
      </c>
    </row>
    <row r="20" ht="35.05" customHeight="1" s="53">
      <c r="A20" s="81" t="inlineStr">
        <is>
          <t>XR19</t>
        </is>
      </c>
      <c r="B20" s="68" t="inlineStr">
        <is>
          <t>RH &amp; Organisation</t>
        </is>
      </c>
      <c r="C20" s="65" t="inlineStr">
        <is>
          <t>Quand recruter pour l'objectif</t>
        </is>
      </c>
      <c r="D20" s="68" t="inlineStr">
        <is>
          <t>Délai total avant une recrue productive, comparé à l'échéance de l'objectif</t>
        </is>
      </c>
      <c r="E20" s="68" t="inlineStr">
        <is>
          <t>RH-31.04, Inscription · objectif chiffré, RH-31.03</t>
        </is>
      </c>
      <c r="F20" s="67" t="inlineStr">
        <is>
          <t>●</t>
        </is>
      </c>
      <c r="G20" s="67" t="inlineStr">
        <is>
          <t>●</t>
        </is>
      </c>
      <c r="H20" s="67" t="inlineStr">
        <is>
          <t>●</t>
        </is>
      </c>
      <c r="I20" s="68" t="inlineStr">
        <is>
          <t>Aucune</t>
        </is>
      </c>
      <c r="J20" s="68" t="inlineStr">
        <is>
          <t>« Entre l'annonce et une recrue autonome, il faut environ X semaines : pour un objectif à 12 mois, le recrutement doit démarrer avant Y. »</t>
        </is>
      </c>
    </row>
    <row r="21" ht="23.85" customHeight="1" s="53">
      <c r="A21" s="81" t="inlineStr">
        <is>
          <t>XR20</t>
        </is>
      </c>
      <c r="B21" s="68" t="inlineStr">
        <is>
          <t>RH &amp; Organisation</t>
        </is>
      </c>
      <c r="C21" s="65" t="inlineStr">
        <is>
          <t>Coût de montée en compétence</t>
        </is>
      </c>
      <c r="D21" s="68" t="inlineStr">
        <is>
          <t>Temps du responsable + salaire non productif pendant l'intégration</t>
        </is>
      </c>
      <c r="E21" s="68" t="inlineStr">
        <is>
          <t>RH-31.05, RH-28.08</t>
        </is>
      </c>
      <c r="F21" s="67" t="inlineStr">
        <is>
          <t>●</t>
        </is>
      </c>
      <c r="G21" s="67" t="inlineStr">
        <is>
          <t>●</t>
        </is>
      </c>
      <c r="H21" s="67" t="inlineStr">
        <is>
          <t>●</t>
        </is>
      </c>
      <c r="I21" s="68" t="inlineStr">
        <is>
          <t>Part non productive d'une recrue, à sourcer</t>
        </is>
      </c>
      <c r="J21" s="68" t="inlineStr">
        <is>
          <t>« Une recrue coûte environ X € avant d'être autonome, recrutement compris. »</t>
        </is>
      </c>
    </row>
    <row r="22" ht="35.05" customHeight="1" s="53">
      <c r="A22" s="81" t="inlineStr">
        <is>
          <t>XR21</t>
        </is>
      </c>
      <c r="B22" s="68" t="inlineStr">
        <is>
          <t>RH &amp; Organisation</t>
        </is>
      </c>
      <c r="C22" s="65" t="inlineStr">
        <is>
          <t>Dépendance à une personne clé</t>
        </is>
      </c>
      <c r="D22" s="68" t="inlineStr">
        <is>
          <t>Personnes critiques sans remplaçant ni procédure, et risque concentré sur les accès ou les clients</t>
        </is>
      </c>
      <c r="E22" s="68" t="inlineStr">
        <is>
          <t>RH-37.03, RH-37.04, RH-27.02</t>
        </is>
      </c>
      <c r="F22" s="67" t="inlineStr">
        <is>
          <t>●</t>
        </is>
      </c>
      <c r="G22" s="67" t="inlineStr">
        <is>
          <t>●</t>
        </is>
      </c>
      <c r="H22" s="67" t="inlineStr">
        <is>
          <t>●</t>
        </is>
      </c>
      <c r="I22" s="68" t="inlineStr">
        <is>
          <t>Aucune</t>
        </is>
      </c>
      <c r="J22" s="68" t="inlineStr">
        <is>
          <t>« Quatre personnes savent faire cette tâche, mais une seule a les accès et la relation client : le risque reste concentré sur elle. »</t>
        </is>
      </c>
    </row>
    <row r="23" ht="35.05" customHeight="1" s="53">
      <c r="A23" s="81" t="inlineStr">
        <is>
          <t>XR22</t>
        </is>
      </c>
      <c r="B23" s="68" t="inlineStr">
        <is>
          <t>RH &amp; Organisation</t>
        </is>
      </c>
      <c r="C23" s="65" t="inlineStr">
        <is>
          <t>Résilience opérationnelle</t>
        </is>
      </c>
      <c r="D23" s="68" t="inlineStr">
        <is>
          <t>Fonction la plus fragile, délai avant impact client, CA exposé</t>
        </is>
      </c>
      <c r="E23" s="68" t="inlineStr">
        <is>
          <t>RH-38.03, RH-38.04, RH-38.02</t>
        </is>
      </c>
      <c r="F23" s="67" t="inlineStr">
        <is>
          <t>●</t>
        </is>
      </c>
      <c r="G23" s="67" t="inlineStr">
        <is>
          <t>●</t>
        </is>
      </c>
      <c r="H23" s="67" t="inlineStr">
        <is>
          <t>●</t>
        </is>
      </c>
      <c r="I23" s="68" t="inlineStr">
        <is>
          <t>Aucune</t>
        </is>
      </c>
      <c r="J23" s="68" t="inlineStr">
        <is>
          <t>« Une seule personne maîtrise cette activité : au-delà de 2 jours d'absence, les clients sont retardés. C'est un risque prioritaire. »</t>
        </is>
      </c>
    </row>
    <row r="24" ht="35.05" customHeight="1" s="53">
      <c r="A24" s="81" t="inlineStr">
        <is>
          <t>XR23</t>
        </is>
      </c>
      <c r="B24" s="68" t="inlineStr">
        <is>
          <t>RH &amp; Organisation</t>
        </is>
      </c>
      <c r="C24" s="65" t="inlineStr">
        <is>
          <t>Dépendance totale au dirigeant</t>
        </is>
      </c>
      <c r="D24" s="68" t="inlineStr">
        <is>
          <t>Absence possible du dirigeant, CA par jour, procédures et relais extérieurs</t>
        </is>
      </c>
      <c r="E24" s="68" t="inlineStr">
        <is>
          <t>RH-38.01, RH-38.04, RH-12.02, RH-02.02</t>
        </is>
      </c>
      <c r="F24" s="67" t="inlineStr">
        <is>
          <t>●</t>
        </is>
      </c>
      <c r="G24" s="67" t="n"/>
      <c r="H24" s="67" t="n"/>
      <c r="I24" s="68" t="inlineStr">
        <is>
          <t>Aucune</t>
        </is>
      </c>
      <c r="J24" s="68" t="inlineStr">
        <is>
          <t>« Chaque jour où vous êtes arrêté coûte environ X € de CA, et aucune procédure ne permet à un tiers de prendre le relais. »</t>
        </is>
      </c>
    </row>
    <row r="25" ht="23.85" customHeight="1" s="53">
      <c r="A25" s="81" t="inlineStr">
        <is>
          <t>XR24</t>
        </is>
      </c>
      <c r="B25" s="68" t="inlineStr">
        <is>
          <t>RH &amp; Organisation</t>
        </is>
      </c>
      <c r="C25" s="65" t="inlineStr">
        <is>
          <t>Savoir-faire non écrit</t>
        </is>
      </c>
      <c r="D25" s="68" t="inlineStr">
        <is>
          <t>Tâches clés non décrites, croisées avec les tâches tenues par une seule personne</t>
        </is>
      </c>
      <c r="E25" s="68" t="inlineStr">
        <is>
          <t>RH-12.02, RH-27.01, RH-37.01</t>
        </is>
      </c>
      <c r="F25" s="67" t="inlineStr">
        <is>
          <t>●</t>
        </is>
      </c>
      <c r="G25" s="67" t="inlineStr">
        <is>
          <t>●</t>
        </is>
      </c>
      <c r="H25" s="67" t="inlineStr">
        <is>
          <t>●</t>
        </is>
      </c>
      <c r="I25" s="68" t="inlineStr">
        <is>
          <t>Aucune</t>
        </is>
      </c>
      <c r="J25" s="68" t="inlineStr">
        <is>
          <t>« X tâches clés sur Y ne sont écrites nulle part, dont Z tenues par une seule personne. »</t>
        </is>
      </c>
    </row>
    <row r="26" ht="23.85" customHeight="1" s="53">
      <c r="A26" s="81" t="inlineStr">
        <is>
          <t>XR25</t>
        </is>
      </c>
      <c r="B26" s="68" t="inlineStr">
        <is>
          <t>RH &amp; Organisation</t>
        </is>
      </c>
      <c r="C26" s="65" t="inlineStr">
        <is>
          <t>Temps perdu à chercher l'information</t>
        </is>
      </c>
      <c r="D26" s="68" t="inlineStr">
        <is>
          <t>Temps perdu par personne × effectif</t>
        </is>
      </c>
      <c r="E26" s="68" t="inlineStr">
        <is>
          <t>RH-14.03, RH-14.01</t>
        </is>
      </c>
      <c r="F26" s="67" t="inlineStr">
        <is>
          <t>●</t>
        </is>
      </c>
      <c r="G26" s="67" t="inlineStr">
        <is>
          <t>●</t>
        </is>
      </c>
      <c r="H26" s="67" t="inlineStr">
        <is>
          <t>●</t>
        </is>
      </c>
      <c r="I26" s="68" t="inlineStr">
        <is>
          <t>Aucune</t>
        </is>
      </c>
      <c r="J26" s="68" t="inlineStr">
        <is>
          <t>« L'équipe perd environ X heures par semaine à chercher une information ou à attendre quelqu'un. »</t>
        </is>
      </c>
    </row>
    <row r="27" ht="23.85" customHeight="1" s="53">
      <c r="A27" s="81" t="inlineStr">
        <is>
          <t>XR26</t>
        </is>
      </c>
      <c r="B27" s="68" t="inlineStr">
        <is>
          <t>RH &amp; Organisation</t>
        </is>
      </c>
      <c r="C27" s="65" t="inlineStr">
        <is>
          <t>Effet des absences</t>
        </is>
      </c>
      <c r="D27" s="68" t="inlineStr">
        <is>
          <t>Taux d'absence, effet déclaré, coût des remplacements de l'agent Finance</t>
        </is>
      </c>
      <c r="E27" s="68" t="inlineStr">
        <is>
          <t>RH-34.04, RH-34.02, FIN-07.06</t>
        </is>
      </c>
      <c r="F27" s="67" t="n"/>
      <c r="G27" s="67" t="n"/>
      <c r="H27" s="67" t="inlineStr">
        <is>
          <t>●</t>
        </is>
      </c>
      <c r="I27" s="68" t="inlineStr">
        <is>
          <t>Aucune</t>
        </is>
      </c>
      <c r="J27" s="68" t="inlineStr">
        <is>
          <t>« X jours d'absence ont entraîné des heures supplémentaires et Y € de remplacements. »</t>
        </is>
      </c>
    </row>
    <row r="28" ht="35.05" customHeight="1" s="53">
      <c r="A28" s="81" t="inlineStr">
        <is>
          <t>XR27</t>
        </is>
      </c>
      <c r="B28" s="68" t="inlineStr">
        <is>
          <t>RH &amp; Organisation</t>
        </is>
      </c>
      <c r="C28" s="65" t="inlineStr">
        <is>
          <t>Quand un recrutement devient nécessaire</t>
        </is>
      </c>
      <c r="D28" s="68" t="inlineStr">
        <is>
          <t>Heures manquantes pour l'objectif après récupération des heures délégables, automatisables et évitables</t>
        </is>
      </c>
      <c r="E28" s="68" t="inlineStr">
        <is>
          <t>RH-07.06, RH-05.08, RH-17.04, RH-09.06, Inscription · objectif chiffré</t>
        </is>
      </c>
      <c r="F28" s="67" t="inlineStr">
        <is>
          <t>●</t>
        </is>
      </c>
      <c r="G28" s="67" t="inlineStr">
        <is>
          <t>●</t>
        </is>
      </c>
      <c r="H28" s="67" t="inlineStr">
        <is>
          <t>●</t>
        </is>
      </c>
      <c r="I28" s="68" t="inlineStr">
        <is>
          <t>Aucune</t>
        </is>
      </c>
      <c r="J28" s="68" t="inlineStr">
        <is>
          <t>« Même en récupérant les X heures délégables, il manquera Y heures par semaine pour votre objectif : un recrutement devient nécessaire à partir de Z € de CA mensuel. »</t>
        </is>
      </c>
    </row>
    <row r="29" ht="23.85" customHeight="1" s="53">
      <c r="A29" s="81" t="inlineStr">
        <is>
          <t>XR28</t>
        </is>
      </c>
      <c r="B29" s="68" t="inlineStr">
        <is>
          <t>RH &amp; Organisation</t>
        </is>
      </c>
      <c r="C29" s="65" t="inlineStr">
        <is>
          <t>Heures supplémentaires face à un recrutement</t>
        </is>
      </c>
      <c r="D29" s="68" t="inlineStr">
        <is>
          <t>Coût annuel des heures supplémentaires comparé au coût d'un salarié</t>
        </is>
      </c>
      <c r="E29" s="68" t="inlineStr">
        <is>
          <t>FIN-07.07, FIN-07.09, RH-06.03, RH-06.04</t>
        </is>
      </c>
      <c r="F29" s="67" t="n"/>
      <c r="G29" s="67" t="inlineStr">
        <is>
          <t>●</t>
        </is>
      </c>
      <c r="H29" s="67" t="inlineStr">
        <is>
          <t>●</t>
        </is>
      </c>
      <c r="I29" s="68" t="inlineStr">
        <is>
          <t>Aucune</t>
        </is>
      </c>
      <c r="J29" s="68" t="inlineStr">
        <is>
          <t>« Vos heures supplémentaires coûtent déjà X € par an, soit Y % d'un salaire chargé. »</t>
        </is>
      </c>
    </row>
    <row r="30" ht="23.85" customHeight="1" s="53">
      <c r="A30" s="81" t="inlineStr">
        <is>
          <t>XR29</t>
        </is>
      </c>
      <c r="B30" s="68" t="inlineStr">
        <is>
          <t>RH &amp; Organisation</t>
        </is>
      </c>
      <c r="C30" s="65" t="inlineStr">
        <is>
          <t>Matériel qui ralentit</t>
        </is>
      </c>
      <c r="D30" s="68" t="inlineStr">
        <is>
          <t>Heures perdues à cause du matériel × coût d'une heure</t>
        </is>
      </c>
      <c r="E30" s="68" t="inlineStr">
        <is>
          <t>RH-15.02, FIN-07.12</t>
        </is>
      </c>
      <c r="F30" s="67" t="inlineStr">
        <is>
          <t>●</t>
        </is>
      </c>
      <c r="G30" s="67" t="inlineStr">
        <is>
          <t>●</t>
        </is>
      </c>
      <c r="H30" s="67" t="inlineStr">
        <is>
          <t>●</t>
        </is>
      </c>
      <c r="I30" s="68" t="inlineStr">
        <is>
          <t>Aucune</t>
        </is>
      </c>
      <c r="J30" s="68" t="inlineStr">
        <is>
          <t>« Le matériel vous fait perdre environ X heures par semaine, soit Y € par an. »</t>
        </is>
      </c>
    </row>
    <row r="31" ht="23.85" customHeight="1" s="53">
      <c r="A31" s="81" t="inlineStr">
        <is>
          <t>XR30</t>
        </is>
      </c>
      <c r="B31" s="68" t="inlineStr">
        <is>
          <t>RH &amp; Organisation</t>
        </is>
      </c>
      <c r="C31" s="65" t="inlineStr">
        <is>
          <t>Mois forts sans renfort</t>
        </is>
      </c>
      <c r="D31" s="68" t="inlineStr">
        <is>
          <t>Mois forts, renforts prévus et semaines d'heures supplémentaires</t>
        </is>
      </c>
      <c r="E31" s="68" t="inlineStr">
        <is>
          <t>RH-11.03, RH-11.02</t>
        </is>
      </c>
      <c r="F31" s="67" t="n"/>
      <c r="G31" s="67" t="inlineStr">
        <is>
          <t>●</t>
        </is>
      </c>
      <c r="H31" s="67" t="inlineStr">
        <is>
          <t>●</t>
        </is>
      </c>
      <c r="I31" s="68" t="inlineStr">
        <is>
          <t>Aucune</t>
        </is>
      </c>
      <c r="J31" s="68" t="inlineStr">
        <is>
          <t>« Vos mois de X et Y concentrent la charge sans renfort prévu : les heures supplémentaires s'y accumulent. »</t>
        </is>
      </c>
    </row>
    <row r="32" ht="35.05" customHeight="1" s="53">
      <c r="A32" s="81" t="inlineStr">
        <is>
          <t>XR31</t>
        </is>
      </c>
      <c r="B32" s="68" t="inlineStr">
        <is>
          <t>RH &amp; Organisation</t>
        </is>
      </c>
      <c r="C32" s="65" t="inlineStr">
        <is>
          <t>Ce que dit l'absence de données</t>
        </is>
      </c>
      <c r="D32" s="68" t="inlineStr">
        <is>
          <t>Maîtrise des données d'organisation, de finance et commerciales comparées</t>
        </is>
      </c>
      <c r="E32" s="68" t="inlineStr">
        <is>
          <t>RH-40.02, FIN-33.01, ACQ-20.03, RH-40.01</t>
        </is>
      </c>
      <c r="F32" s="67" t="inlineStr">
        <is>
          <t>●</t>
        </is>
      </c>
      <c r="G32" s="67" t="inlineStr">
        <is>
          <t>●</t>
        </is>
      </c>
      <c r="H32" s="67" t="inlineStr">
        <is>
          <t>●</t>
        </is>
      </c>
      <c r="I32" s="68" t="inlineStr">
        <is>
          <t>Aucune</t>
        </is>
      </c>
      <c r="J32" s="68" t="inlineStr">
        <is>
          <t>« Plusieurs données clés sur votre capacité et vos pertes de temps ne sont pas suivies. Première action : suivre 3 indicateurs simples chaque semaine. »</t>
        </is>
      </c>
    </row>
  </sheetData>
  <autoFilter ref="A1:J32"/>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8" customWidth="1" style="52" min="1" max="1"/>
    <col width="44" customWidth="1" style="52" min="2" max="2"/>
    <col width="50" customWidth="1" style="52" min="3" max="3"/>
    <col width="34" customWidth="1" style="52" min="4" max="4"/>
    <col width="56" customWidth="1" style="52" min="5" max="5"/>
  </cols>
  <sheetData>
    <row r="1" ht="24" customHeight="1" s="53">
      <c r="A1" s="54" t="inlineStr">
        <is>
          <t>Scénarios de l'agent Finance &amp; Rentabilité</t>
        </is>
      </c>
    </row>
    <row r="2" ht="15" customHeight="1" s="53">
      <c r="A2" s="55" t="inlineStr">
        <is>
          <t>Calculs « et si… » faits à partir des réponses déjà données, sans question en plus.</t>
        </is>
      </c>
    </row>
    <row r="3"/>
    <row r="4" ht="31.5" customHeight="1" s="53">
      <c r="A4" s="75" t="inlineStr">
        <is>
          <t>Code</t>
        </is>
      </c>
      <c r="B4" s="75" t="inlineStr">
        <is>
          <t>Scénario</t>
        </is>
      </c>
      <c r="C4" s="75" t="inlineStr">
        <is>
          <t>Calcul</t>
        </is>
      </c>
      <c r="D4" s="75" t="inlineStr">
        <is>
          <t>Données utilisées</t>
        </is>
      </c>
      <c r="E4" s="75" t="inlineStr">
        <is>
          <t>Phrase de rapport</t>
        </is>
      </c>
    </row>
    <row r="5" ht="23.85" customHeight="1" s="53">
      <c r="A5" s="81" t="inlineStr">
        <is>
          <t>S01</t>
        </is>
      </c>
      <c r="B5" s="65" t="inlineStr">
        <is>
          <t>Que se passe-t-il si votre CA baisse de 10 % pendant 3 mois ?</t>
        </is>
      </c>
      <c r="C5" s="68" t="inlineStr">
        <is>
          <t>CA × 10 % × taux de marge × 3, retiré de la trésorerie mobilisable</t>
        </is>
      </c>
      <c r="D5" s="68" t="inlineStr">
        <is>
          <t>Inscription · CA mensuel, FIN-06.08, FIN-11.04, FIN-05.08</t>
        </is>
      </c>
      <c r="E5" s="68" t="inlineStr">
        <is>
          <t>« Votre trésorerie passerait de X € à Y €, soit Z mois de sécurité au lieu de N. »</t>
        </is>
      </c>
    </row>
    <row r="6" ht="23.85" customHeight="1" s="53">
      <c r="A6" s="81" t="inlineStr">
        <is>
          <t>S02</t>
        </is>
      </c>
      <c r="B6" s="65" t="inlineStr">
        <is>
          <t>Que se passe-t-il si votre principal client part ?</t>
        </is>
      </c>
      <c r="C6" s="68" t="inlineStr">
        <is>
          <t>Voir le croisement « Départ du plus gros client »</t>
        </is>
      </c>
      <c r="D6" s="68" t="inlineStr">
        <is>
          <t>FIN-31.01</t>
        </is>
      </c>
      <c r="E6" s="68" t="inlineStr">
        <is>
          <t>« Vous tiendriez environ X mois ; il faudrait Y nouveaux clients pour compenser. »</t>
        </is>
      </c>
    </row>
    <row r="7" ht="23.85" customHeight="1" s="53">
      <c r="A7" s="81" t="inlineStr">
        <is>
          <t>S03</t>
        </is>
      </c>
      <c r="B7" s="65" t="inlineStr">
        <is>
          <t>Que se passe-t-il si vos achats augmentent de 8 % ?</t>
        </is>
      </c>
      <c r="C7" s="68" t="inlineStr">
        <is>
          <t>Achats × 8 % × 12, et hausse de prix nécessaire pour compenser</t>
        </is>
      </c>
      <c r="D7" s="68" t="inlineStr">
        <is>
          <t>FIN-08.01, FIN-06.08, Inscription · CA mensuel</t>
        </is>
      </c>
      <c r="E7" s="68" t="inlineStr">
        <is>
          <t>« Votre résultat baisserait de X € par an ; une hausse de vos prix de Y % compenserait. »</t>
        </is>
      </c>
    </row>
    <row r="8" ht="23.85" customHeight="1" s="53">
      <c r="A8" s="81" t="inlineStr">
        <is>
          <t>S04</t>
        </is>
      </c>
      <c r="B8" s="65" t="inlineStr">
        <is>
          <t>Que se passe-t-il si vous recrutez une personne ?</t>
        </is>
      </c>
      <c r="C8" s="68" t="inlineStr">
        <is>
          <t>Coût chargé moyen d'un salarié ÷ taux de marge = CA supplémentaire nécessaire, comparé à la capacité inutilisée</t>
        </is>
      </c>
      <c r="D8" s="68" t="inlineStr">
        <is>
          <t>FIN-07.09, FIN-06.08, ACQ-21.14, FIN-07.07</t>
        </is>
      </c>
      <c r="E8" s="68" t="inlineStr">
        <is>
          <t>« Il faudrait X € de CA en plus par mois pour le financer ; votre demande actuelle en couvre Y %. »</t>
        </is>
      </c>
    </row>
    <row r="9" ht="23.85" customHeight="1" s="53">
      <c r="A9" s="81" t="inlineStr">
        <is>
          <t>S05</t>
        </is>
      </c>
      <c r="B9" s="65" t="inlineStr">
        <is>
          <t>Que se passe-t-il si vos clients paient 15 jours plus tard ?</t>
        </is>
      </c>
      <c r="C9" s="68" t="inlineStr">
        <is>
          <t>CA d'une journée × 15</t>
        </is>
      </c>
      <c r="D9" s="68" t="inlineStr">
        <is>
          <t>Inscription · CA mensuel, FIN-11.04, FIN-05.08</t>
        </is>
      </c>
      <c r="E9" s="68" t="inlineStr">
        <is>
          <t>« X € de trésorerie en moins, soit Y semaines de sécurité perdues. »</t>
        </is>
      </c>
    </row>
    <row r="10" ht="23.85" customHeight="1" s="53">
      <c r="A10" s="81" t="inlineStr">
        <is>
          <t>S06</t>
        </is>
      </c>
      <c r="B10" s="65" t="inlineStr">
        <is>
          <t>Quel CA faut-il pour financer votre prochain investissement ?</t>
        </is>
      </c>
      <c r="C10" s="68" t="inlineStr">
        <is>
          <t>(Coût total − trésorerie au-delà de 2 mois de sécurité) ÷ (taux de marge × nombre de mois avant l'achat)</t>
        </is>
      </c>
      <c r="D10" s="68" t="inlineStr">
        <is>
          <t>FIN-26.01, FIN-11.04, FIN-05.08, FIN-06.08</t>
        </is>
      </c>
      <c r="E10" s="68" t="inlineStr">
        <is>
          <t>« Pour payer cet investissement sans emprunt d'ici N mois, il vous faut X € de CA en plus par mois. »</t>
        </is>
      </c>
    </row>
    <row r="11" ht="23.85" customHeight="1" s="53">
      <c r="A11" s="81" t="inlineStr">
        <is>
          <t>S07</t>
        </is>
      </c>
      <c r="B11" s="65" t="inlineStr">
        <is>
          <t>Quel gain représente une baisse de 5 % de vos achats ?</t>
        </is>
      </c>
      <c r="C11" s="68" t="inlineStr">
        <is>
          <t>(Achats + sous-traitance) × 5 % × 12</t>
        </is>
      </c>
      <c r="D11" s="68" t="inlineStr">
        <is>
          <t>FIN-08.01, FIN-08.02</t>
        </is>
      </c>
      <c r="E11" s="68" t="inlineStr">
        <is>
          <t>« Une baisse de 5 % de vos achats améliorerait votre résultat de X € par an. »</t>
        </is>
      </c>
    </row>
    <row r="12" ht="23.85" customHeight="1" s="53">
      <c r="A12" s="81" t="inlineStr">
        <is>
          <t>S08</t>
        </is>
      </c>
      <c r="B12" s="65" t="inlineStr">
        <is>
          <t>Combien de trésorerie vous faut-il pour atteindre votre objectif ?</t>
        </is>
      </c>
      <c r="C12" s="68" t="inlineStr">
        <is>
          <t>Voir le croisement « Trésorerie à avancer pour l'objectif »</t>
        </is>
      </c>
      <c r="D12" s="68" t="inlineStr">
        <is>
          <t>FIN-32.01, FIN-11.04</t>
        </is>
      </c>
      <c r="E12" s="68" t="inlineStr">
        <is>
          <t>« Il vous faudrait X € de trésorerie en plus avant que les nouvelles ventes soient encaissées. »</t>
        </is>
      </c>
    </row>
    <row r="13" ht="23.85" customHeight="1" s="53">
      <c r="A13" s="81" t="inlineStr">
        <is>
          <t>S09</t>
        </is>
      </c>
      <c r="B13" s="65" t="inlineStr">
        <is>
          <t>Que se passe-t-il si vous augmentez vos prix de 3 % ?</t>
        </is>
      </c>
      <c r="C13" s="68" t="inlineStr">
        <is>
          <t>CA × 3 % × 12, et part de clients que l'on peut perdre avant d'y perdre : hausse ÷ (taux de marge + hausse)</t>
        </is>
      </c>
      <c r="D13" s="68" t="inlineStr">
        <is>
          <t>Inscription · CA mensuel, FIN-06.08</t>
        </is>
      </c>
      <c r="E13" s="68" t="inlineStr">
        <is>
          <t>« Une hausse de 3 % améliore votre résultat de X € par an ; vous pourriez perdre jusqu'à Y % de vos ventes avant d'y perdre. »</t>
        </is>
      </c>
    </row>
    <row r="14" ht="23.85" customHeight="1" s="53">
      <c r="A14" s="81" t="inlineStr">
        <is>
          <t>S10</t>
        </is>
      </c>
      <c r="B14" s="65" t="inlineStr">
        <is>
          <t>Que se passe-t-il si votre saison creuse dure un mois de plus ?</t>
        </is>
      </c>
      <c r="C14" s="68" t="inlineStr">
        <is>
          <t>Charges fixes − marge d'un mois creux</t>
        </is>
      </c>
      <c r="D14" s="68" t="inlineStr">
        <is>
          <t>FIN-14.02, FIN-05.08, ACQ-23.06, FIN-06.08</t>
        </is>
      </c>
      <c r="E14" s="68" t="inlineStr">
        <is>
          <t>« Un mois creux de plus vous coûterait X € de trésorerie. »</t>
        </is>
      </c>
    </row>
    <row r="15" ht="23.85" customHeight="1" s="53">
      <c r="A15" s="81" t="inlineStr">
        <is>
          <t>S11</t>
        </is>
      </c>
      <c r="B15" s="65" t="inlineStr">
        <is>
          <t>Que se passe-t-il si vos fournisseurs vous accordent 15 jours de plus ?</t>
        </is>
      </c>
      <c r="C15" s="68" t="inlineStr">
        <is>
          <t>(Achats + sous-traitance) d'une journée × 15</t>
        </is>
      </c>
      <c r="D15" s="68" t="inlineStr">
        <is>
          <t>FIN-08.01, FIN-08.02</t>
        </is>
      </c>
      <c r="E15" s="68" t="inlineStr">
        <is>
          <t>« Vous gagneriez X € de trésorerie, sans rien changer à votre activité. »</t>
        </is>
      </c>
    </row>
    <row r="16" ht="23.85" customHeight="1" s="53">
      <c r="A16" s="81" t="inlineStr">
        <is>
          <t>S12</t>
        </is>
      </c>
      <c r="B16" s="65" t="inlineStr">
        <is>
          <t>Que se passe-t-il si vous écoulez votre stock dormant ?</t>
        </is>
      </c>
      <c r="C16" s="68" t="inlineStr">
        <is>
          <t>Voir « Trésorerie récupérable en écoulant le stock dormant »</t>
        </is>
      </c>
      <c r="D16" s="68" t="inlineStr">
        <is>
          <t>FIN-39.05</t>
        </is>
      </c>
      <c r="E16" s="68" t="inlineStr">
        <is>
          <t>« Vous récupéreriez X € de trésorerie en sacrifiant Y € de marge. »</t>
        </is>
      </c>
    </row>
    <row r="17" ht="23.85" customHeight="1" s="53">
      <c r="A17" s="81" t="inlineStr">
        <is>
          <t>S13</t>
        </is>
      </c>
      <c r="B17" s="65" t="inlineStr">
        <is>
          <t>Que se passe-t-il si votre plus gros impayé n'est jamais réglé ?</t>
        </is>
      </c>
      <c r="C17" s="68" t="inlineStr">
        <is>
          <t>Imprévu absorbable − plus gros impayé</t>
        </is>
      </c>
      <c r="D17" s="68" t="inlineStr">
        <is>
          <t>FIN-18.03, FIN-15.02, FIN-11.05</t>
        </is>
      </c>
      <c r="E17" s="68" t="inlineStr">
        <is>
          <t>« Votre sécurité passerait de X à Y mois de charges. »</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F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52" min="1" max="1"/>
    <col width="26" customWidth="1" style="52" min="2" max="2"/>
    <col width="52" customWidth="1" style="52" min="3" max="3"/>
    <col width="30" customWidth="1" style="52" min="4" max="4"/>
    <col width="44" customWidth="1" style="52" min="5" max="5"/>
    <col width="36" customWidth="1" style="52" min="6" max="6"/>
  </cols>
  <sheetData>
    <row r="1" ht="24" customHeight="1" s="53">
      <c r="A1" s="54" t="inlineStr">
        <is>
          <t>Diagnostic de l'agent Comm &amp; Création de contenu</t>
        </is>
      </c>
    </row>
    <row r="2" ht="15" customHeight="1" s="53">
      <c r="A2" s="55" t="inlineStr">
        <is>
          <t>Avant de recommander de publier plus, l'agent vérifie où se situe vraiment le problème.</t>
        </is>
      </c>
    </row>
    <row r="3"/>
    <row r="4" ht="31.5" customHeight="1" s="53">
      <c r="A4" s="75" t="inlineStr">
        <is>
          <t>Code</t>
        </is>
      </c>
      <c r="B4" s="75" t="inlineStr">
        <is>
          <t>Problème</t>
        </is>
      </c>
      <c r="C4" s="75" t="inlineStr">
        <is>
          <t>Signaux</t>
        </is>
      </c>
      <c r="D4" s="75" t="inlineStr">
        <is>
          <t>Données lues</t>
        </is>
      </c>
      <c r="E4" s="75" t="inlineStr">
        <is>
          <t>L'agent recommande</t>
        </is>
      </c>
      <c r="F4" s="75" t="inlineStr">
        <is>
          <t>L'agent ne recommande pas</t>
        </is>
      </c>
    </row>
    <row r="5" ht="35.05" customHeight="1" s="53">
      <c r="A5" s="81" t="inlineStr">
        <is>
          <t>DC01</t>
        </is>
      </c>
      <c r="B5" s="65" t="inlineStr">
        <is>
          <t>Manque de contenu</t>
        </is>
      </c>
      <c r="C5" s="68" t="inlineStr">
        <is>
          <t>Peu de publications par mois, réserve d'avance nulle, mais des contenus qui font mieux que la moyenne du compte en clics et en contacts</t>
        </is>
      </c>
      <c r="D5" s="68" t="inlineStr">
        <is>
          <t>COM-10.01, COM-35.03, COM-39.05</t>
        </is>
      </c>
      <c r="E5" s="68" t="inlineStr">
        <is>
          <t>Augmenter la fréquence du format qui marche, avec une réserve d'avance</t>
        </is>
      </c>
      <c r="F5" s="68" t="inlineStr">
        <is>
          <t>Ouvrir un nouveau réseau</t>
        </is>
      </c>
    </row>
    <row r="6" ht="35.05" customHeight="1" s="53">
      <c r="A6" s="81" t="inlineStr">
        <is>
          <t>DC02</t>
        </is>
      </c>
      <c r="B6" s="65" t="inlineStr">
        <is>
          <t>Mauvais contenu</t>
        </is>
      </c>
      <c r="C6" s="68" t="inlineStr">
        <is>
          <t>Portée correcte, mais engagement et clics faibles ; grille de qualité faible sur l'accroche, l'angle client ou le bénéfice</t>
        </is>
      </c>
      <c r="D6" s="68" t="inlineStr">
        <is>
          <t>COM-17.04, COM-36.01, COM-19.02, COM-49.01, COM-50.01, COM-51.01</t>
        </is>
      </c>
      <c r="E6" s="68" t="inlineStr">
        <is>
          <t>Retravailler l'accroche, l'angle et le bénéfice sur les 10 prochaines publications</t>
        </is>
      </c>
      <c r="F6" s="68" t="inlineStr">
        <is>
          <t>Publier plus</t>
        </is>
      </c>
    </row>
    <row r="7" ht="23.85" customHeight="1" s="53">
      <c r="A7" s="81" t="inlineStr">
        <is>
          <t>DC03</t>
        </is>
      </c>
      <c r="B7" s="65" t="inlineStr">
        <is>
          <t>Mauvais canal</t>
        </is>
      </c>
      <c r="C7" s="68" t="inlineStr">
        <is>
          <t>Réseau où la cible n'est pas, ou réseau qui prend beaucoup de temps pour peu de demandes</t>
        </is>
      </c>
      <c r="D7" s="68" t="inlineStr">
        <is>
          <t>COM-11.01, COM-31.03, COM-22.02</t>
        </is>
      </c>
      <c r="E7" s="68" t="inlineStr">
        <is>
          <t>Réallouer le temps vers le réseau qui produit les demandes</t>
        </is>
      </c>
      <c r="F7" s="68" t="inlineStr">
        <is>
          <t>Ouvrir un réseau de plus avant d'avoir réalloué</t>
        </is>
      </c>
    </row>
    <row r="8" ht="35.05" customHeight="1" s="53">
      <c r="A8" s="81" t="inlineStr">
        <is>
          <t>DC04</t>
        </is>
      </c>
      <c r="B8" s="65" t="inlineStr">
        <is>
          <t>Mauvais ciblage</t>
        </is>
      </c>
      <c r="C8" s="68" t="inlineStr">
        <is>
          <t>Demandes ou messages souvent hors cible (zone, budget, offre) ; cible de la communication différente des clients qui rapportent</t>
        </is>
      </c>
      <c r="D8" s="68" t="inlineStr">
        <is>
          <t>ACQ-02.05, COM-23.04, COM-02.02</t>
        </is>
      </c>
      <c r="E8" s="68" t="inlineStr">
        <is>
          <t>Recentrer le message et la cible sur les clients qui rapportent le plus</t>
        </is>
      </c>
      <c r="F8" s="68" t="inlineStr">
        <is>
          <t>Chercher plus d'audience</t>
        </is>
      </c>
    </row>
    <row r="9" ht="23.85" customHeight="1" s="53">
      <c r="A9" s="81" t="inlineStr">
        <is>
          <t>DC05</t>
        </is>
      </c>
      <c r="B9" s="65" t="inlineStr">
        <is>
          <t>Manque de régularité</t>
        </is>
      </c>
      <c r="C9" s="68" t="inlineStr">
        <is>
          <t>Moins d'une semaine sur deux avec une publication, longues interruptions, pas de calendrier</t>
        </is>
      </c>
      <c r="D9" s="68" t="inlineStr">
        <is>
          <t>COM-33.02, COM-33.03, COM-28.01</t>
        </is>
      </c>
      <c r="E9" s="68" t="inlineStr">
        <is>
          <t>Un rythme plus bas mais tenu, un calendrier et 2 à 3 semaines d'avance</t>
        </is>
      </c>
      <c r="F9" s="68" t="inlineStr">
        <is>
          <t>Augmenter le volume total</t>
        </is>
      </c>
    </row>
    <row r="10" ht="23.85" customHeight="1" s="53">
      <c r="A10" s="81" t="inlineStr">
        <is>
          <t>DC06</t>
        </is>
      </c>
      <c r="B10" s="65" t="inlineStr">
        <is>
          <t>Audience insuffisante</t>
        </is>
      </c>
      <c r="C10" s="68" t="inlineStr">
        <is>
          <t>Taux de clic et de transformation bons, mais portée faible en valeur absolue</t>
        </is>
      </c>
      <c r="D10" s="68" t="inlineStr">
        <is>
          <t>COM-19.02, COM-19.03, COM-17.01</t>
        </is>
      </c>
      <c r="E10" s="68" t="inlineStr">
        <is>
          <t>Amplifier : réseau existant, collaborations, petite publicité ciblée sur le contenu qui convertit</t>
        </is>
      </c>
      <c r="F10" s="68" t="inlineStr">
        <is>
          <t>Changer le contenu qui fonctionne</t>
        </is>
      </c>
    </row>
    <row r="11" ht="23.85" customHeight="1" s="53">
      <c r="A11" s="81" t="inlineStr">
        <is>
          <t>DC07</t>
        </is>
      </c>
      <c r="B11" s="65" t="inlineStr">
        <is>
          <t>Mauvaise conversion</t>
        </is>
      </c>
      <c r="C11" s="68" t="inlineStr">
        <is>
          <t>Clics corrects mais peu de demandes ; site à faible taux de transformation</t>
        </is>
      </c>
      <c r="D11" s="68" t="inlineStr">
        <is>
          <t>COM-19.03, ACQ-06.09, ACQ-11.28, COM-13.08</t>
        </is>
      </c>
      <c r="E11" s="68" t="inlineStr">
        <is>
          <t>Améliorer la page d'arrivée, le formulaire, l'offre affichée</t>
        </is>
      </c>
      <c r="F11" s="68" t="inlineStr">
        <is>
          <t>Envoyer plus de trafic</t>
        </is>
      </c>
    </row>
    <row r="12" ht="23.85" customHeight="1" s="53">
      <c r="A12" s="81" t="inlineStr">
        <is>
          <t>DC08</t>
        </is>
      </c>
      <c r="B12" s="65" t="inlineStr">
        <is>
          <t>Appel à l'action faible</t>
        </is>
      </c>
      <c r="C12" s="68" t="inlineStr">
        <is>
          <t>Peu de clics pour la portée ; grille « appel à l'action » faible ; pas d'offre d'appel</t>
        </is>
      </c>
      <c r="D12" s="68" t="inlineStr">
        <is>
          <t>COM-19.02, COM-53.01, COM-21.01</t>
        </is>
      </c>
      <c r="E12" s="68" t="inlineStr">
        <is>
          <t>Un appel à l'action clair dans chaque publication et une raison de laisser ses coordonnées</t>
        </is>
      </c>
      <c r="F12" s="68" t="inlineStr">
        <is>
          <t>Publier plus souvent</t>
        </is>
      </c>
    </row>
    <row r="13" ht="23.85" customHeight="1" s="53">
      <c r="A13" s="81" t="inlineStr">
        <is>
          <t>DC09</t>
        </is>
      </c>
      <c r="B13" s="65" t="inlineStr">
        <is>
          <t>Absence de preuve</t>
        </is>
      </c>
      <c r="C13" s="68" t="inlineStr">
        <is>
          <t>Preuves disponibles mais peu publiées ; grille « preuve » faible ; peu d'avis pour le nombre de clients</t>
        </is>
      </c>
      <c r="D13" s="68" t="inlineStr">
        <is>
          <t>COM-09.05, COM-52.01, COM-44.07</t>
        </is>
      </c>
      <c r="E13" s="68" t="inlineStr">
        <is>
          <t>Publier les cas clients et témoignages existants, demander l'avis systématiquement</t>
        </is>
      </c>
      <c r="F13" s="68" t="inlineStr">
        <is>
          <t>Chercher de nouvelles idées de contenu</t>
        </is>
      </c>
    </row>
    <row r="14" ht="23.85" customHeight="1" s="53">
      <c r="A14" s="81" t="inlineStr">
        <is>
          <t>DC10</t>
        </is>
      </c>
      <c r="B14" s="65" t="inlineStr">
        <is>
          <t>Mauvais suivi</t>
        </is>
      </c>
      <c r="C14" s="68" t="inlineStr">
        <is>
          <t>Clics, contacts et clients venant de la communication inconnus</t>
        </is>
      </c>
      <c r="D14" s="68" t="inlineStr">
        <is>
          <t>COM-43.02, COM-43.01</t>
        </is>
      </c>
      <c r="E14" s="68" t="inlineStr">
        <is>
          <t>Suivre 3 chiffres chaque semaine : clics, demandes, clients venant des réseaux</t>
        </is>
      </c>
      <c r="F14" s="68" t="inlineStr">
        <is>
          <t>Conclure sur la performance avant d'avoir ces chiffres</t>
        </is>
      </c>
    </row>
    <row r="15" ht="23.85" customHeight="1" s="53">
      <c r="A15" s="81" t="inlineStr">
        <is>
          <t>DC11</t>
        </is>
      </c>
      <c r="B15" s="65" t="inlineStr">
        <is>
          <t>Temps mal alloué</t>
        </is>
      </c>
      <c r="C15" s="68" t="inlineStr">
        <is>
          <t>Part du temps par réseau ou par format très différente de sa part des résultats</t>
        </is>
      </c>
      <c r="D15" s="68" t="inlineStr">
        <is>
          <t>COM-31.03, COM-31.04, COM-39.05, COM-22.02</t>
        </is>
      </c>
      <c r="E15" s="68" t="inlineStr">
        <is>
          <t>Déplacer les heures vers ce qui produit des demandes, sans en ajouter</t>
        </is>
      </c>
      <c r="F15" s="68" t="inlineStr">
        <is>
          <t>Ajouter des heures de communication</t>
        </is>
      </c>
    </row>
    <row r="16" ht="23.85" customHeight="1" s="53">
      <c r="A16" s="81" t="inlineStr">
        <is>
          <t>DC12</t>
        </is>
      </c>
      <c r="B16" s="65" t="inlineStr">
        <is>
          <t>Budget mal alloué</t>
        </is>
      </c>
      <c r="C16" s="68" t="inlineStr">
        <is>
          <t>Coût par demande d'un poste très supérieur aux autres, ou budget en hausse sans demandes en plus</t>
        </is>
      </c>
      <c r="D16" s="68" t="inlineStr">
        <is>
          <t>COM-32.06, COM-32.07</t>
        </is>
      </c>
      <c r="E16" s="68" t="inlineStr">
        <is>
          <t>Réduire ou couper le poste le plus cher par demande, réallouer</t>
        </is>
      </c>
      <c r="F16" s="68" t="inlineStr">
        <is>
          <t>Augmenter le budget</t>
        </is>
      </c>
    </row>
    <row r="17" ht="23.85" customHeight="1" s="53">
      <c r="A17" s="81" t="inlineStr">
        <is>
          <t>DC13</t>
        </is>
      </c>
      <c r="B17" s="65" t="inlineStr">
        <is>
          <t>Audience existante sous-exploitée</t>
        </is>
      </c>
      <c r="C17" s="68" t="inlineStr">
        <is>
          <t>Fichier de contacts sans envoi depuis plus de 3 mois, ou beaucoup d'abonnés sans offre proposée</t>
        </is>
      </c>
      <c r="D17" s="68" t="inlineStr">
        <is>
          <t>COM-15.09, COM-38.01, COM-21.01</t>
        </is>
      </c>
      <c r="E17" s="68" t="inlineStr">
        <is>
          <t>Solliciter le fichier et les abonnés avec une offre avant de chercher de nouveaux contacts</t>
        </is>
      </c>
      <c r="F17" s="68" t="inlineStr">
        <is>
          <t>Investir d'abord dans l'acquisition</t>
        </is>
      </c>
    </row>
    <row r="18" ht="23.85" customHeight="1" s="53">
      <c r="A18" s="81" t="inlineStr">
        <is>
          <t>DC14</t>
        </is>
      </c>
      <c r="B18" s="65" t="inlineStr">
        <is>
          <t>Réponse trop lente</t>
        </is>
      </c>
      <c r="C18" s="68" t="inlineStr">
        <is>
          <t>Messages commerciaux sans réponse ou répondus après plus d'un jour</t>
        </is>
      </c>
      <c r="D18" s="68" t="inlineStr">
        <is>
          <t>COM-23.02, COM-23.06</t>
        </is>
      </c>
      <c r="E18" s="68" t="inlineStr">
        <is>
          <t>Une règle de réponse en moins de 24 heures, des réponses types</t>
        </is>
      </c>
      <c r="F18" s="68" t="inlineStr">
        <is>
          <t>Générer plus de messages</t>
        </is>
      </c>
    </row>
    <row r="19"/>
    <row r="20" ht="15" customHeight="1" s="53">
      <c r="A20" s="105" t="inlineStr">
        <is>
          <t>Ordre de lecture des chiffres (du plus important au moins important)</t>
        </is>
      </c>
    </row>
    <row r="21" ht="15" customHeight="1" s="53">
      <c r="A21" s="79" t="inlineStr">
        <is>
          <t>1. Clients  ·  2. CA  ·  3. Demandes qualifiées  ·  4. Demandes  ·  5. Clics et intentions  ·  6. Engagement  ·  7. Portée  ·  8. Abonnés</t>
        </is>
      </c>
    </row>
    <row r="22"/>
    <row r="23" ht="15" customHeight="1" s="53">
      <c r="A23" s="105" t="inlineStr">
        <is>
          <t>Chiffres de vanité</t>
        </is>
      </c>
    </row>
    <row r="24" ht="15" customHeight="1" s="53">
      <c r="A24" s="79" t="inlineStr">
        <is>
          <t>Abonnés, likes, vues et impressions ne sont jamais interprétés seuls : ils sont replacés dans la chaîne production → distribution → engagement → intention → conversion → business.</t>
        </is>
      </c>
    </row>
  </sheetData>
  <mergeCells count="4">
    <mergeCell ref="A24:F24"/>
    <mergeCell ref="A2:F2"/>
    <mergeCell ref="A21:F21"/>
    <mergeCell ref="A1:F1"/>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G69"/>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8" customWidth="1" style="52" min="1" max="1"/>
    <col width="46" customWidth="1" style="52" min="2" max="2"/>
    <col width="22" customWidth="1" style="52" min="3" max="3"/>
    <col width="34" customWidth="1" style="52" min="4" max="4"/>
    <col width="60" customWidth="1" style="52" min="5" max="5"/>
    <col width="12" customWidth="1" style="52" min="6" max="6"/>
    <col width="30" customWidth="1" style="52" min="7" max="7"/>
  </cols>
  <sheetData>
    <row r="1" ht="24" customHeight="1" s="53">
      <c r="A1" s="54" t="inlineStr">
        <is>
          <t>Questions déclencheuses D01 à D65</t>
        </is>
      </c>
    </row>
    <row r="2" ht="15" customHeight="1" s="53">
      <c r="A2" s="55" t="inlineStr">
        <is>
          <t>Chacune ouvre ou masque un bloc de données selon la réponse. Les données concernées portent le code dans « Condition d'affichage ». D28 à D65 viennent de la banque de questions validée le 20 octobre.</t>
        </is>
      </c>
    </row>
    <row r="3"/>
    <row r="4" ht="31.5" customHeight="1" s="53">
      <c r="A4" s="75" t="inlineStr">
        <is>
          <t>Code</t>
        </is>
      </c>
      <c r="B4" s="75" t="inlineStr">
        <is>
          <t>Question déclencheuse</t>
        </is>
      </c>
      <c r="C4" s="75" t="inlineStr">
        <is>
          <t>Posée</t>
        </is>
      </c>
      <c r="D4" s="75" t="inlineStr">
        <is>
          <t>Réponses</t>
        </is>
      </c>
      <c r="E4" s="75" t="inlineStr">
        <is>
          <t>Effet</t>
        </is>
      </c>
      <c r="F4" s="75" t="inlineStr">
        <is>
          <t>Données concernées</t>
        </is>
      </c>
      <c r="G4" s="75" t="inlineStr">
        <is>
          <t>Changement du 20 oct.</t>
        </is>
      </c>
    </row>
    <row r="5" ht="35.05" customHeight="1" s="53">
      <c r="A5" s="81" t="inlineStr">
        <is>
          <t>D01</t>
        </is>
      </c>
      <c r="B5" s="65" t="inlineStr">
        <is>
          <t>Date de création de l'entreprise</t>
        </is>
      </c>
      <c r="C5" s="68" t="inlineStr">
        <is>
          <t>Inscription</t>
        </is>
      </c>
      <c r="D5" s="68" t="inlineStr">
        <is>
          <t>Mois et année</t>
        </is>
      </c>
      <c r="E5" s="68" t="inlineStr">
        <is>
          <t>Fixe la période disponible : aucune question sur une période antérieure à la création ; comparaisons à 6 mois et 12 mois seulement si l'entreprise a l'âge requis ; les cumuls « sur 12 mois » portent sur les mois existants</t>
        </is>
      </c>
      <c r="F5" s="67" t="n">
        <v>72</v>
      </c>
      <c r="G5" s="83" t="n"/>
    </row>
    <row r="6" ht="57.45" customHeight="1" s="53">
      <c r="A6" s="81" t="inlineStr">
        <is>
          <t>D02</t>
        </is>
      </c>
      <c r="B6" s="65" t="inlineStr">
        <is>
          <t>Effectif</t>
        </is>
      </c>
      <c r="C6" s="68" t="inlineStr">
        <is>
          <t>Inscription</t>
        </is>
      </c>
      <c r="D6" s="68" t="inlineStr">
        <is>
          <t>Seul · 2 à 5 · 6 et plus</t>
        </is>
      </c>
      <c r="E6" s="68" t="inlineStr">
        <is>
          <t>Seul : aucune question salariés, réunions, turnover, absentéisme, délégation interne ; à la place, prestataires, freelances, automatisation et dépendance au dirigeant. 2 à 5 : questions simples (polyvalence, dépendance, délégation, surcharge). 6 et plus : recrutement, management, départs, absences</t>
        </is>
      </c>
      <c r="F6" s="67" t="n">
        <v>79</v>
      </c>
      <c r="G6" s="83" t="n"/>
    </row>
    <row r="7" ht="79.84999999999999" customHeight="1" s="53">
      <c r="A7" s="94" t="inlineStr">
        <is>
          <t>D03</t>
        </is>
      </c>
      <c r="B7" s="65" t="inlineStr">
        <is>
          <t>ACQ-03.01 · Sur les 12 derniers mois, par quels canaux vos clients sont-ils arrivés jusqu'à vous ?</t>
        </is>
      </c>
      <c r="C7" s="68" t="inlineStr">
        <is>
          <t>Écran A04</t>
        </is>
      </c>
      <c r="D7" s="68" t="inlineStr">
        <is>
          <t>Cases : Bouche-à-oreille · Fiche Google · Site internet · Réseaux sociaux · Publicité en ligne · Publicité locale · Plateformes · Annuaires · Partenaires · Prospection · Emailing et SMS · Passage · Salons et événements · Réseaux d'affaires · Appels d'offres · Réseau ou enseigne · Autre</t>
        </is>
      </c>
      <c r="E7" s="68" t="inlineStr">
        <is>
          <t>Seuls les canaux cochés reçoivent des questions : une ligne par canal coché dans le tableau des canaux ; écrans partenaires, prospection, fiche Google, site et plateformes seulement si le canal est coché</t>
        </is>
      </c>
      <c r="F7" s="67" t="n">
        <v>26</v>
      </c>
      <c r="G7" s="83" t="inlineStr">
        <is>
          <t>Déclencheur : question · Déclencheur : reponses</t>
        </is>
      </c>
    </row>
    <row r="8" ht="23.85" customHeight="1" s="53">
      <c r="A8" s="81" t="inlineStr">
        <is>
          <t>D04</t>
        </is>
      </c>
      <c r="B8" s="65" t="inlineStr">
        <is>
          <t>Faites-vous de la publicité payante ou travaillez-vous avec une agence marketing ?</t>
        </is>
      </c>
      <c r="C8" s="68" t="inlineStr">
        <is>
          <t>Écran A04</t>
        </is>
      </c>
      <c r="D8" s="68" t="inlineStr">
        <is>
          <t>Oui · non</t>
        </is>
      </c>
      <c r="E8" s="68" t="inlineStr">
        <is>
          <t>Dépenses par canal payant, agence, évolution du budget</t>
        </is>
      </c>
      <c r="F8" s="67" t="n">
        <v>3</v>
      </c>
      <c r="G8" s="83" t="n"/>
    </row>
    <row r="9" ht="15" customHeight="1" s="53">
      <c r="A9" s="81" t="inlineStr">
        <is>
          <t>D05</t>
        </is>
      </c>
      <c r="B9" s="65" t="inlineStr">
        <is>
          <t>Votre activité fonctionne-t-elle sur rendez-vous ?</t>
        </is>
      </c>
      <c r="C9" s="68" t="inlineStr">
        <is>
          <t>Écran A10</t>
        </is>
      </c>
      <c r="D9" s="68" t="inlineStr">
        <is>
          <t>Oui · non</t>
        </is>
      </c>
      <c r="E9" s="68" t="inlineStr">
        <is>
          <t>Rendez-vous, absences, créneaux disponibles et occupés</t>
        </is>
      </c>
      <c r="F9" s="67" t="n">
        <v>9</v>
      </c>
      <c r="G9" s="83" t="n"/>
    </row>
    <row r="10" ht="23.85" customHeight="1" s="53">
      <c r="A10" s="81" t="inlineStr">
        <is>
          <t>D06</t>
        </is>
      </c>
      <c r="B10" s="65" t="inlineStr">
        <is>
          <t>Faites-vous des devis ou des propositions commerciales ?</t>
        </is>
      </c>
      <c r="C10" s="68" t="inlineStr">
        <is>
          <t>Écran A11</t>
        </is>
      </c>
      <c r="D10" s="68" t="inlineStr">
        <is>
          <t>Oui · non</t>
        </is>
      </c>
      <c r="E10" s="68" t="inlineStr">
        <is>
          <t>Devis et relances, cycle de vente, acomptes</t>
        </is>
      </c>
      <c r="F10" s="67" t="n">
        <v>17</v>
      </c>
      <c r="G10" s="83" t="n"/>
    </row>
    <row r="11" ht="15" customHeight="1" s="53">
      <c r="A11" s="81" t="inlineStr">
        <is>
          <t>D07</t>
        </is>
      </c>
      <c r="B11" s="65" t="inlineStr">
        <is>
          <t>Avez-vous du stock ?</t>
        </is>
      </c>
      <c r="C11" s="68" t="inlineStr">
        <is>
          <t>Écran F20</t>
        </is>
      </c>
      <c r="D11" s="68" t="inlineStr">
        <is>
          <t>Oui · non</t>
        </is>
      </c>
      <c r="E11" s="68" t="inlineStr">
        <is>
          <t>Bloc Stock complet (FIN-37 à FIN-45) et délai de livraison fournisseur</t>
        </is>
      </c>
      <c r="F11" s="67" t="n">
        <v>19</v>
      </c>
      <c r="G11" s="83" t="n"/>
    </row>
    <row r="12" ht="35.05" customHeight="1" s="53">
      <c r="A12" s="81" t="inlineStr">
        <is>
          <t>D08</t>
        </is>
      </c>
      <c r="B12" s="65" t="inlineStr">
        <is>
          <t>Achetez-vous des marchandises ou des matières ? Sous-traitez-vous ? Avez-vous des fournisseurs réguliers ?</t>
        </is>
      </c>
      <c r="C12" s="68" t="inlineStr">
        <is>
          <t>Écran F04</t>
        </is>
      </c>
      <c r="D12" s="68" t="inlineStr">
        <is>
          <t>3 × oui / non</t>
        </is>
      </c>
      <c r="E12" s="68" t="inlineStr">
        <is>
          <t>Achats, sous-traitance, tableau des fournisseurs, délais de paiement fournisseurs</t>
        </is>
      </c>
      <c r="F12" s="67" t="n">
        <v>9</v>
      </c>
      <c r="G12" s="83" t="n"/>
    </row>
    <row r="13" ht="15" customHeight="1" s="53">
      <c r="A13" s="81" t="inlineStr">
        <is>
          <t>D09</t>
        </is>
      </c>
      <c r="B13" s="65" t="inlineStr">
        <is>
          <t>Vos clients paient-ils après réception d'une facture ?</t>
        </is>
      </c>
      <c r="C13" s="68" t="inlineStr">
        <is>
          <t>Écran F11</t>
        </is>
      </c>
      <c r="D13" s="68" t="inlineStr">
        <is>
          <t>Oui · non (paiement immédiat)</t>
        </is>
      </c>
      <c r="E13" s="68" t="inlineStr">
        <is>
          <t>Délai de facturation, délai d'encaissement, retards et impayés</t>
        </is>
      </c>
      <c r="F13" s="67" t="n">
        <v>13</v>
      </c>
      <c r="G13" s="83" t="n"/>
    </row>
    <row r="14" ht="15" customHeight="1" s="53">
      <c r="A14" s="81" t="inlineStr">
        <is>
          <t>D10</t>
        </is>
      </c>
      <c r="B14" s="65" t="inlineStr">
        <is>
          <t>Avez-vous un crédit ou un leasing en cours ?</t>
        </is>
      </c>
      <c r="C14" s="68" t="inlineStr">
        <is>
          <t>Écran F16</t>
        </is>
      </c>
      <c r="D14" s="68" t="inlineStr">
        <is>
          <t>Oui · non</t>
        </is>
      </c>
      <c r="E14" s="68" t="inlineStr">
        <is>
          <t>Tableau des emprunts et leasings</t>
        </is>
      </c>
      <c r="F14" s="67" t="n">
        <v>2</v>
      </c>
      <c r="G14" s="83" t="n"/>
    </row>
    <row r="15" ht="15" customHeight="1" s="53">
      <c r="A15" s="81" t="inlineStr">
        <is>
          <t>D11</t>
        </is>
      </c>
      <c r="B15" s="65" t="inlineStr">
        <is>
          <t>Avez-vous été à découvert sur la période ?</t>
        </is>
      </c>
      <c r="C15" s="68" t="inlineStr">
        <is>
          <t>Écran F17</t>
        </is>
      </c>
      <c r="D15" s="68" t="inlineStr">
        <is>
          <t>Oui · non</t>
        </is>
      </c>
      <c r="E15" s="68" t="inlineStr">
        <is>
          <t>Jours, montants, agios et causes du découvert</t>
        </is>
      </c>
      <c r="F15" s="67" t="n">
        <v>5</v>
      </c>
      <c r="G15" s="83" t="n"/>
    </row>
    <row r="16" ht="23.85" customHeight="1" s="53">
      <c r="A16" s="81" t="inlineStr">
        <is>
          <t>D12</t>
        </is>
      </c>
      <c r="B16" s="65" t="inlineStr">
        <is>
          <t>Avez-vous un investissement prévu, ou réalisé depuis 24 mois ? Est-il déjà en service ?</t>
        </is>
      </c>
      <c r="C16" s="68" t="inlineStr">
        <is>
          <t>Écran F18</t>
        </is>
      </c>
      <c r="D16" s="68" t="inlineStr">
        <is>
          <t>Oui · non, puis oui · non</t>
        </is>
      </c>
      <c r="E16" s="68" t="inlineStr">
        <is>
          <t>Coût, financement, gain attendu ; gain constaté seulement s'il est en service</t>
        </is>
      </c>
      <c r="F16" s="67" t="n">
        <v>6</v>
      </c>
      <c r="G16" s="83" t="n"/>
    </row>
    <row r="17" ht="23.85" customHeight="1" s="53">
      <c r="A17" s="81" t="inlineStr">
        <is>
          <t>D13</t>
        </is>
      </c>
      <c r="B17" s="65" t="inlineStr">
        <is>
          <t>Avez-vous recruté sur la période, ou prévoyez-vous de recruter ?</t>
        </is>
      </c>
      <c r="C17" s="68" t="inlineStr">
        <is>
          <t>Écran R14</t>
        </is>
      </c>
      <c r="D17" s="68" t="inlineStr">
        <is>
          <t>Recruté · prévu · ni l'un ni l'autre</t>
        </is>
      </c>
      <c r="E17" s="68" t="inlineStr">
        <is>
          <t>Recrutements, intégration, autonomie des recrues ; départs précoces seulement s'il y a eu des recrutements</t>
        </is>
      </c>
      <c r="F17" s="67" t="n">
        <v>11</v>
      </c>
      <c r="G17" s="83" t="n"/>
    </row>
    <row r="18" ht="15" customHeight="1" s="53">
      <c r="A18" s="81" t="inlineStr">
        <is>
          <t>D14</t>
        </is>
      </c>
      <c r="B18" s="65" t="inlineStr">
        <is>
          <t>Vendez-vous par abonnement ?</t>
        </is>
      </c>
      <c r="C18" s="68" t="inlineStr">
        <is>
          <t>Inscription (métier)</t>
        </is>
      </c>
      <c r="D18" s="68" t="inlineStr">
        <is>
          <t>Oui · non</t>
        </is>
      </c>
      <c r="E18" s="68" t="inlineStr">
        <is>
          <t>Abonnés, revenu récurrent, résiliations</t>
        </is>
      </c>
      <c r="F18" s="67" t="n">
        <v>13</v>
      </c>
      <c r="G18" s="83" t="n"/>
    </row>
    <row r="19" ht="23.85" customHeight="1" s="53">
      <c r="A19" s="81" t="inlineStr">
        <is>
          <t>D15</t>
        </is>
      </c>
      <c r="B19" s="65" t="inlineStr">
        <is>
          <t>Avez-vous des clients professionnels réguliers ?</t>
        </is>
      </c>
      <c r="C19" s="68" t="inlineStr">
        <is>
          <t>Écran A16</t>
        </is>
      </c>
      <c r="D19" s="68" t="inlineStr">
        <is>
          <t>Oui · non</t>
        </is>
      </c>
      <c r="E19" s="68" t="inlineStr">
        <is>
          <t>Tableau des 5 plus gros clients, temps passé et délai de paiement de chacun</t>
        </is>
      </c>
      <c r="F19" s="67" t="n">
        <v>6</v>
      </c>
      <c r="G19" s="83" t="n"/>
    </row>
    <row r="20" ht="15" customHeight="1" s="53">
      <c r="A20" s="81" t="inlineStr">
        <is>
          <t>D16</t>
        </is>
      </c>
      <c r="B20" s="65" t="inlineStr">
        <is>
          <t>Votre activité est-elle 100 % en ligne ?</t>
        </is>
      </c>
      <c r="C20" s="68" t="inlineStr">
        <is>
          <t>Inscription (métier)</t>
        </is>
      </c>
      <c r="D20" s="68" t="inlineStr">
        <is>
          <t>Oui · non</t>
        </is>
      </c>
      <c r="E20" s="68" t="inlineStr">
        <is>
          <t>Masque zone, fiche Google, jours fermés, boutique</t>
        </is>
      </c>
      <c r="F20" s="67" t="n">
        <v>22</v>
      </c>
      <c r="G20" s="83" t="n"/>
    </row>
    <row r="21" ht="35.05" customHeight="1" s="53">
      <c r="A21" s="94" t="inlineStr">
        <is>
          <t>D17</t>
        </is>
      </c>
      <c r="B21" s="65" t="inlineStr">
        <is>
          <t>ACQ-18.02 · Avez-vous un programme de parrainage, qui récompense un client quand il vous en recommande un autre ?</t>
        </is>
      </c>
      <c r="C21" s="68" t="inlineStr">
        <is>
          <t>Écran A17</t>
        </is>
      </c>
      <c r="D21" s="68" t="inlineStr">
        <is>
          <t>Oui · non</t>
        </is>
      </c>
      <c r="E21" s="68" t="inlineStr">
        <is>
          <t>Oui : ouvre ACQ-18.07 (valeur de la récompense) et ACQ-18.03</t>
        </is>
      </c>
      <c r="F21" s="67" t="n">
        <v>1</v>
      </c>
      <c r="G21" s="83" t="inlineStr">
        <is>
          <t>Déclencheur : question · Déclencheur : effet</t>
        </is>
      </c>
    </row>
    <row r="22" ht="15" customHeight="1" s="53">
      <c r="A22" s="81" t="inlineStr">
        <is>
          <t>D18</t>
        </is>
      </c>
      <c r="B22" s="65" t="inlineStr">
        <is>
          <t>Facturez-vous au temps passé (heure, jour) ?</t>
        </is>
      </c>
      <c r="C22" s="68" t="inlineStr">
        <is>
          <t>Écran A14</t>
        </is>
      </c>
      <c r="D22" s="68" t="inlineStr">
        <is>
          <t>Oui · non</t>
        </is>
      </c>
      <c r="E22" s="68" t="inlineStr">
        <is>
          <t>Taux horaire, heures travaillées et facturées, coût et marge par heure</t>
        </is>
      </c>
      <c r="F22" s="67" t="n">
        <v>5</v>
      </c>
      <c r="G22" s="83" t="n"/>
    </row>
    <row r="23" ht="23.85" customHeight="1" s="53">
      <c r="A23" s="81" t="inlineStr">
        <is>
          <t>D19</t>
        </is>
      </c>
      <c r="B23" s="65" t="inlineStr">
        <is>
          <t>Votre travail est-il planifié à l'avance (planning, carnet de commandes) ?</t>
        </is>
      </c>
      <c r="C23" s="68" t="inlineStr">
        <is>
          <t>Écran A18</t>
        </is>
      </c>
      <c r="D23" s="68" t="inlineStr">
        <is>
          <t>Oui · non</t>
        </is>
      </c>
      <c r="E23" s="68" t="inlineStr">
        <is>
          <t>Semaines remplies, montant signé non réalisé, délai de démarrage</t>
        </is>
      </c>
      <c r="F23" s="67" t="n">
        <v>5</v>
      </c>
      <c r="G23" s="83" t="n"/>
    </row>
    <row r="24" ht="23.85" customHeight="1" s="53">
      <c r="A24" s="81" t="inlineStr">
        <is>
          <t>D20</t>
        </is>
      </c>
      <c r="B24" s="65" t="inlineStr">
        <is>
          <t>Jours d'ouverture</t>
        </is>
      </c>
      <c r="C24" s="68" t="inlineStr">
        <is>
          <t>Écran A21</t>
        </is>
      </c>
      <c r="D24" s="68" t="inlineStr">
        <is>
          <t>Cases à cocher</t>
        </is>
      </c>
      <c r="E24" s="68" t="inlineStr">
        <is>
          <t>Demandes reçues les jours fermés, seulement s'il y a au moins un jour fermé</t>
        </is>
      </c>
      <c r="F24" s="67" t="n">
        <v>1</v>
      </c>
      <c r="G24" s="83" t="n"/>
    </row>
    <row r="25" ht="57.45" customHeight="1" s="53">
      <c r="A25" s="94" t="inlineStr">
        <is>
          <t>D21</t>
        </is>
      </c>
      <c r="B25" s="65" t="inlineStr">
        <is>
          <t>COM-10.07 · Publiez-vous pour votre entreprise sur les réseaux sociaux ?</t>
        </is>
      </c>
      <c r="C25" s="68" t="inlineStr">
        <is>
          <t>Écran C03</t>
        </is>
      </c>
      <c r="D25" s="68" t="inlineStr">
        <is>
          <t>Oui, au moins une fois par mois · Rarement ou plus du tout · Non, jamais</t>
        </is>
      </c>
      <c r="E25" s="68" t="inlineStr">
        <is>
          <t>Oui : diagnostic de performance (audience, engagement, clics, publications, qualité). Non : parcours de démarrage (réseaux de la cible, temps disponible, contacts existants) et premiers contenus « Oui, au moins une fois par mois » ouvre le parcours amélioration ; les deux autres réponses, le parcours mise en place.</t>
        </is>
      </c>
      <c r="F25" s="67" t="n">
        <v>14</v>
      </c>
      <c r="G25" s="83" t="inlineStr">
        <is>
          <t>Déclencheur : question · Déclencheur : reponses · Déclencheur : effet</t>
        </is>
      </c>
    </row>
    <row r="26" ht="35.05" customHeight="1" s="53">
      <c r="A26" s="94" t="inlineStr">
        <is>
          <t>D22</t>
        </is>
      </c>
      <c r="B26" s="65" t="inlineStr">
        <is>
          <t>COM-10.08 · Sur quels réseaux publiez-vous ?</t>
        </is>
      </c>
      <c r="C26" s="68" t="inlineStr">
        <is>
          <t>Écran C03</t>
        </is>
      </c>
      <c r="D26" s="68" t="inlineStr">
        <is>
          <t>Cases : LinkedIn · Instagram · Facebook · TikTok · YouTube · X · Pinterest · Autre</t>
        </is>
      </c>
      <c r="E26" s="68" t="inlineStr">
        <is>
          <t>Une ligne par réseau coché dans tous les tableaux Comm ; aucune statistique sur un réseau non utilisé ; périodes adaptées à l'âge de chaque compte</t>
        </is>
      </c>
      <c r="F26" s="67" t="n">
        <v>10</v>
      </c>
      <c r="G26" s="83" t="inlineStr">
        <is>
          <t>Déclencheur : question · Déclencheur : reponses</t>
        </is>
      </c>
    </row>
    <row r="27" ht="23.85" customHeight="1" s="53">
      <c r="A27" s="94" t="inlineStr">
        <is>
          <t>D23</t>
        </is>
      </c>
      <c r="B27" s="65" t="inlineStr">
        <is>
          <t>COM-13.10 · Avez-vous un site internet ?</t>
        </is>
      </c>
      <c r="C27" s="68" t="inlineStr">
        <is>
          <t>Écran C04</t>
        </is>
      </c>
      <c r="D27" s="68" t="inlineStr">
        <is>
          <t>Oui · non, puis oui · non</t>
        </is>
      </c>
      <c r="E27" s="68" t="inlineStr">
        <is>
          <t>Demandes reçues via le site ; sources, pages et évolution du trafic seulement si un outil de mesure existe</t>
        </is>
      </c>
      <c r="F27" s="67" t="n">
        <v>6</v>
      </c>
      <c r="G27" s="83" t="inlineStr">
        <is>
          <t>Déclencheur : question</t>
        </is>
      </c>
    </row>
    <row r="28" ht="35.05" customHeight="1" s="53">
      <c r="A28" s="94" t="inlineStr">
        <is>
          <t>D24</t>
        </is>
      </c>
      <c r="B28" s="65" t="inlineStr">
        <is>
          <t>COM-15.12 · Avez-vous un fichier de contacts : clients ou futurs clients, avec leur email ou leur téléphone ?</t>
        </is>
      </c>
      <c r="C28" s="68" t="inlineStr">
        <is>
          <t>Écran C06</t>
        </is>
      </c>
      <c r="D28" s="68" t="inlineStr">
        <is>
          <t>Oui · non</t>
        </is>
      </c>
      <c r="E28" s="68" t="inlineStr">
        <is>
          <t>Taille et composition du fichier, envois, résultats des envois</t>
        </is>
      </c>
      <c r="F28" s="67" t="n">
        <v>6</v>
      </c>
      <c r="G28" s="83" t="inlineStr">
        <is>
          <t>Déclencheur : question</t>
        </is>
      </c>
    </row>
    <row r="29" ht="23.85" customHeight="1" s="53">
      <c r="A29" s="81" t="inlineStr">
        <is>
          <t>D25</t>
        </is>
      </c>
      <c r="B29" s="65" t="inlineStr">
        <is>
          <t>Avez-vous une offre d'appel (guide, diagnostic, estimation, essai, webinaire…) ?</t>
        </is>
      </c>
      <c r="C29" s="68" t="inlineStr">
        <is>
          <t>Écran C08</t>
        </is>
      </c>
      <c r="D29" s="68" t="inlineStr">
        <is>
          <t>Oui · non</t>
        </is>
      </c>
      <c r="E29" s="68" t="inlineStr">
        <is>
          <t>Visiteurs de l'offre, contacts récoltés, qualifiés, rendez-vous, clients, coût</t>
        </is>
      </c>
      <c r="F29" s="67" t="n">
        <v>3</v>
      </c>
      <c r="G29" s="83" t="n"/>
    </row>
    <row r="30" ht="35.05" customHeight="1" s="53">
      <c r="A30" s="94" t="inlineStr">
        <is>
          <t>D26</t>
        </is>
      </c>
      <c r="B30" s="65" t="inlineStr">
        <is>
          <t>COM-39.07 · Avez-vous accès aux statistiques de vos publications ?</t>
        </is>
      </c>
      <c r="C30" s="68" t="inlineStr">
        <is>
          <t>Écran C13</t>
        </is>
      </c>
      <c r="D30" s="68" t="inlineStr">
        <is>
          <t>Oui · non</t>
        </is>
      </c>
      <c r="E30" s="68" t="inlineStr">
        <is>
          <t>Oui : saisie des statistiques des 3 meilleures et 3 moins bonnes publications ; lecture automatique quand la connexion existera. Non : estimations.</t>
        </is>
      </c>
      <c r="F30" s="67" t="n">
        <v>2</v>
      </c>
      <c r="G30" s="83" t="inlineStr">
        <is>
          <t>Déclencheur : question · Déclencheur : reponses · Déclencheur : effet</t>
        </is>
      </c>
    </row>
    <row r="31" ht="23.85" customHeight="1" s="53">
      <c r="A31" s="81" t="inlineStr">
        <is>
          <t>D27</t>
        </is>
      </c>
      <c r="B31" s="65" t="inlineStr">
        <is>
          <t>La personne la plus chargée, est-ce vous ?</t>
        </is>
      </c>
      <c r="C31" s="68" t="inlineStr">
        <is>
          <t>Écran R07</t>
        </is>
      </c>
      <c r="D31" s="68" t="inlineStr">
        <is>
          <t>Vous · une autre personne</t>
        </is>
      </c>
      <c r="E31" s="68" t="inlineStr">
        <is>
          <t>Si c'est vous : ses heures et ses tâches transférables sont reprises de vos réponses (RH-05), pas reposées</t>
        </is>
      </c>
      <c r="F31" s="67" t="n">
        <v>2</v>
      </c>
      <c r="G31" s="83" t="n"/>
    </row>
    <row r="32" ht="35.05" customHeight="1" s="53">
      <c r="A32" s="92" t="inlineStr">
        <is>
          <t>D28</t>
        </is>
      </c>
      <c r="B32" s="65" t="inlineStr">
        <is>
          <t>RH-41.01 · Aimeriez-vous être aidé dans votre travail, par un salarié, un apprenti, un freelance ou un associé ?</t>
        </is>
      </c>
      <c r="C32" s="68" t="inlineStr">
        <is>
          <t>Agent RH, dirigeant seul</t>
        </is>
      </c>
      <c r="D32" s="68" t="inlineStr">
        <is>
          <t>Oui (dans 6 mois, dans 12 mois ou plus tard) · Non</t>
        </is>
      </c>
      <c r="E32" s="68" t="inlineStr">
        <is>
          <t>Oui : partie « S'entourer » pour les dirigeants seuls (RH-41.02 à RH-45)</t>
        </is>
      </c>
      <c r="F32" s="67" t="n">
        <v>11</v>
      </c>
      <c r="G32" s="83" t="inlineStr">
        <is>
          <t>Nouveau</t>
        </is>
      </c>
    </row>
    <row r="33" ht="23.85" customHeight="1" s="53">
      <c r="A33" s="92" t="inlineStr">
        <is>
          <t>D29</t>
        </is>
      </c>
      <c r="B33" s="65" t="inlineStr">
        <is>
          <t>RH-44.02 · Avez-vous déjà eu un salarié ou un freelance régulier ?</t>
        </is>
      </c>
      <c r="C33" s="68" t="inlineStr">
        <is>
          <t>Agent RH, dirigeant seul</t>
        </is>
      </c>
      <c r="D33" s="68" t="inlineStr">
        <is>
          <t>« Oui, mais ça s'est mal passé »</t>
        </is>
      </c>
      <c r="E33" s="68" t="inlineStr">
        <is>
          <t>Ce qui n'a pas fonctionné (RH-44.03)</t>
        </is>
      </c>
      <c r="F33" s="67" t="n">
        <v>1</v>
      </c>
      <c r="G33" s="83" t="inlineStr">
        <is>
          <t>Nouveau</t>
        </is>
      </c>
    </row>
    <row r="34" ht="23.85" customHeight="1" s="53">
      <c r="A34" s="92" t="inlineStr">
        <is>
          <t>D30</t>
        </is>
      </c>
      <c r="B34" s="65" t="inlineStr">
        <is>
          <t>Première création de contenu</t>
        </is>
      </c>
      <c r="C34" s="68" t="inlineStr">
        <is>
          <t>Agent Comm</t>
        </is>
      </c>
      <c r="D34" s="68" t="inlineStr">
        <is>
          <t>Bouton de l'agent ou fin du parcours mise en place</t>
        </is>
      </c>
      <c r="E34" s="68" t="inlineStr">
        <is>
          <t>Brief de création (COM-57), posé avant le premier contenu créé, pas pendant l'audit</t>
        </is>
      </c>
      <c r="F34" s="67" t="n">
        <v>15</v>
      </c>
      <c r="G34" s="83" t="inlineStr">
        <is>
          <t>Nouveau</t>
        </is>
      </c>
    </row>
    <row r="35" ht="23.85" customHeight="1" s="53">
      <c r="A35" s="92" t="inlineStr">
        <is>
          <t>D31</t>
        </is>
      </c>
      <c r="B35" s="65" t="inlineStr">
        <is>
          <t>FIN-47.01 · Sous quelle forme votre entreprise exerce-t-elle ?</t>
        </is>
      </c>
      <c r="C35" s="68" t="inlineStr">
        <is>
          <t>Agent Finance</t>
        </is>
      </c>
      <c r="D35" s="68" t="inlineStr">
        <is>
          <t>Micro-entreprise · Entreprise individuelle · Société · Autre</t>
        </is>
      </c>
      <c r="E35" s="68" t="inlineStr">
        <is>
          <t>Masque FIN-05.04 en micro-entreprise ; ouvre FIN-47.02 en micro-entreprise ou entreprise individuelle</t>
        </is>
      </c>
      <c r="F35" s="67" t="n">
        <v>2</v>
      </c>
      <c r="G35" s="83" t="inlineStr">
        <is>
          <t>Nouveau</t>
        </is>
      </c>
    </row>
    <row r="36" ht="35.05" customHeight="1" s="53">
      <c r="A36" s="92" t="inlineStr">
        <is>
          <t>D32</t>
        </is>
      </c>
      <c r="B36" s="65" t="inlineStr">
        <is>
          <t>ACQ-15.01 · Proposez-vous à vos clients un produit ou un service en plus de ce qu'ils sont venus chercher ?</t>
        </is>
      </c>
      <c r="C36" s="68" t="inlineStr">
        <is>
          <t>Agent Acquisition, juste avant les questions qu'elle ouvre</t>
        </is>
      </c>
      <c r="D36" s="68" t="inlineStr">
        <is>
          <t>Toute réponse sauf « Jamais »</t>
        </is>
      </c>
      <c r="E36" s="68" t="inlineStr">
        <is>
          <t>Ouvre ACQ-15.02, ACQ-15.03</t>
        </is>
      </c>
      <c r="F36" s="67" t="n">
        <v>2</v>
      </c>
      <c r="G36" s="83" t="inlineStr">
        <is>
          <t>Nouveau</t>
        </is>
      </c>
    </row>
    <row r="37" ht="35.05" customHeight="1" s="53">
      <c r="A37" s="92" t="inlineStr">
        <is>
          <t>D33</t>
        </is>
      </c>
      <c r="B37" s="65" t="inlineStr">
        <is>
          <t>ACQ-15.09 · Proposez-vous le paiement en plusieurs fois à vos clients ?</t>
        </is>
      </c>
      <c r="C37" s="68" t="inlineStr">
        <is>
          <t>Agent Acquisition, juste avant les questions qu'elle ouvre</t>
        </is>
      </c>
      <c r="D37" s="68" t="inlineStr">
        <is>
          <t>Oui</t>
        </is>
      </c>
      <c r="E37" s="68" t="inlineStr">
        <is>
          <t>Ouvre ACQ-15.10, ACQ-15.11, ACQ-15.12, ACQ-15.13</t>
        </is>
      </c>
      <c r="F37" s="67" t="n">
        <v>4</v>
      </c>
      <c r="G37" s="83" t="inlineStr">
        <is>
          <t>Nouveau</t>
        </is>
      </c>
    </row>
    <row r="38" ht="35.05" customHeight="1" s="53">
      <c r="A38" s="92" t="inlineStr">
        <is>
          <t>D34</t>
        </is>
      </c>
      <c r="B38" s="65" t="inlineStr">
        <is>
          <t>ACQ-15.04 · Avez-vous une offre haut de gamme, plus complète ou plus chère que votre offre principale ?</t>
        </is>
      </c>
      <c r="C38" s="68" t="inlineStr">
        <is>
          <t>Agent Acquisition, juste avant les questions qu'elle ouvre</t>
        </is>
      </c>
      <c r="D38" s="68" t="inlineStr">
        <is>
          <t>Oui</t>
        </is>
      </c>
      <c r="E38" s="68" t="inlineStr">
        <is>
          <t>Ouvre ACQ-15.14</t>
        </is>
      </c>
      <c r="F38" s="67" t="n">
        <v>1</v>
      </c>
      <c r="G38" s="83" t="inlineStr">
        <is>
          <t>Nouveau</t>
        </is>
      </c>
    </row>
    <row r="39" ht="35.05" customHeight="1" s="53">
      <c r="A39" s="92" t="inlineStr">
        <is>
          <t>D35</t>
        </is>
      </c>
      <c r="B39" s="65" t="inlineStr">
        <is>
          <t>ACQ-14.01 · Sur les 3 derniers mois, quelle part de vos clients a obtenu une remise ou un geste commercial pour se décider ?</t>
        </is>
      </c>
      <c r="C39" s="68" t="inlineStr">
        <is>
          <t>Agent Acquisition, juste avant les questions qu'elle ouvre</t>
        </is>
      </c>
      <c r="D39" s="68" t="inlineStr">
        <is>
          <t>Plus de 0 %</t>
        </is>
      </c>
      <c r="E39" s="68" t="inlineStr">
        <is>
          <t>Ouvre ACQ-14.02, ACQ-14.04</t>
        </is>
      </c>
      <c r="F39" s="67" t="n">
        <v>2</v>
      </c>
      <c r="G39" s="83" t="inlineStr">
        <is>
          <t>Nouveau</t>
        </is>
      </c>
    </row>
    <row r="40" ht="35.05" customHeight="1" s="53">
      <c r="A40" s="92" t="inlineStr">
        <is>
          <t>D36</t>
        </is>
      </c>
      <c r="B40" s="65" t="inlineStr">
        <is>
          <t>ACQ-10.06 · Parmi vos {devis_pluriel} sans réponse, quelle part relancez-vous ?</t>
        </is>
      </c>
      <c r="C40" s="68" t="inlineStr">
        <is>
          <t>Agent Acquisition, juste avant les questions qu'elle ouvre</t>
        </is>
      </c>
      <c r="D40" s="68" t="inlineStr">
        <is>
          <t>Plus de 0 %</t>
        </is>
      </c>
      <c r="E40" s="68" t="inlineStr">
        <is>
          <t>Ouvre ACQ-10.07, ACQ-10.10, ACQ-10.11</t>
        </is>
      </c>
      <c r="F40" s="67" t="n">
        <v>3</v>
      </c>
      <c r="G40" s="83" t="inlineStr">
        <is>
          <t>Nouveau</t>
        </is>
      </c>
    </row>
    <row r="41" ht="35.05" customHeight="1" s="53">
      <c r="A41" s="92" t="inlineStr">
        <is>
          <t>D37</t>
        </is>
      </c>
      <c r="B41" s="65" t="inlineStr">
        <is>
          <t>ACQ-08.02 · Sur une semaine habituelle, combien d'appels manquez-vous ?</t>
        </is>
      </c>
      <c r="C41" s="68" t="inlineStr">
        <is>
          <t>Agent Acquisition, juste avant les questions qu'elle ouvre</t>
        </is>
      </c>
      <c r="D41" s="68" t="inlineStr">
        <is>
          <t>Plus de 0</t>
        </is>
      </c>
      <c r="E41" s="68" t="inlineStr">
        <is>
          <t>Ouvre ACQ-08.03</t>
        </is>
      </c>
      <c r="F41" s="67" t="n">
        <v>1</v>
      </c>
      <c r="G41" s="83" t="inlineStr">
        <is>
          <t>Nouveau</t>
        </is>
      </c>
    </row>
    <row r="42" ht="35.05" customHeight="1" s="53">
      <c r="A42" s="92" t="inlineStr">
        <is>
          <t>D38</t>
        </is>
      </c>
      <c r="B42" s="65" t="inlineStr">
        <is>
          <t>ACQ-17.13 · En moyenne sur les 3 derniers mois, combien de clients résilient leur contrat ou leur abonnement chaque mois ?</t>
        </is>
      </c>
      <c r="C42" s="68" t="inlineStr">
        <is>
          <t>Agent Acquisition, juste avant les questions qu'elle ouvre</t>
        </is>
      </c>
      <c r="D42" s="68" t="inlineStr">
        <is>
          <t>Plus de 0</t>
        </is>
      </c>
      <c r="E42" s="68" t="inlineStr">
        <is>
          <t>Ouvre ACQ-17.14</t>
        </is>
      </c>
      <c r="F42" s="67" t="n">
        <v>1</v>
      </c>
      <c r="G42" s="83" t="inlineStr">
        <is>
          <t>Nouveau</t>
        </is>
      </c>
    </row>
    <row r="43" ht="35.05" customHeight="1" s="53">
      <c r="A43" s="92" t="inlineStr">
        <is>
          <t>D39</t>
        </is>
      </c>
      <c r="B43" s="65" t="inlineStr">
        <is>
          <t>ACQ-17.29 · Proposez-vous un contrat d'entretien ou de suivi après vos travaux ?</t>
        </is>
      </c>
      <c r="C43" s="68" t="inlineStr">
        <is>
          <t>Agent Acquisition, juste avant les questions qu'elle ouvre</t>
        </is>
      </c>
      <c r="D43" s="68" t="inlineStr">
        <is>
          <t>Oui</t>
        </is>
      </c>
      <c r="E43" s="68" t="inlineStr">
        <is>
          <t>Ouvre ACQ-17.30</t>
        </is>
      </c>
      <c r="F43" s="67" t="n">
        <v>1</v>
      </c>
      <c r="G43" s="83" t="inlineStr">
        <is>
          <t>Nouveau</t>
        </is>
      </c>
    </row>
    <row r="44" ht="46.25" customHeight="1" s="53">
      <c r="A44" s="92" t="inlineStr">
        <is>
          <t>D40</t>
        </is>
      </c>
      <c r="B44" s="65" t="inlineStr">
        <is>
          <t>FIN-10.01 · En moyenne sur les 3 derniers mois, combien de reprises, de retours et de gestes commerciaux avez-vous par mois, et combien coûtent-ils ?</t>
        </is>
      </c>
      <c r="C44" s="68" t="inlineStr">
        <is>
          <t>Agent Finance, juste avant les questions qu'elle ouvre</t>
        </is>
      </c>
      <c r="D44" s="68" t="inlineStr">
        <is>
          <t>Au moins une reprise, un retour ou un geste par mois</t>
        </is>
      </c>
      <c r="E44" s="68" t="inlineStr">
        <is>
          <t>Ouvre FIN-10.02, FIN-10.05</t>
        </is>
      </c>
      <c r="F44" s="67" t="n">
        <v>2</v>
      </c>
      <c r="G44" s="83" t="inlineStr">
        <is>
          <t>Nouveau</t>
        </is>
      </c>
    </row>
    <row r="45" ht="46.25" customHeight="1" s="53">
      <c r="A45" s="92" t="inlineStr">
        <is>
          <t>D41</t>
        </is>
      </c>
      <c r="B45" s="65" t="inlineStr">
        <is>
          <t>FIN-10.01 · En moyenne sur les 3 derniers mois, combien de reprises, de retours et de gestes commerciaux avez-vous par mois, et combien coûtent-ils ?</t>
        </is>
      </c>
      <c r="C45" s="68" t="inlineStr">
        <is>
          <t>Agent Finance, juste avant les questions qu'elle ouvre</t>
        </is>
      </c>
      <c r="D45" s="68" t="inlineStr">
        <is>
          <t>Plus de 0 retour par mois</t>
        </is>
      </c>
      <c r="E45" s="68" t="inlineStr">
        <is>
          <t>Ouvre FIN-10.04</t>
        </is>
      </c>
      <c r="F45" s="67" t="n">
        <v>1</v>
      </c>
      <c r="G45" s="83" t="inlineStr">
        <is>
          <t>Nouveau</t>
        </is>
      </c>
    </row>
    <row r="46" ht="46.25" customHeight="1" s="53">
      <c r="A46" s="92" t="inlineStr">
        <is>
          <t>D42</t>
        </is>
      </c>
      <c r="B46" s="65" t="inlineStr">
        <is>
          <t>FIN-41.01 · En moyenne sur les 3 derniers mois, combien de ruptures de stock par mois touchent vos 20 produits qui se vendent le mieux, et combien de jours durent-elles ?</t>
        </is>
      </c>
      <c r="C46" s="68" t="inlineStr">
        <is>
          <t>Agent Finance, juste avant les questions qu'elle ouvre</t>
        </is>
      </c>
      <c r="D46" s="68" t="inlineStr">
        <is>
          <t>Plus de 0 rupture par mois</t>
        </is>
      </c>
      <c r="E46" s="68" t="inlineStr">
        <is>
          <t>Ouvre FIN-41.02</t>
        </is>
      </c>
      <c r="F46" s="67" t="n">
        <v>1</v>
      </c>
      <c r="G46" s="83" t="inlineStr">
        <is>
          <t>Nouveau</t>
        </is>
      </c>
    </row>
    <row r="47" ht="23.85" customHeight="1" s="53">
      <c r="A47" s="92" t="inlineStr">
        <is>
          <t>D43</t>
        </is>
      </c>
      <c r="B47" s="65" t="inlineStr">
        <is>
          <t>FIN-20.03 · Vos fournisseurs vous proposent-ils une remise si vous les payez plus vite ?</t>
        </is>
      </c>
      <c r="C47" s="68" t="inlineStr">
        <is>
          <t>Agent Finance, juste avant les questions qu'elle ouvre</t>
        </is>
      </c>
      <c r="D47" s="68" t="inlineStr">
        <is>
          <t>Oui</t>
        </is>
      </c>
      <c r="E47" s="68" t="inlineStr">
        <is>
          <t>Ouvre FIN-20.08</t>
        </is>
      </c>
      <c r="F47" s="67" t="n">
        <v>1</v>
      </c>
      <c r="G47" s="83" t="inlineStr">
        <is>
          <t>Nouveau</t>
        </is>
      </c>
    </row>
    <row r="48" ht="23.85" customHeight="1" s="53">
      <c r="A48" s="92" t="inlineStr">
        <is>
          <t>D44</t>
        </is>
      </c>
      <c r="B48" s="65" t="inlineStr">
        <is>
          <t>RH-04.01 · Sur les 3 derniers mois, combien de tâches avez-vous confiées à quelqu'un d'autre ?</t>
        </is>
      </c>
      <c r="C48" s="68" t="inlineStr">
        <is>
          <t>Agent RH, juste avant les questions qu'elle ouvre</t>
        </is>
      </c>
      <c r="D48" s="68" t="inlineStr">
        <is>
          <t>Plus de 0</t>
        </is>
      </c>
      <c r="E48" s="68" t="inlineStr">
        <is>
          <t>Ouvre RH-04.02</t>
        </is>
      </c>
      <c r="F48" s="67" t="n">
        <v>1</v>
      </c>
      <c r="G48" s="83" t="inlineStr">
        <is>
          <t>Nouveau</t>
        </is>
      </c>
    </row>
    <row r="49" ht="23.85" customHeight="1" s="53">
      <c r="A49" s="92" t="inlineStr">
        <is>
          <t>D45</t>
        </is>
      </c>
      <c r="B49" s="65" t="inlineStr">
        <is>
          <t>RH-04.02 · Parmi ces tâches, combien avez-vous dû reprendre en main ?</t>
        </is>
      </c>
      <c r="C49" s="68" t="inlineStr">
        <is>
          <t>Agent RH, juste avant les questions qu'elle ouvre</t>
        </is>
      </c>
      <c r="D49" s="68" t="inlineStr">
        <is>
          <t>Plus de 0</t>
        </is>
      </c>
      <c r="E49" s="68" t="inlineStr">
        <is>
          <t>Ouvre RH-04.03, RH-04.04, RH-04.05</t>
        </is>
      </c>
      <c r="F49" s="67" t="n">
        <v>3</v>
      </c>
      <c r="G49" s="83" t="inlineStr">
        <is>
          <t>Nouveau</t>
        </is>
      </c>
    </row>
    <row r="50" ht="35.05" customHeight="1" s="53">
      <c r="A50" s="92" t="inlineStr">
        <is>
          <t>D46</t>
        </is>
      </c>
      <c r="B50" s="65" t="inlineStr">
        <is>
          <t>RH-06.05 · Sur les 3 derniers mois, combien de semaines ont comporté des heures supplémentaires ?</t>
        </is>
      </c>
      <c r="C50" s="68" t="inlineStr">
        <is>
          <t>Agent RH, juste avant les questions qu'elle ouvre</t>
        </is>
      </c>
      <c r="D50" s="68" t="inlineStr">
        <is>
          <t>Toute réponse sauf « Aucune »</t>
        </is>
      </c>
      <c r="E50" s="68" t="inlineStr">
        <is>
          <t>Ouvre RH-06.06, RH-06.07</t>
        </is>
      </c>
      <c r="F50" s="67" t="n">
        <v>2</v>
      </c>
      <c r="G50" s="83" t="inlineStr">
        <is>
          <t>Nouveau</t>
        </is>
      </c>
    </row>
    <row r="51" ht="23.85" customHeight="1" s="53">
      <c r="A51" s="92" t="inlineStr">
        <is>
          <t>D47</t>
        </is>
      </c>
      <c r="B51" s="65" t="inlineStr">
        <is>
          <t>RH-15.02 · Du matériel ou un équipement ralentit-il le travail : panne, matériel trop vieux ou qui manque ?</t>
        </is>
      </c>
      <c r="C51" s="68" t="inlineStr">
        <is>
          <t>Agent RH, juste avant les questions qu'elle ouvre</t>
        </is>
      </c>
      <c r="D51" s="68" t="inlineStr">
        <is>
          <t>Oui</t>
        </is>
      </c>
      <c r="E51" s="68" t="inlineStr">
        <is>
          <t>Ouvre RH-15.03</t>
        </is>
      </c>
      <c r="F51" s="67" t="n">
        <v>1</v>
      </c>
      <c r="G51" s="83" t="inlineStr">
        <is>
          <t>Nouveau</t>
        </is>
      </c>
    </row>
    <row r="52" ht="46.25" customHeight="1" s="53">
      <c r="A52" s="92" t="inlineStr">
        <is>
          <t>D48</t>
        </is>
      </c>
      <c r="B52" s="65" t="inlineStr">
        <is>
          <t>FIN-10.01 · En moyenne sur les 3 derniers mois, combien de reprises, de retours et de gestes commerciaux avez-vous par mois, et combien coûtent-ils ?</t>
        </is>
      </c>
      <c r="C52" s="68" t="inlineStr">
        <is>
          <t>Agent Finance, juste avant les questions qu'elle ouvre</t>
        </is>
      </c>
      <c r="D52" s="68" t="inlineStr">
        <is>
          <t>Plus de 0 reprise par mois</t>
        </is>
      </c>
      <c r="E52" s="68" t="inlineStr">
        <is>
          <t>Ouvre FIN-10.03</t>
        </is>
      </c>
      <c r="F52" s="67" t="n">
        <v>1</v>
      </c>
      <c r="G52" s="83" t="inlineStr">
        <is>
          <t>Nouveau</t>
        </is>
      </c>
    </row>
    <row r="53" ht="46.25" customHeight="1" s="53">
      <c r="A53" s="92" t="inlineStr">
        <is>
          <t>D49</t>
        </is>
      </c>
      <c r="B53" s="65" t="inlineStr">
        <is>
          <t>RH-16.01 · En moyenne sur les 3 derniers mois, combien de fois par mois devez-vous refaire ou corriger un travail, et combien de temps cela prend-il à chaque fois ?</t>
        </is>
      </c>
      <c r="C53" s="68" t="inlineStr">
        <is>
          <t>Agent RH, juste avant les questions qu'elle ouvre</t>
        </is>
      </c>
      <c r="D53" s="68" t="inlineStr">
        <is>
          <t>Plus de 0 reprise par mois</t>
        </is>
      </c>
      <c r="E53" s="68" t="inlineStr">
        <is>
          <t>Ouvre RH-16.02, RH-16.03, RH-16.04</t>
        </is>
      </c>
      <c r="F53" s="67" t="n">
        <v>3</v>
      </c>
      <c r="G53" s="83" t="inlineStr">
        <is>
          <t>Nouveau</t>
        </is>
      </c>
    </row>
    <row r="54" ht="35.05" customHeight="1" s="53">
      <c r="A54" s="92" t="inlineStr">
        <is>
          <t>D50</t>
        </is>
      </c>
      <c r="B54" s="65" t="inlineStr">
        <is>
          <t>RH-19.01 · Sur un mois habituel, combien de réunions d'équipe faites-vous, combien de temps durent-elles et avec combien de participants ?</t>
        </is>
      </c>
      <c r="C54" s="68" t="inlineStr">
        <is>
          <t>Agent RH, juste avant les questions qu'elle ouvre</t>
        </is>
      </c>
      <c r="D54" s="68" t="inlineStr">
        <is>
          <t>Plus de 0 réunion</t>
        </is>
      </c>
      <c r="E54" s="68" t="inlineStr">
        <is>
          <t>Ouvre RH-19.02, RH-19.04</t>
        </is>
      </c>
      <c r="F54" s="67" t="n">
        <v>2</v>
      </c>
      <c r="G54" s="83" t="inlineStr">
        <is>
          <t>Nouveau</t>
        </is>
      </c>
    </row>
    <row r="55" ht="23.85" customHeight="1" s="53">
      <c r="A55" s="92" t="inlineStr">
        <is>
          <t>D51</t>
        </is>
      </c>
      <c r="B55" s="65" t="inlineStr">
        <is>
          <t>RH-48.01 · Chaque personne a-t-elle des objectifs clairs, écrits et revus avec vous ?</t>
        </is>
      </c>
      <c r="C55" s="68" t="inlineStr">
        <is>
          <t>Agent RH, juste avant les questions qu'elle ouvre</t>
        </is>
      </c>
      <c r="D55" s="68" t="inlineStr">
        <is>
          <t>Toute réponse sauf « Pour personne »</t>
        </is>
      </c>
      <c r="E55" s="68" t="inlineStr">
        <is>
          <t>Ouvre RH-48.02</t>
        </is>
      </c>
      <c r="F55" s="67" t="n">
        <v>1</v>
      </c>
      <c r="G55" s="83" t="inlineStr">
        <is>
          <t>Nouveau</t>
        </is>
      </c>
    </row>
    <row r="56" ht="35.05" customHeight="1" s="53">
      <c r="A56" s="92" t="inlineStr">
        <is>
          <t>D52</t>
        </is>
      </c>
      <c r="B56" s="65" t="inlineStr">
        <is>
          <t>RH-49.01 · Combien de responsables encadrent une partie de l'équipe, et combien de personnes chacun suit-il au plus ?</t>
        </is>
      </c>
      <c r="C56" s="68" t="inlineStr">
        <is>
          <t>Agent RH, juste avant les questions qu'elle ouvre</t>
        </is>
      </c>
      <c r="D56" s="68" t="inlineStr">
        <is>
          <t>Plus de 0 responsable</t>
        </is>
      </c>
      <c r="E56" s="68" t="inlineStr">
        <is>
          <t>Ouvre RH-49.02</t>
        </is>
      </c>
      <c r="F56" s="67" t="n">
        <v>1</v>
      </c>
      <c r="G56" s="83" t="inlineStr">
        <is>
          <t>Nouveau</t>
        </is>
      </c>
    </row>
    <row r="57" ht="35.05" customHeight="1" s="53">
      <c r="A57" s="92" t="inlineStr">
        <is>
          <t>D53</t>
        </is>
      </c>
      <c r="B57" s="65" t="inlineStr">
        <is>
          <t>RH-25.01 · Sur les 12 derniers mois, combien de jours de formation l'équipe a-t-elle suivis, et la transmission entre collègues est-elle organisée ?</t>
        </is>
      </c>
      <c r="C57" s="68" t="inlineStr">
        <is>
          <t>Agent RH, juste avant les questions qu'elle ouvre</t>
        </is>
      </c>
      <c r="D57" s="68" t="inlineStr">
        <is>
          <t>Plus de 0 jour de formation</t>
        </is>
      </c>
      <c r="E57" s="68" t="inlineStr">
        <is>
          <t>Ouvre RH-26.01</t>
        </is>
      </c>
      <c r="F57" s="67" t="n">
        <v>1</v>
      </c>
      <c r="G57" s="83" t="inlineStr">
        <is>
          <t>Nouveau</t>
        </is>
      </c>
    </row>
    <row r="58" ht="23.85" customHeight="1" s="53">
      <c r="A58" s="92" t="inlineStr">
        <is>
          <t>D54</t>
        </is>
      </c>
      <c r="B58" s="65" t="inlineStr">
        <is>
          <t>RH-32.01 · Sur les 12 derniers mois, combien de personnes sont parties, et pour quelle raison ?</t>
        </is>
      </c>
      <c r="C58" s="68" t="inlineStr">
        <is>
          <t>Agent RH, juste avant les questions qu'elle ouvre</t>
        </is>
      </c>
      <c r="D58" s="68" t="inlineStr">
        <is>
          <t>Plus de 0 départ</t>
        </is>
      </c>
      <c r="E58" s="68" t="inlineStr">
        <is>
          <t>Ouvre RH-32.03, RH-32.04</t>
        </is>
      </c>
      <c r="F58" s="67" t="n">
        <v>2</v>
      </c>
      <c r="G58" s="83" t="inlineStr">
        <is>
          <t>Nouveau</t>
        </is>
      </c>
    </row>
    <row r="59" ht="23.85" customHeight="1" s="53">
      <c r="A59" s="92" t="inlineStr">
        <is>
          <t>D55</t>
        </is>
      </c>
      <c r="B59" s="65" t="inlineStr">
        <is>
          <t>RH-34.01 · Sur les 12 derniers mois, combien de jours d'absence l'équipe a-t-elle eus, hors congés ?</t>
        </is>
      </c>
      <c r="C59" s="68" t="inlineStr">
        <is>
          <t>Agent RH, juste avant les questions qu'elle ouvre</t>
        </is>
      </c>
      <c r="D59" s="68" t="inlineStr">
        <is>
          <t>Plus de 0 jour</t>
        </is>
      </c>
      <c r="E59" s="68" t="inlineStr">
        <is>
          <t>Ouvre RH-34.03</t>
        </is>
      </c>
      <c r="F59" s="67" t="n">
        <v>1</v>
      </c>
      <c r="G59" s="83" t="inlineStr">
        <is>
          <t>Nouveau</t>
        </is>
      </c>
    </row>
    <row r="60" ht="23.85" customHeight="1" s="53">
      <c r="A60" s="92" t="inlineStr">
        <is>
          <t>D56</t>
        </is>
      </c>
      <c r="B60" s="65" t="inlineStr">
        <is>
          <t>COM-05.01 · Proposez-vous une garantie à vos clients ?</t>
        </is>
      </c>
      <c r="C60" s="68" t="inlineStr">
        <is>
          <t>Agent Comm, juste avant les questions qu'elle ouvre</t>
        </is>
      </c>
      <c r="D60" s="68" t="inlineStr">
        <is>
          <t>Toute réponse sauf « Aucune »</t>
        </is>
      </c>
      <c r="E60" s="68" t="inlineStr">
        <is>
          <t>Ouvre COM-05.02</t>
        </is>
      </c>
      <c r="F60" s="67" t="n">
        <v>1</v>
      </c>
      <c r="G60" s="83" t="inlineStr">
        <is>
          <t>Nouveau</t>
        </is>
      </c>
    </row>
    <row r="61" ht="23.85" customHeight="1" s="53">
      <c r="A61" s="92" t="inlineStr">
        <is>
          <t>D57</t>
        </is>
      </c>
      <c r="B61" s="65" t="inlineStr">
        <is>
          <t>RH-37.01 · En dehors de vous, quelles personnes bloquent l'activité quand elles sont absentes ?</t>
        </is>
      </c>
      <c r="C61" s="68" t="inlineStr">
        <is>
          <t>Agent RH, juste avant les questions qu'elle ouvre</t>
        </is>
      </c>
      <c r="D61" s="68" t="inlineStr">
        <is>
          <t>Au moins une personne nommée</t>
        </is>
      </c>
      <c r="E61" s="68" t="inlineStr">
        <is>
          <t>Ouvre RH-37.02, RH-38.01, RH-38.02</t>
        </is>
      </c>
      <c r="F61" s="67" t="n">
        <v>3</v>
      </c>
      <c r="G61" s="83" t="inlineStr">
        <is>
          <t>Nouveau</t>
        </is>
      </c>
    </row>
    <row r="62" ht="35.05" customHeight="1" s="53">
      <c r="A62" s="92" t="inlineStr">
        <is>
          <t>D58</t>
        </is>
      </c>
      <c r="B62" s="65" t="inlineStr">
        <is>
          <t>COM-15.03 · Quand avez-vous écrit à votre fichier pour la dernière fois, et combien d'envois avez-vous faits sur les 6 derniers mois ?</t>
        </is>
      </c>
      <c r="C62" s="68" t="inlineStr">
        <is>
          <t>Agent Comm, juste avant les questions qu'elle ouvre</t>
        </is>
      </c>
      <c r="D62" s="68" t="inlineStr">
        <is>
          <t>Plus de 0 envoi</t>
        </is>
      </c>
      <c r="E62" s="68" t="inlineStr">
        <is>
          <t>Ouvre COM-15.04, COM-15.06</t>
        </is>
      </c>
      <c r="F62" s="67" t="n">
        <v>2</v>
      </c>
      <c r="G62" s="83" t="inlineStr">
        <is>
          <t>Nouveau</t>
        </is>
      </c>
    </row>
    <row r="63" ht="46.25" customHeight="1" s="53">
      <c r="A63" s="92" t="inlineStr">
        <is>
          <t>D59</t>
        </is>
      </c>
      <c r="B63" s="65" t="inlineStr">
        <is>
          <t>COM-23.01 · En moyenne sur les 3 derniers mois, combien de messages privés recevez-vous par mois sur chaque messagerie, dont combien de demandes commerciales ?</t>
        </is>
      </c>
      <c r="C63" s="68" t="inlineStr">
        <is>
          <t>Agent Comm, juste avant les questions qu'elle ouvre</t>
        </is>
      </c>
      <c r="D63" s="68" t="inlineStr">
        <is>
          <t>Plus de 0 message</t>
        </is>
      </c>
      <c r="E63" s="68" t="inlineStr">
        <is>
          <t>Ouvre COM-23.02, COM-23.03</t>
        </is>
      </c>
      <c r="F63" s="67" t="n">
        <v>2</v>
      </c>
      <c r="G63" s="83" t="inlineStr">
        <is>
          <t>Nouveau</t>
        </is>
      </c>
    </row>
    <row r="64" ht="35.05" customHeight="1" s="53">
      <c r="A64" s="92" t="inlineStr">
        <is>
          <t>D60</t>
        </is>
      </c>
      <c r="B64" s="65" t="inlineStr">
        <is>
          <t>COM-31.01 · Sur une semaine habituelle, combien d'heures passez-vous, vous et votre équipe, sur chaque tâche de communication ?</t>
        </is>
      </c>
      <c r="C64" s="68" t="inlineStr">
        <is>
          <t>Agent Comm, juste avant les questions qu'elle ouvre</t>
        </is>
      </c>
      <c r="D64" s="68" t="inlineStr">
        <is>
          <t>Plus de 0 heure</t>
        </is>
      </c>
      <c r="E64" s="68" t="inlineStr">
        <is>
          <t>Ouvre COM-31.02</t>
        </is>
      </c>
      <c r="F64" s="67" t="n">
        <v>1</v>
      </c>
      <c r="G64" s="83" t="inlineStr">
        <is>
          <t>Nouveau</t>
        </is>
      </c>
    </row>
    <row r="65" ht="35.05" customHeight="1" s="53">
      <c r="A65" s="92" t="inlineStr">
        <is>
          <t>D61</t>
        </is>
      </c>
      <c r="B65" s="65" t="inlineStr">
        <is>
          <t>COM-44.01 · Sur votre fiche Google, combien d'avis avez-vous, quelle est votre note, et combien d'avis avez-vous reçus sur les 6 derniers mois ?</t>
        </is>
      </c>
      <c r="C65" s="68" t="inlineStr">
        <is>
          <t>Agent Comm, juste avant les questions qu'elle ouvre</t>
        </is>
      </c>
      <c r="D65" s="68" t="inlineStr">
        <is>
          <t>Plus de 0 avis</t>
        </is>
      </c>
      <c r="E65" s="68" t="inlineStr">
        <is>
          <t>Ouvre COM-44.03, COM-44.04, COM-46.01, COM-46.02</t>
        </is>
      </c>
      <c r="F65" s="67" t="n">
        <v>4</v>
      </c>
      <c r="G65" s="83" t="inlineStr">
        <is>
          <t>Nouveau</t>
        </is>
      </c>
    </row>
    <row r="66" ht="23.85" customHeight="1" s="53">
      <c r="A66" s="92" t="inlineStr">
        <is>
          <t>D62</t>
        </is>
      </c>
      <c r="B66" s="65" t="inlineStr">
        <is>
          <t>COM-45.01 · Demandez-vous un avis à vos clients ?</t>
        </is>
      </c>
      <c r="C66" s="68" t="inlineStr">
        <is>
          <t>Agent Comm, juste avant les questions qu'elle ouvre</t>
        </is>
      </c>
      <c r="D66" s="68" t="inlineStr">
        <is>
          <t>Toute réponse sauf « Jamais »</t>
        </is>
      </c>
      <c r="E66" s="68" t="inlineStr">
        <is>
          <t>Ouvre COM-45.02</t>
        </is>
      </c>
      <c r="F66" s="67" t="n">
        <v>1</v>
      </c>
      <c r="G66" s="83" t="inlineStr">
        <is>
          <t>Nouveau</t>
        </is>
      </c>
    </row>
    <row r="67" ht="35.05" customHeight="1" s="53">
      <c r="A67" s="92" t="inlineStr">
        <is>
          <t>D63</t>
        </is>
      </c>
      <c r="B67" s="65" t="inlineStr">
        <is>
          <t>COM-26.01 · Sur les 3 derniers mois, combien avez-vous publié de contenus de chaque format, tous réseaux confondus ?</t>
        </is>
      </c>
      <c r="C67" s="68" t="inlineStr">
        <is>
          <t>Agent Comm, juste avant les questions qu'elle ouvre</t>
        </is>
      </c>
      <c r="D67" s="68" t="inlineStr">
        <is>
          <t>Plus de 0 vidéo</t>
        </is>
      </c>
      <c r="E67" s="68" t="inlineStr">
        <is>
          <t>Ouvre COM-39.03</t>
        </is>
      </c>
      <c r="F67" s="67" t="n">
        <v>1</v>
      </c>
      <c r="G67" s="83" t="inlineStr">
        <is>
          <t>Nouveau</t>
        </is>
      </c>
    </row>
    <row r="68" ht="23.85" customHeight="1" s="53">
      <c r="A68" s="92" t="inlineStr">
        <is>
          <t>D64</t>
        </is>
      </c>
      <c r="B68" s="65" t="inlineStr">
        <is>
          <t>COM-60.01 · Quand quelqu'un clique sur le lien de votre profil, sur quelle page arrive-t-il ?</t>
        </is>
      </c>
      <c r="C68" s="68" t="inlineStr">
        <is>
          <t>Agent Comm, juste avant les questions qu'elle ouvre</t>
        </is>
      </c>
      <c r="D68" s="68" t="inlineStr">
        <is>
          <t>Toute réponse qui mène vers une page</t>
        </is>
      </c>
      <c r="E68" s="68" t="inlineStr">
        <is>
          <t>Ouvre COM-60.02</t>
        </is>
      </c>
      <c r="F68" s="67" t="n">
        <v>1</v>
      </c>
      <c r="G68" s="83" t="inlineStr">
        <is>
          <t>Nouveau</t>
        </is>
      </c>
    </row>
    <row r="69" ht="35.05" customHeight="1" s="53">
      <c r="A69" s="92" t="inlineStr">
        <is>
          <t>D65</t>
        </is>
      </c>
      <c r="B69" s="65" t="inlineStr">
        <is>
          <t>COM-61.01 · Que faites-vous des personnes qui réagissent à vos publications ou vous écrivent, sans devenir clientes ?</t>
        </is>
      </c>
      <c r="C69" s="68" t="inlineStr">
        <is>
          <t>Agent Comm, juste avant les questions qu'elle ouvre</t>
        </is>
      </c>
      <c r="D69" s="68" t="inlineStr">
        <is>
          <t>« Je leur écris en message privé »</t>
        </is>
      </c>
      <c r="E69" s="68" t="inlineStr">
        <is>
          <t>Ouvre COM-61.02</t>
        </is>
      </c>
      <c r="F69" s="67" t="n">
        <v>1</v>
      </c>
      <c r="G69" s="83" t="inlineStr">
        <is>
          <t>Nouveau</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S23"/>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4" customWidth="1" style="52" min="1" max="8"/>
    <col width="20" customWidth="1" style="52" min="9" max="9"/>
    <col width="24" customWidth="1" style="52" min="10" max="19"/>
  </cols>
  <sheetData>
    <row r="1" ht="24" customHeight="1" s="53">
      <c r="A1" s="54" t="inlineStr">
        <is>
          <t>Lexique par profil et par métier</t>
        </is>
      </c>
    </row>
    <row r="2" ht="15" customHeight="1" s="53">
      <c r="A2" s="55" t="inlineStr">
        <is>
          <t>Une question, plusieurs formulations : chaque mot générique a sa forme dans chaque profil. Dans une question de la banque, le mot s'écrit entre accolades avec sa clé (colonne I). Colonnes J et suivantes : lexiques propres à un métier, repris de la banque du 20 octobre (un métier sans lexique propre prend celui de son profil).</t>
        </is>
      </c>
    </row>
    <row r="3"/>
    <row r="4" ht="31.5" customHeight="1" s="53">
      <c r="A4" s="75" t="inlineStr">
        <is>
          <t>Mot générique</t>
        </is>
      </c>
      <c r="B4" s="75" t="inlineStr">
        <is>
          <t>RDV</t>
        </is>
      </c>
      <c r="C4" s="75" t="inlineStr">
        <is>
          <t>Commerce</t>
        </is>
      </c>
      <c r="D4" s="75" t="inlineStr">
        <is>
          <t>E-commerce</t>
        </is>
      </c>
      <c r="E4" s="75" t="inlineStr">
        <is>
          <t>Restaurant</t>
        </is>
      </c>
      <c r="F4" s="75" t="inlineStr">
        <is>
          <t>Chantier</t>
        </is>
      </c>
      <c r="G4" s="75" t="inlineStr">
        <is>
          <t>B2B</t>
        </is>
      </c>
      <c r="H4" s="75" t="inlineStr">
        <is>
          <t>Abonnement</t>
        </is>
      </c>
      <c r="I4" s="75" t="inlineStr">
        <is>
          <t>Clé dans les questions</t>
        </is>
      </c>
      <c r="J4" s="75" t="inlineStr">
        <is>
          <t>Hébergement</t>
        </is>
      </c>
      <c r="K4" s="75" t="inlineStr">
        <is>
          <t>Location de véhicules</t>
        </is>
      </c>
      <c r="L4" s="75" t="inlineStr">
        <is>
          <t>Agence immobilière</t>
        </is>
      </c>
      <c r="M4" s="75" t="inlineStr">
        <is>
          <t>Projets de particuliers</t>
        </is>
      </c>
      <c r="N4" s="75" t="inlineStr">
        <is>
          <t>Vente de biens</t>
        </is>
      </c>
      <c r="O4" s="75" t="inlineStr">
        <is>
          <t>Négoce</t>
        </is>
      </c>
      <c r="P4" s="75" t="inlineStr">
        <is>
          <t>Fabrication</t>
        </is>
      </c>
      <c r="Q4" s="75" t="inlineStr">
        <is>
          <t>Cabinet</t>
        </is>
      </c>
      <c r="R4" s="75" t="inlineStr">
        <is>
          <t>Course (VTC, taxi, coursier)</t>
        </is>
      </c>
      <c r="S4" s="75" t="inlineStr">
        <is>
          <t>Livraison de repas</t>
        </is>
      </c>
    </row>
    <row r="5" ht="23.85" customHeight="1" s="53">
      <c r="A5" s="65" t="inlineStr">
        <is>
          <t>Demande</t>
        </is>
      </c>
      <c r="B5" s="68" t="inlineStr">
        <is>
          <t>Demande de rendez-vous</t>
        </is>
      </c>
      <c r="C5" s="68" t="inlineStr">
        <is>
          <t>Visiteur (entrée en boutique)</t>
        </is>
      </c>
      <c r="D5" s="68" t="inlineStr">
        <is>
          <t>Visiteur du site</t>
        </is>
      </c>
      <c r="E5" s="68" t="inlineStr">
        <is>
          <t>Réservation ou demande</t>
        </is>
      </c>
      <c r="F5" s="68" t="inlineStr">
        <is>
          <t>Demande de devis</t>
        </is>
      </c>
      <c r="G5" s="68" t="inlineStr">
        <is>
          <t>Contact entrant (lead)</t>
        </is>
      </c>
      <c r="H5" s="68" t="inlineStr">
        <is>
          <t>Demande d'information ou d'essai</t>
        </is>
      </c>
      <c r="I5" s="67" t="inlineStr">
        <is>
          <t>{demande}</t>
        </is>
      </c>
      <c r="J5" s="68" t="inlineStr">
        <is>
          <t>Demande de réservation</t>
        </is>
      </c>
      <c r="K5" s="68" t="inlineStr">
        <is>
          <t>Demande de location</t>
        </is>
      </c>
      <c r="L5" s="68" t="inlineStr">
        <is>
          <t>Contact propriétaire (vente ou location)</t>
        </is>
      </c>
      <c r="M5" s="68" t="inlineStr">
        <is>
          <t>Demande de devis</t>
        </is>
      </c>
      <c r="N5" s="68" t="inlineStr">
        <is>
          <t>Contact acheteur</t>
        </is>
      </c>
      <c r="O5" s="68" t="inlineStr">
        <is>
          <t>Demande de prix</t>
        </is>
      </c>
      <c r="P5" s="68" t="inlineStr">
        <is>
          <t>Demande de prix ou de devis</t>
        </is>
      </c>
      <c r="Q5" s="68" t="inlineStr">
        <is>
          <t>Demande de rendez-vous ou de consultation</t>
        </is>
      </c>
      <c r="R5" s="68" t="inlineStr">
        <is>
          <t>Demande de course</t>
        </is>
      </c>
      <c r="S5" s="68" t="inlineStr">
        <is>
          <t>Visite de votre menu en ligne</t>
        </is>
      </c>
    </row>
    <row r="6" ht="23.85" customHeight="1" s="53">
      <c r="A6" s="65" t="inlineStr">
        <is>
          <t>Nouveau client</t>
        </is>
      </c>
      <c r="B6" s="68" t="inlineStr">
        <is>
          <t>Première visite</t>
        </is>
      </c>
      <c r="C6" s="68" t="inlineStr">
        <is>
          <t>Client venu pour la première fois</t>
        </is>
      </c>
      <c r="D6" s="68" t="inlineStr">
        <is>
          <t>Commande d'un nouveau client</t>
        </is>
      </c>
      <c r="E6" s="68" t="inlineStr">
        <is>
          <t>Client venu pour la première fois</t>
        </is>
      </c>
      <c r="F6" s="68" t="inlineStr">
        <is>
          <t>Devis signé</t>
        </is>
      </c>
      <c r="G6" s="68" t="inlineStr">
        <is>
          <t>Contrat signé</t>
        </is>
      </c>
      <c r="H6" s="68" t="inlineStr">
        <is>
          <t>Nouveau client sous contrat</t>
        </is>
      </c>
      <c r="I6" s="67" t="inlineStr">
        <is>
          <t>{nouveau_client}</t>
        </is>
      </c>
      <c r="J6" s="68" t="inlineStr">
        <is>
          <t>Réservation d'un nouveau client</t>
        </is>
      </c>
      <c r="K6" s="68" t="inlineStr">
        <is>
          <t>Location d'un nouveau client</t>
        </is>
      </c>
      <c r="L6" s="68" t="inlineStr">
        <is>
          <t>Mandat signé</t>
        </is>
      </c>
      <c r="M6" s="68" t="inlineStr">
        <is>
          <t>Devis signé</t>
        </is>
      </c>
      <c r="N6" s="68" t="inlineStr">
        <is>
          <t>Vente signée (bon de commande ou réservation)</t>
        </is>
      </c>
      <c r="O6" s="68" t="inlineStr">
        <is>
          <t>Première commande d'un nouveau client</t>
        </is>
      </c>
      <c r="P6" s="68" t="inlineStr">
        <is>
          <t>Première commande d'un nouveau client</t>
        </is>
      </c>
      <c r="Q6" s="68" t="inlineStr">
        <is>
          <t>Dossier ouvert</t>
        </is>
      </c>
      <c r="R6" s="68" t="inlineStr">
        <is>
          <t>Course d'un nouveau client</t>
        </is>
      </c>
      <c r="S6" s="68" t="inlineStr">
        <is>
          <t>Commande d'un nouveau client</t>
        </is>
      </c>
    </row>
    <row r="7" ht="23.85" customHeight="1" s="53">
      <c r="A7" s="65" t="inlineStr">
        <is>
          <t>Montant du premier achat</t>
        </is>
      </c>
      <c r="B7" s="68" t="inlineStr">
        <is>
          <t>Prix moyen d'une prestation</t>
        </is>
      </c>
      <c r="C7" s="68" t="inlineStr">
        <is>
          <t>Ticket moyen</t>
        </is>
      </c>
      <c r="D7" s="68" t="inlineStr">
        <is>
          <t>Panier moyen</t>
        </is>
      </c>
      <c r="E7" s="68" t="inlineStr">
        <is>
          <t>Ticket moyen par couvert</t>
        </is>
      </c>
      <c r="F7" s="68" t="inlineStr">
        <is>
          <t>Montant moyen d'un chantier</t>
        </is>
      </c>
      <c r="G7" s="68" t="inlineStr">
        <is>
          <t>Valeur moyenne d'un contrat</t>
        </is>
      </c>
      <c r="H7" s="68" t="inlineStr">
        <is>
          <t>Revenu mensuel moyen par client</t>
        </is>
      </c>
      <c r="I7" s="67" t="inlineStr">
        <is>
          <t>{montant_du_premier_achat}</t>
        </is>
      </c>
      <c r="J7" s="68" t="inlineStr">
        <is>
          <t>Prix moyen d'un séjour</t>
        </is>
      </c>
      <c r="K7" s="68" t="inlineStr">
        <is>
          <t>Prix moyen d'une location</t>
        </is>
      </c>
      <c r="L7" s="68" t="inlineStr">
        <is>
          <t>Honoraires moyens par vente ou location</t>
        </is>
      </c>
      <c r="M7" s="68" t="inlineStr">
        <is>
          <t>Montant moyen d'un projet</t>
        </is>
      </c>
      <c r="N7" s="68" t="inlineStr">
        <is>
          <t>Prix de vente moyen</t>
        </is>
      </c>
      <c r="O7" s="68" t="inlineStr">
        <is>
          <t>Montant moyen d'une commande</t>
        </is>
      </c>
      <c r="P7" s="68" t="inlineStr">
        <is>
          <t>Montant moyen d'une commande</t>
        </is>
      </c>
      <c r="Q7" s="68" t="inlineStr">
        <is>
          <t>Honoraires moyens par dossier</t>
        </is>
      </c>
      <c r="R7" s="68" t="inlineStr">
        <is>
          <t>Prix moyen d'une course</t>
        </is>
      </c>
      <c r="S7" s="68" t="inlineStr">
        <is>
          <t>Panier moyen</t>
        </is>
      </c>
    </row>
    <row r="8" ht="23.85" customHeight="1" s="53">
      <c r="A8" s="65" t="inlineStr">
        <is>
          <t>Rendez-vous</t>
        </is>
      </c>
      <c r="B8" s="68" t="inlineStr">
        <is>
          <t>Rendez-vous</t>
        </is>
      </c>
      <c r="C8" s="68" t="inlineStr">
        <is>
          <t>—</t>
        </is>
      </c>
      <c r="D8" s="68" t="inlineStr">
        <is>
          <t>—</t>
        </is>
      </c>
      <c r="E8" s="68" t="inlineStr">
        <is>
          <t>—</t>
        </is>
      </c>
      <c r="F8" s="68" t="inlineStr">
        <is>
          <t>Visite technique ou métré</t>
        </is>
      </c>
      <c r="G8" s="68" t="inlineStr">
        <is>
          <t>Rendez-vous de découverte</t>
        </is>
      </c>
      <c r="H8" s="68" t="inlineStr">
        <is>
          <t>Rendez-vous de découverte</t>
        </is>
      </c>
      <c r="I8" s="67" t="inlineStr">
        <is>
          <t>{rendez_vous}</t>
        </is>
      </c>
      <c r="J8" s="68" t="inlineStr">
        <is>
          <t>—</t>
        </is>
      </c>
      <c r="K8" s="68" t="inlineStr">
        <is>
          <t>—</t>
        </is>
      </c>
      <c r="L8" s="68" t="inlineStr">
        <is>
          <t>Rendez-vous d'estimation</t>
        </is>
      </c>
      <c r="M8" s="68" t="inlineStr">
        <is>
          <t>Rendez-vous de présentation</t>
        </is>
      </c>
      <c r="N8" s="68" t="inlineStr">
        <is>
          <t>Visite ou essai</t>
        </is>
      </c>
      <c r="O8" s="68" t="inlineStr">
        <is>
          <t>Visite chez le client</t>
        </is>
      </c>
      <c r="P8" s="68" t="inlineStr">
        <is>
          <t>Rendez-vous ou visite chez le client</t>
        </is>
      </c>
      <c r="Q8" s="68" t="inlineStr">
        <is>
          <t>Premier rendez-vous</t>
        </is>
      </c>
      <c r="R8" s="68" t="inlineStr">
        <is>
          <t>—</t>
        </is>
      </c>
      <c r="S8" s="68" t="inlineStr">
        <is>
          <t>—</t>
        </is>
      </c>
    </row>
    <row r="9" ht="23.85" customHeight="1" s="53">
      <c r="A9" s="65" t="inlineStr">
        <is>
          <t>Devis</t>
        </is>
      </c>
      <c r="B9" s="68" t="inlineStr">
        <is>
          <t>Devis</t>
        </is>
      </c>
      <c r="C9" s="68" t="inlineStr">
        <is>
          <t>Devis</t>
        </is>
      </c>
      <c r="D9" s="68" t="inlineStr">
        <is>
          <t>Devis</t>
        </is>
      </c>
      <c r="E9" s="68" t="inlineStr">
        <is>
          <t>Devis traiteur ou groupe</t>
        </is>
      </c>
      <c r="F9" s="68" t="inlineStr">
        <is>
          <t>Devis</t>
        </is>
      </c>
      <c r="G9" s="68" t="inlineStr">
        <is>
          <t>Proposition commerciale</t>
        </is>
      </c>
      <c r="H9" s="68" t="inlineStr">
        <is>
          <t>Proposition ou devis</t>
        </is>
      </c>
      <c r="I9" s="67" t="inlineStr">
        <is>
          <t>{devis}</t>
        </is>
      </c>
      <c r="J9" s="68" t="inlineStr">
        <is>
          <t>Devis groupe ou séminaire</t>
        </is>
      </c>
      <c r="K9" s="68" t="inlineStr">
        <is>
          <t>Devis longue durée ou entreprise</t>
        </is>
      </c>
      <c r="L9" s="68" t="inlineStr">
        <is>
          <t>Proposition de mandat (avec estimation)</t>
        </is>
      </c>
      <c r="M9" s="68" t="inlineStr">
        <is>
          <t>Devis</t>
        </is>
      </c>
      <c r="N9" s="68" t="inlineStr">
        <is>
          <t>Proposition de prix</t>
        </is>
      </c>
      <c r="O9" s="68" t="inlineStr">
        <is>
          <t>Proposition de prix</t>
        </is>
      </c>
      <c r="P9" s="68" t="inlineStr">
        <is>
          <t>Devis ou proposition de prix</t>
        </is>
      </c>
      <c r="Q9" s="68" t="inlineStr">
        <is>
          <t>Proposition d'honoraires</t>
        </is>
      </c>
      <c r="R9" s="68" t="inlineStr">
        <is>
          <t>Devis</t>
        </is>
      </c>
      <c r="S9" s="68" t="inlineStr">
        <is>
          <t>Devis</t>
        </is>
      </c>
    </row>
    <row r="10" ht="15" customHeight="1" s="53">
      <c r="A10" s="65" t="inlineStr">
        <is>
          <t>Vente réalisée</t>
        </is>
      </c>
      <c r="B10" s="68" t="inlineStr">
        <is>
          <t>Prestation réalisée</t>
        </is>
      </c>
      <c r="C10" s="68" t="inlineStr">
        <is>
          <t>Ticket</t>
        </is>
      </c>
      <c r="D10" s="68" t="inlineStr">
        <is>
          <t>Commande expédiée</t>
        </is>
      </c>
      <c r="E10" s="68" t="inlineStr">
        <is>
          <t>Couvert servi</t>
        </is>
      </c>
      <c r="F10" s="68" t="inlineStr">
        <is>
          <t>Chantier terminé</t>
        </is>
      </c>
      <c r="G10" s="68" t="inlineStr">
        <is>
          <t>Dossier livré</t>
        </is>
      </c>
      <c r="H10" s="68" t="inlineStr">
        <is>
          <t>Client servi</t>
        </is>
      </c>
      <c r="I10" s="67" t="inlineStr">
        <is>
          <t>{vente_realisee}</t>
        </is>
      </c>
      <c r="J10" s="68" t="inlineStr">
        <is>
          <t>Nuitée vendue</t>
        </is>
      </c>
      <c r="K10" s="68" t="inlineStr">
        <is>
          <t>Jour de location vendu</t>
        </is>
      </c>
      <c r="L10" s="68" t="inlineStr">
        <is>
          <t>Vente ou location conclue</t>
        </is>
      </c>
      <c r="M10" s="68" t="inlineStr">
        <is>
          <t>Projet réalisé</t>
        </is>
      </c>
      <c r="N10" s="68" t="inlineStr">
        <is>
          <t>Bien livré</t>
        </is>
      </c>
      <c r="O10" s="68" t="inlineStr">
        <is>
          <t>Commande livrée</t>
        </is>
      </c>
      <c r="P10" s="68" t="inlineStr">
        <is>
          <t>Commande livrée</t>
        </is>
      </c>
      <c r="Q10" s="68" t="inlineStr">
        <is>
          <t>Dossier traité</t>
        </is>
      </c>
      <c r="R10" s="68" t="inlineStr">
        <is>
          <t>Course réalisée</t>
        </is>
      </c>
      <c r="S10" s="68" t="inlineStr">
        <is>
          <t>Commande livrée</t>
        </is>
      </c>
    </row>
    <row r="11" ht="35.05" customHeight="1" s="53">
      <c r="A11" s="65" t="inlineStr">
        <is>
          <t>Capacité</t>
        </is>
      </c>
      <c r="B11" s="68" t="inlineStr">
        <is>
          <t>Créneaux par semaine</t>
        </is>
      </c>
      <c r="C11" s="68" t="inlineStr">
        <is>
          <t>Heures d'ouverture</t>
        </is>
      </c>
      <c r="D11" s="68" t="inlineStr">
        <is>
          <t>Commandes expédiables par jour</t>
        </is>
      </c>
      <c r="E11" s="68" t="inlineStr">
        <is>
          <t>Places × services</t>
        </is>
      </c>
      <c r="F11" s="68" t="inlineStr">
        <is>
          <t>Heures de chantier disponibles</t>
        </is>
      </c>
      <c r="G11" s="68" t="inlineStr">
        <is>
          <t>Dossiers traitables par mois</t>
        </is>
      </c>
      <c r="H11" s="68" t="inlineStr">
        <is>
          <t>Clients que vous pouvez suivre</t>
        </is>
      </c>
      <c r="I11" s="67" t="inlineStr">
        <is>
          <t>{capacite}</t>
        </is>
      </c>
      <c r="J11" s="68" t="inlineStr">
        <is>
          <t>Chambres, logements ou emplacements × nuits d'ouverture</t>
        </is>
      </c>
      <c r="K11" s="68" t="inlineStr">
        <is>
          <t>Véhicules × jours d'ouverture</t>
        </is>
      </c>
      <c r="L11" s="68" t="inlineStr">
        <is>
          <t>Mandats qu'un négociateur peut suivre</t>
        </is>
      </c>
      <c r="M11" s="68" t="inlineStr">
        <is>
          <t>Projets réalisables par mois</t>
        </is>
      </c>
      <c r="N11" s="68" t="inlineStr">
        <is>
          <t>Ventes qu'un vendeur peut suivre par mois</t>
        </is>
      </c>
      <c r="O11" s="68" t="inlineStr">
        <is>
          <t>Commandes préparables par jour</t>
        </is>
      </c>
      <c r="P11" s="68" t="inlineStr">
        <is>
          <t>Production possible par mois</t>
        </is>
      </c>
      <c r="Q11" s="68" t="inlineStr">
        <is>
          <t>Dossiers traitables par mois</t>
        </is>
      </c>
      <c r="R11" s="68" t="inlineStr">
        <is>
          <t>Courses possibles par jour</t>
        </is>
      </c>
      <c r="S11" s="68" t="inlineStr">
        <is>
          <t>Commandes préparables par service</t>
        </is>
      </c>
    </row>
    <row r="12" ht="23.85" customHeight="1" s="53">
      <c r="A12" s="65" t="inlineStr">
        <is>
          <t>Carnet de commandes</t>
        </is>
      </c>
      <c r="B12" s="68" t="inlineStr">
        <is>
          <t>Planning des semaines à venir</t>
        </is>
      </c>
      <c r="C12" s="68" t="inlineStr">
        <is>
          <t>—</t>
        </is>
      </c>
      <c r="D12" s="68" t="inlineStr">
        <is>
          <t>Commandes en préparation</t>
        </is>
      </c>
      <c r="E12" s="68" t="inlineStr">
        <is>
          <t>Réservations à venir</t>
        </is>
      </c>
      <c r="F12" s="68" t="inlineStr">
        <is>
          <t>Carnet de commandes</t>
        </is>
      </c>
      <c r="G12" s="68" t="inlineStr">
        <is>
          <t>Affaires signées à livrer</t>
        </is>
      </c>
      <c r="H12" s="68" t="inlineStr">
        <is>
          <t>—</t>
        </is>
      </c>
      <c r="I12" s="67" t="inlineStr">
        <is>
          <t>{carnet_de_commandes}</t>
        </is>
      </c>
      <c r="J12" s="68" t="inlineStr">
        <is>
          <t>Réservations à venir</t>
        </is>
      </c>
      <c r="K12" s="68" t="inlineStr">
        <is>
          <t>Réservations à venir</t>
        </is>
      </c>
      <c r="L12" s="68" t="inlineStr">
        <is>
          <t>Ventes ou locations signées en attente de conclusion</t>
        </is>
      </c>
      <c r="M12" s="68" t="inlineStr">
        <is>
          <t>Projets signés à réaliser</t>
        </is>
      </c>
      <c r="N12" s="68" t="inlineStr">
        <is>
          <t>Ventes signées en attente de livraison</t>
        </is>
      </c>
      <c r="O12" s="68" t="inlineStr">
        <is>
          <t>Commandes à livrer</t>
        </is>
      </c>
      <c r="P12" s="68" t="inlineStr">
        <is>
          <t>Commandes à produire</t>
        </is>
      </c>
      <c r="Q12" s="68" t="inlineStr">
        <is>
          <t>Dossiers ouverts en cours</t>
        </is>
      </c>
      <c r="R12" s="68" t="inlineStr">
        <is>
          <t>Courses réservées à l'avance</t>
        </is>
      </c>
      <c r="S12" s="68" t="inlineStr">
        <is>
          <t>—</t>
        </is>
      </c>
    </row>
    <row r="13" ht="23.85" customHeight="1" s="53">
      <c r="A13" s="65" t="inlineStr">
        <is>
          <t>Client fidèle</t>
        </is>
      </c>
      <c r="B13" s="68" t="inlineStr">
        <is>
          <t>Client qui revient</t>
        </is>
      </c>
      <c r="C13" s="68" t="inlineStr">
        <is>
          <t>Client avec carte de fidélité</t>
        </is>
      </c>
      <c r="D13" s="68" t="inlineStr">
        <is>
          <t>Client qui commande à nouveau</t>
        </is>
      </c>
      <c r="E13" s="68" t="inlineStr">
        <is>
          <t>Habitué</t>
        </is>
      </c>
      <c r="F13" s="68" t="inlineStr">
        <is>
          <t>Client qui redemande</t>
        </is>
      </c>
      <c r="G13" s="68" t="inlineStr">
        <is>
          <t>Client qui renouvelle</t>
        </is>
      </c>
      <c r="H13" s="68" t="inlineStr">
        <is>
          <t>Client qui reste</t>
        </is>
      </c>
      <c r="I13" s="67" t="inlineStr">
        <is>
          <t>{client_fidele}</t>
        </is>
      </c>
      <c r="J13" s="68" t="inlineStr">
        <is>
          <t>Client qui revient</t>
        </is>
      </c>
      <c r="K13" s="68" t="inlineStr">
        <is>
          <t>Client qui revient</t>
        </is>
      </c>
      <c r="L13" s="68" t="inlineStr">
        <is>
          <t>Client qui vous confie un nouveau projet</t>
        </is>
      </c>
      <c r="M13" s="68" t="inlineStr">
        <is>
          <t>Client qui revient pour un autre projet</t>
        </is>
      </c>
      <c r="N13" s="68" t="inlineStr">
        <is>
          <t>Client qui rachète chez vous</t>
        </is>
      </c>
      <c r="O13" s="68" t="inlineStr">
        <is>
          <t>Client qui repasse commande</t>
        </is>
      </c>
      <c r="P13" s="68" t="inlineStr">
        <is>
          <t>Client qui repasse commande</t>
        </is>
      </c>
      <c r="Q13" s="68" t="inlineStr">
        <is>
          <t>Client qui revient avec un nouveau dossier</t>
        </is>
      </c>
      <c r="R13" s="68" t="inlineStr">
        <is>
          <t>Client qui revient</t>
        </is>
      </c>
      <c r="S13" s="68" t="inlineStr">
        <is>
          <t>Client qui commande à nouveau</t>
        </is>
      </c>
    </row>
    <row r="14" ht="35.05" customHeight="1" s="53">
      <c r="A14" s="65" t="inlineStr">
        <is>
          <t>Coût direct d'une vente</t>
        </is>
      </c>
      <c r="B14" s="68" t="inlineStr">
        <is>
          <t>Produits utilisés + temps passé</t>
        </is>
      </c>
      <c r="C14" s="68" t="inlineStr">
        <is>
          <t>Prix d'achat de la marchandise</t>
        </is>
      </c>
      <c r="D14" s="68" t="inlineStr">
        <is>
          <t>Prix d'achat + livraison + frais de paiement</t>
        </is>
      </c>
      <c r="E14" s="68" t="inlineStr">
        <is>
          <t>Coût matière du plat</t>
        </is>
      </c>
      <c r="F14" s="68" t="inlineStr">
        <is>
          <t>Matériaux + heures de chantier</t>
        </is>
      </c>
      <c r="G14" s="68" t="inlineStr">
        <is>
          <t>Heures passées + sous-traitance</t>
        </is>
      </c>
      <c r="H14" s="68" t="inlineStr">
        <is>
          <t>Coût mensuel pour servir un client (temps, fournitures, outils)</t>
        </is>
      </c>
      <c r="I14" s="67" t="inlineStr">
        <is>
          <t>{cout_direct_d_une_vente}</t>
        </is>
      </c>
      <c r="J14" s="68" t="inlineStr">
        <is>
          <t>Ménage, linge et produits d'accueil par nuitée</t>
        </is>
      </c>
      <c r="K14" s="68" t="inlineStr">
        <is>
          <t>Nettoyage, entretien et assurance par jour de location</t>
        </is>
      </c>
      <c r="L14" s="68" t="inlineStr">
        <is>
          <t>Commission du négociateur + frais de diffusion</t>
        </is>
      </c>
      <c r="M14" s="68" t="inlineStr">
        <is>
          <t>Fournitures, sous-traitants et heures passées</t>
        </is>
      </c>
      <c r="N14" s="68" t="inlineStr">
        <is>
          <t>Prix d'achat ou de revient du bien + préparation</t>
        </is>
      </c>
      <c r="O14" s="68" t="inlineStr">
        <is>
          <t>Prix d'achat de la marchandise + transport</t>
        </is>
      </c>
      <c r="P14" s="68" t="inlineStr">
        <is>
          <t>Matières + heures de production</t>
        </is>
      </c>
      <c r="Q14" s="68" t="inlineStr">
        <is>
          <t>Heures passées + frais du dossier</t>
        </is>
      </c>
      <c r="R14" s="68" t="inlineStr">
        <is>
          <t>Carburant ou recharge et péages par course</t>
        </is>
      </c>
      <c r="S14" s="68" t="inlineStr">
        <is>
          <t>Coût matière + emballage par commande</t>
        </is>
      </c>
    </row>
    <row r="15" ht="15" customHeight="1" s="53">
      <c r="A15" s="65" t="inlineStr">
        <is>
          <t>Marge par vente</t>
        </is>
      </c>
      <c r="B15" s="68" t="inlineStr">
        <is>
          <t>Marge par prestation</t>
        </is>
      </c>
      <c r="C15" s="68" t="inlineStr">
        <is>
          <t>Marge par ticket</t>
        </is>
      </c>
      <c r="D15" s="68" t="inlineStr">
        <is>
          <t>Marge par commande</t>
        </is>
      </c>
      <c r="E15" s="68" t="inlineStr">
        <is>
          <t>Marge par couvert</t>
        </is>
      </c>
      <c r="F15" s="68" t="inlineStr">
        <is>
          <t>Marge par chantier</t>
        </is>
      </c>
      <c r="G15" s="68" t="inlineStr">
        <is>
          <t>Marge par mission ou contrat</t>
        </is>
      </c>
      <c r="H15" s="68" t="inlineStr">
        <is>
          <t>Marge par client et par mois</t>
        </is>
      </c>
      <c r="I15" s="67" t="inlineStr">
        <is>
          <t>{marge_par_vente}</t>
        </is>
      </c>
      <c r="J15" s="68" t="inlineStr">
        <is>
          <t>Marge par nuitée</t>
        </is>
      </c>
      <c r="K15" s="68" t="inlineStr">
        <is>
          <t>Marge par jour de location</t>
        </is>
      </c>
      <c r="L15" s="68" t="inlineStr">
        <is>
          <t>Marge par vente ou location</t>
        </is>
      </c>
      <c r="M15" s="68" t="inlineStr">
        <is>
          <t>Marge par projet</t>
        </is>
      </c>
      <c r="N15" s="68" t="inlineStr">
        <is>
          <t>Marge par bien vendu</t>
        </is>
      </c>
      <c r="O15" s="68" t="inlineStr">
        <is>
          <t>Marge par commande</t>
        </is>
      </c>
      <c r="P15" s="68" t="inlineStr">
        <is>
          <t>Marge par commande</t>
        </is>
      </c>
      <c r="Q15" s="68" t="inlineStr">
        <is>
          <t>Marge par dossier</t>
        </is>
      </c>
      <c r="R15" s="68" t="inlineStr">
        <is>
          <t>Marge par course</t>
        </is>
      </c>
      <c r="S15" s="68" t="inlineStr">
        <is>
          <t>Marge par commande</t>
        </is>
      </c>
    </row>
    <row r="16" ht="23.85" customHeight="1" s="53">
      <c r="A16" s="65" t="inlineStr">
        <is>
          <t>Demandes (au pluriel, dans une phrase)</t>
        </is>
      </c>
      <c r="B16" s="68" t="inlineStr">
        <is>
          <t>demandes de rendez-vous</t>
        </is>
      </c>
      <c r="C16" s="68" t="inlineStr">
        <is>
          <t>visiteurs en boutique</t>
        </is>
      </c>
      <c r="D16" s="68" t="inlineStr">
        <is>
          <t>visiteurs de votre site</t>
        </is>
      </c>
      <c r="E16" s="68" t="inlineStr">
        <is>
          <t>réservations ou demandes</t>
        </is>
      </c>
      <c r="F16" s="68" t="inlineStr">
        <is>
          <t>demandes de devis</t>
        </is>
      </c>
      <c r="G16" s="68" t="inlineStr">
        <is>
          <t>contacts entrants</t>
        </is>
      </c>
      <c r="H16" s="68" t="inlineStr">
        <is>
          <t>demandes d'information ou d'essai</t>
        </is>
      </c>
      <c r="I16" s="67" t="inlineStr">
        <is>
          <t>{demandes}</t>
        </is>
      </c>
      <c r="J16" s="68" t="inlineStr">
        <is>
          <t>demandes de réservation</t>
        </is>
      </c>
      <c r="K16" s="68" t="inlineStr">
        <is>
          <t>demandes de location</t>
        </is>
      </c>
      <c r="L16" s="68" t="inlineStr">
        <is>
          <t>contacts propriétaires</t>
        </is>
      </c>
      <c r="M16" s="68" t="inlineStr">
        <is>
          <t>demandes de devis</t>
        </is>
      </c>
      <c r="N16" s="68" t="inlineStr">
        <is>
          <t>contacts acheteurs</t>
        </is>
      </c>
      <c r="O16" s="68" t="inlineStr">
        <is>
          <t>demandes de prix</t>
        </is>
      </c>
      <c r="P16" s="68" t="inlineStr">
        <is>
          <t>demandes de prix ou de devis</t>
        </is>
      </c>
      <c r="Q16" s="68" t="inlineStr">
        <is>
          <t>demandes de rendez-vous ou de consultation</t>
        </is>
      </c>
      <c r="R16" s="68" t="inlineStr">
        <is>
          <t>demandes de course</t>
        </is>
      </c>
      <c r="S16" s="68" t="inlineStr">
        <is>
          <t>visites de votre menu en ligne</t>
        </is>
      </c>
    </row>
    <row r="17" ht="15" customHeight="1" s="53">
      <c r="A17" s="65" t="inlineStr">
        <is>
          <t>Unités vendues (pluriel)</t>
        </is>
      </c>
      <c r="B17" s="68" t="inlineStr">
        <is>
          <t>—</t>
        </is>
      </c>
      <c r="C17" s="68" t="inlineStr">
        <is>
          <t>—</t>
        </is>
      </c>
      <c r="D17" s="68" t="inlineStr">
        <is>
          <t>—</t>
        </is>
      </c>
      <c r="E17" s="68" t="inlineStr">
        <is>
          <t>—</t>
        </is>
      </c>
      <c r="F17" s="68" t="inlineStr">
        <is>
          <t>—</t>
        </is>
      </c>
      <c r="G17" s="68" t="inlineStr">
        <is>
          <t>—</t>
        </is>
      </c>
      <c r="H17" s="68" t="inlineStr">
        <is>
          <t>—</t>
        </is>
      </c>
      <c r="I17" s="67" t="inlineStr">
        <is>
          <t>{unites_vendues}</t>
        </is>
      </c>
      <c r="J17" s="68" t="inlineStr">
        <is>
          <t>nuitées vendues</t>
        </is>
      </c>
      <c r="K17" s="68" t="inlineStr">
        <is>
          <t>jours de location vendus</t>
        </is>
      </c>
      <c r="L17" s="68" t="inlineStr">
        <is>
          <t>—</t>
        </is>
      </c>
      <c r="M17" s="68" t="inlineStr">
        <is>
          <t>—</t>
        </is>
      </c>
      <c r="N17" s="68" t="inlineStr">
        <is>
          <t>—</t>
        </is>
      </c>
      <c r="O17" s="68" t="inlineStr">
        <is>
          <t>—</t>
        </is>
      </c>
      <c r="P17" s="68" t="inlineStr">
        <is>
          <t>—</t>
        </is>
      </c>
      <c r="Q17" s="68" t="inlineStr">
        <is>
          <t>—</t>
        </is>
      </c>
      <c r="R17" s="68" t="inlineStr">
        <is>
          <t>—</t>
        </is>
      </c>
      <c r="S17" s="68" t="inlineStr">
        <is>
          <t>—</t>
        </is>
      </c>
    </row>
    <row r="18" ht="23.85" customHeight="1" s="53">
      <c r="A18" s="65" t="inlineStr">
        <is>
          <t>Ce qui se loue (pluriel)</t>
        </is>
      </c>
      <c r="B18" s="68" t="inlineStr">
        <is>
          <t>—</t>
        </is>
      </c>
      <c r="C18" s="68" t="inlineStr">
        <is>
          <t>—</t>
        </is>
      </c>
      <c r="D18" s="68" t="inlineStr">
        <is>
          <t>—</t>
        </is>
      </c>
      <c r="E18" s="68" t="inlineStr">
        <is>
          <t>—</t>
        </is>
      </c>
      <c r="F18" s="68" t="inlineStr">
        <is>
          <t>—</t>
        </is>
      </c>
      <c r="G18" s="68" t="inlineStr">
        <is>
          <t>—</t>
        </is>
      </c>
      <c r="H18" s="68" t="inlineStr">
        <is>
          <t>—</t>
        </is>
      </c>
      <c r="I18" s="67" t="inlineStr">
        <is>
          <t>{unites_a_louer}</t>
        </is>
      </c>
      <c r="J18" s="68" t="inlineStr">
        <is>
          <t>chambres, logements ou emplacements</t>
        </is>
      </c>
      <c r="K18" s="68" t="inlineStr">
        <is>
          <t>véhicules</t>
        </is>
      </c>
      <c r="L18" s="68" t="inlineStr">
        <is>
          <t>—</t>
        </is>
      </c>
      <c r="M18" s="68" t="inlineStr">
        <is>
          <t>—</t>
        </is>
      </c>
      <c r="N18" s="68" t="inlineStr">
        <is>
          <t>—</t>
        </is>
      </c>
      <c r="O18" s="68" t="inlineStr">
        <is>
          <t>—</t>
        </is>
      </c>
      <c r="P18" s="68" t="inlineStr">
        <is>
          <t>—</t>
        </is>
      </c>
      <c r="Q18" s="68" t="inlineStr">
        <is>
          <t>—</t>
        </is>
      </c>
      <c r="R18" s="68" t="inlineStr">
        <is>
          <t>—</t>
        </is>
      </c>
      <c r="S18" s="68" t="inlineStr">
        <is>
          <t>—</t>
        </is>
      </c>
    </row>
    <row r="19" ht="15" customHeight="1" s="53">
      <c r="A19" s="65" t="inlineStr">
        <is>
          <t>Nuits ou jours</t>
        </is>
      </c>
      <c r="B19" s="68" t="inlineStr">
        <is>
          <t>—</t>
        </is>
      </c>
      <c r="C19" s="68" t="inlineStr">
        <is>
          <t>—</t>
        </is>
      </c>
      <c r="D19" s="68" t="inlineStr">
        <is>
          <t>—</t>
        </is>
      </c>
      <c r="E19" s="68" t="inlineStr">
        <is>
          <t>—</t>
        </is>
      </c>
      <c r="F19" s="68" t="inlineStr">
        <is>
          <t>—</t>
        </is>
      </c>
      <c r="G19" s="68" t="inlineStr">
        <is>
          <t>—</t>
        </is>
      </c>
      <c r="H19" s="68" t="inlineStr">
        <is>
          <t>—</t>
        </is>
      </c>
      <c r="I19" s="67" t="inlineStr">
        <is>
          <t>{jours_ouverture}</t>
        </is>
      </c>
      <c r="J19" s="68" t="inlineStr">
        <is>
          <t>nuits</t>
        </is>
      </c>
      <c r="K19" s="68" t="inlineStr">
        <is>
          <t>jours</t>
        </is>
      </c>
      <c r="L19" s="68" t="inlineStr">
        <is>
          <t>—</t>
        </is>
      </c>
      <c r="M19" s="68" t="inlineStr">
        <is>
          <t>—</t>
        </is>
      </c>
      <c r="N19" s="68" t="inlineStr">
        <is>
          <t>—</t>
        </is>
      </c>
      <c r="O19" s="68" t="inlineStr">
        <is>
          <t>—</t>
        </is>
      </c>
      <c r="P19" s="68" t="inlineStr">
        <is>
          <t>—</t>
        </is>
      </c>
      <c r="Q19" s="68" t="inlineStr">
        <is>
          <t>—</t>
        </is>
      </c>
      <c r="R19" s="68" t="inlineStr">
        <is>
          <t>—</t>
        </is>
      </c>
      <c r="S19" s="68" t="inlineStr">
        <is>
          <t>—</t>
        </is>
      </c>
    </row>
    <row r="20" ht="35.05" customHeight="1" s="53">
      <c r="A20" s="65" t="inlineStr">
        <is>
          <t>Ce qui n'est pas la location</t>
        </is>
      </c>
      <c r="B20" s="68" t="inlineStr">
        <is>
          <t>—</t>
        </is>
      </c>
      <c r="C20" s="68" t="inlineStr">
        <is>
          <t>—</t>
        </is>
      </c>
      <c r="D20" s="68" t="inlineStr">
        <is>
          <t>—</t>
        </is>
      </c>
      <c r="E20" s="68" t="inlineStr">
        <is>
          <t>—</t>
        </is>
      </c>
      <c r="F20" s="68" t="inlineStr">
        <is>
          <t>—</t>
        </is>
      </c>
      <c r="G20" s="68" t="inlineStr">
        <is>
          <t>—</t>
        </is>
      </c>
      <c r="H20" s="68" t="inlineStr">
        <is>
          <t>—</t>
        </is>
      </c>
      <c r="I20" s="67" t="inlineStr">
        <is>
          <t>{hors_location}</t>
        </is>
      </c>
      <c r="J20" s="68" t="inlineStr">
        <is>
          <t>petit-déjeuner, restaurant, bar, activités</t>
        </is>
      </c>
      <c r="K20" s="68" t="inlineStr">
        <is>
          <t>assurances, options, kilomètres supplémentaires, carburant</t>
        </is>
      </c>
      <c r="L20" s="68" t="inlineStr">
        <is>
          <t>—</t>
        </is>
      </c>
      <c r="M20" s="68" t="inlineStr">
        <is>
          <t>—</t>
        </is>
      </c>
      <c r="N20" s="68" t="inlineStr">
        <is>
          <t>—</t>
        </is>
      </c>
      <c r="O20" s="68" t="inlineStr">
        <is>
          <t>—</t>
        </is>
      </c>
      <c r="P20" s="68" t="inlineStr">
        <is>
          <t>—</t>
        </is>
      </c>
      <c r="Q20" s="68" t="inlineStr">
        <is>
          <t>—</t>
        </is>
      </c>
      <c r="R20" s="68" t="inlineStr">
        <is>
          <t>—</t>
        </is>
      </c>
      <c r="S20" s="68" t="inlineStr">
        <is>
          <t>—</t>
        </is>
      </c>
    </row>
    <row r="21" ht="23.85" customHeight="1" s="53">
      <c r="A21" s="65" t="inlineStr">
        <is>
          <t>Devis (pluriel, dans une phrase)</t>
        </is>
      </c>
      <c r="B21" s="68" t="inlineStr">
        <is>
          <t>devis</t>
        </is>
      </c>
      <c r="C21" s="68" t="inlineStr">
        <is>
          <t>devis</t>
        </is>
      </c>
      <c r="D21" s="68" t="inlineStr">
        <is>
          <t>devis</t>
        </is>
      </c>
      <c r="E21" s="68" t="inlineStr">
        <is>
          <t>devis traiteur ou groupe</t>
        </is>
      </c>
      <c r="F21" s="68" t="inlineStr">
        <is>
          <t>devis</t>
        </is>
      </c>
      <c r="G21" s="68" t="inlineStr">
        <is>
          <t>propositions commerciales</t>
        </is>
      </c>
      <c r="H21" s="68" t="inlineStr">
        <is>
          <t>propositions ou devis</t>
        </is>
      </c>
      <c r="I21" s="67" t="inlineStr">
        <is>
          <t>{devis_pluriel}</t>
        </is>
      </c>
      <c r="J21" s="68" t="inlineStr">
        <is>
          <t>devis groupe ou séminaire</t>
        </is>
      </c>
      <c r="K21" s="68" t="inlineStr">
        <is>
          <t>devis longue durée ou entreprise</t>
        </is>
      </c>
      <c r="L21" s="68" t="inlineStr">
        <is>
          <t>propositions de mandat</t>
        </is>
      </c>
      <c r="M21" s="68" t="inlineStr">
        <is>
          <t>devis</t>
        </is>
      </c>
      <c r="N21" s="68" t="inlineStr">
        <is>
          <t>propositions de prix</t>
        </is>
      </c>
      <c r="O21" s="68" t="inlineStr">
        <is>
          <t>propositions de prix</t>
        </is>
      </c>
      <c r="P21" s="68" t="inlineStr">
        <is>
          <t>devis ou propositions de prix</t>
        </is>
      </c>
      <c r="Q21" s="68" t="inlineStr">
        <is>
          <t>propositions d'honoraires</t>
        </is>
      </c>
      <c r="R21" s="68" t="inlineStr">
        <is>
          <t>devis</t>
        </is>
      </c>
      <c r="S21" s="68" t="inlineStr">
        <is>
          <t>devis</t>
        </is>
      </c>
    </row>
    <row r="22" ht="23.85" customHeight="1" s="53">
      <c r="A22" s="65" t="inlineStr">
        <is>
          <t>Ventes réalisées (pluriel, dans une phrase)</t>
        </is>
      </c>
      <c r="B22" s="68" t="inlineStr">
        <is>
          <t>prestations réalisées</t>
        </is>
      </c>
      <c r="C22" s="68" t="inlineStr">
        <is>
          <t>tickets de caisse</t>
        </is>
      </c>
      <c r="D22" s="68" t="inlineStr">
        <is>
          <t>commandes expédiées</t>
        </is>
      </c>
      <c r="E22" s="68" t="inlineStr">
        <is>
          <t>couverts servis</t>
        </is>
      </c>
      <c r="F22" s="68" t="inlineStr">
        <is>
          <t>chantiers terminés</t>
        </is>
      </c>
      <c r="G22" s="68" t="inlineStr">
        <is>
          <t>dossiers livrés</t>
        </is>
      </c>
      <c r="H22" s="68" t="inlineStr">
        <is>
          <t>clients servis</t>
        </is>
      </c>
      <c r="I22" s="67" t="inlineStr">
        <is>
          <t>{ventes_realisees}</t>
        </is>
      </c>
      <c r="J22" s="68" t="inlineStr">
        <is>
          <t>nuitées vendues</t>
        </is>
      </c>
      <c r="K22" s="68" t="inlineStr">
        <is>
          <t>jours de location vendus</t>
        </is>
      </c>
      <c r="L22" s="68" t="inlineStr">
        <is>
          <t>ventes ou locations conclues</t>
        </is>
      </c>
      <c r="M22" s="68" t="inlineStr">
        <is>
          <t>projets réalisés</t>
        </is>
      </c>
      <c r="N22" s="68" t="inlineStr">
        <is>
          <t>biens livrés</t>
        </is>
      </c>
      <c r="O22" s="68" t="inlineStr">
        <is>
          <t>commandes livrées</t>
        </is>
      </c>
      <c r="P22" s="68" t="inlineStr">
        <is>
          <t>commandes livrées</t>
        </is>
      </c>
      <c r="Q22" s="68" t="inlineStr">
        <is>
          <t>dossiers traités</t>
        </is>
      </c>
      <c r="R22" s="68" t="inlineStr">
        <is>
          <t>courses réalisées</t>
        </is>
      </c>
      <c r="S22" s="68" t="inlineStr">
        <is>
          <t>commandes livrées</t>
        </is>
      </c>
    </row>
    <row r="23" ht="35.05" customHeight="1" s="53">
      <c r="A23" s="65" t="inlineStr">
        <is>
          <t>Exemples du travail fait pour les clients (dans une phrase)</t>
        </is>
      </c>
      <c r="B23" s="68" t="inlineStr">
        <is>
          <t>les soins, les coupes, les séances ou les cours</t>
        </is>
      </c>
      <c r="C23" s="68" t="inlineStr">
        <is>
          <t>la vente en boutique et la mise en rayon</t>
        </is>
      </c>
      <c r="D23" s="68" t="inlineStr">
        <is>
          <t>la préparation et l'envoi des commandes</t>
        </is>
      </c>
      <c r="E23" s="68" t="inlineStr">
        <is>
          <t>la cuisine et le service en salle</t>
        </is>
      </c>
      <c r="F23" s="68" t="inlineStr">
        <is>
          <t>les chantiers et les interventions</t>
        </is>
      </c>
      <c r="G23" s="68" t="inlineStr">
        <is>
          <t>les missions et les dossiers clients</t>
        </is>
      </c>
      <c r="H23" s="68" t="inlineStr">
        <is>
          <t>le service rendu aux abonnés</t>
        </is>
      </c>
      <c r="I23" s="67" t="inlineStr">
        <is>
          <t>{exemples_travail}</t>
        </is>
      </c>
      <c r="J23" s="68" t="inlineStr">
        <is>
          <t>l'accueil, le ménage et l'entretien</t>
        </is>
      </c>
      <c r="K23" s="68" t="inlineStr">
        <is>
          <t>la préparation et l'entretien des véhicules</t>
        </is>
      </c>
      <c r="L23" s="68" t="inlineStr">
        <is>
          <t>les estimations, les visites et le suivi des biens</t>
        </is>
      </c>
      <c r="M23" s="68" t="inlineStr">
        <is>
          <t>la réalisation des projets</t>
        </is>
      </c>
      <c r="N23" s="68" t="inlineStr">
        <is>
          <t>la préparation, la livraison et le service après-vente</t>
        </is>
      </c>
      <c r="O23" s="68" t="inlineStr">
        <is>
          <t>la préparation et la livraison des commandes</t>
        </is>
      </c>
      <c r="P23" s="68" t="inlineStr">
        <is>
          <t>la fabrication et la préparation des commandes</t>
        </is>
      </c>
      <c r="Q23" s="68" t="inlineStr">
        <is>
          <t>le traitement des dossiers</t>
        </is>
      </c>
      <c r="R23" s="68" t="inlineStr">
        <is>
          <t>la conduite</t>
        </is>
      </c>
      <c r="S23" s="68" t="inlineStr">
        <is>
          <t>la cuisine et la préparation des commandes</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2026-10-20T14:00:55Z</dcterms:created>
  <dcterms:modified xsi:type="dcterms:W3CDTF">2026-10-28T11:28:28Z</dcterms:modified>
  <cp:revision>0</cp:revision>
</cp:coreProperties>
</file>